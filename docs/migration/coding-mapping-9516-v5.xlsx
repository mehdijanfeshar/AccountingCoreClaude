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alcChain.xml" ContentType="application/vnd.openxmlformats-officedocument.spreadsheetml.calcChain+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c5be67db7a542c7" /><Relationship Type="http://schemas.openxmlformats.org/officeDocument/2006/relationships/extended-properties" Target="/docProps/app.xml" Id="rId1" /><Relationship Type="http://schemas.openxmlformats.org/package/2006/relationships/metadata/core-properties" Target="/package/services/metadata/core-properties/7662b62996174b59b0b16c44b2cdbbbe.psmdcp" Id="Rd179358e7af14b1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راهنما" sheetId="1" r:id="rId2"/>
    <x:sheet name="تطبیق کل" sheetId="2" r:id="rId3"/>
    <x:sheet name="تطبیق معین" sheetId="3" r:id="rId4"/>
    <x:sheet name="تفصیلی‌ها" sheetId="4" r:id="rId5"/>
    <x:sheet name="فعالیت و مرکز هزینه" sheetId="5" r:id="rId6"/>
    <x:sheet name="اسناد ناتراز" sheetId="6" r:id="rId7"/>
    <x:sheet name="وضعیت سند" sheetId="7" r:id="rId8"/>
    <x:sheet name="درخت جدید" sheetId="8" r:id="rId9"/>
  </x:sheets>
  <x:definedNames>
    <x:definedName name="_xlnm._FilterDatabase" localSheetId="1" hidden="1">'تطبیق کل'!$A$1:$N$46</x:definedName>
    <x:definedName name="_xlnm._FilterDatabase" localSheetId="2" hidden="1">'تطبیق معین'!$A$1:$X$313</x:definedName>
    <x:definedName name="_xlnm._FilterDatabase" localSheetId="3" hidden="1">تفصیلی‌ها!$A$1:$T$514</x:definedName>
    <x:definedName name="_xlnm._FilterDatabase" localSheetId="4" hidden="1">'فعالیت و مرکز هزینه'!$A$1:$O$134</x:definedName>
    <x:definedName name="_xlnm._FilterDatabase" localSheetId="5" hidden="1">'اسناد ناتراز'!$A$1:$M$34</x:definedName>
    <x:definedName name="_xlnm._FilterDatabase" localSheetId="6" hidden="1">'وضعیت سند'!$A$1:$H$4</x:definedName>
    <x:definedName name="_xlnm._FilterDatabase" localSheetId="7" hidden="1">'درخت جدید'!$A$1:$D$118</x:definedName>
  </x:definedNames>
  <x:calcPr calcId="125725"/>
</x:workbook>
</file>

<file path=xl/calcChain.xml><?xml version="1.0" encoding="utf-8"?>
<x:calcChain xmlns:x="http://schemas.openxmlformats.org/spreadsheetml/2006/main">
  <x:c r="B31" i="1"/>
  <x:c r="B32" i="1"/>
  <x:c r="B33" i="1"/>
  <x:c r="B34" i="1"/>
  <x:c r="B35" i="1"/>
  <x:c r="B36" i="1"/>
  <x:c r="B37" i="1"/>
  <x:c r="B38" i="1"/>
  <x:c r="K2" i="2"/>
  <x:c r="L2" i="2"/>
  <x:c r="M2" i="2"/>
  <x:c r="K3" i="2"/>
  <x:c r="L3" i="2"/>
  <x:c r="M3" i="2"/>
  <x:c r="K4" i="2"/>
  <x:c r="L4" i="2"/>
  <x:c r="M4" i="2"/>
  <x:c r="K5" i="2"/>
  <x:c r="L5" i="2"/>
  <x:c r="M5" i="2"/>
  <x:c r="K6" i="2"/>
  <x:c r="L6" i="2"/>
  <x:c r="M6" i="2"/>
  <x:c r="K7" i="2"/>
  <x:c r="L7" i="2"/>
  <x:c r="M7" i="2"/>
  <x:c r="K8" i="2"/>
  <x:c r="L8" i="2"/>
  <x:c r="M8" i="2"/>
  <x:c r="K9" i="2"/>
  <x:c r="L9" i="2"/>
  <x:c r="M9" i="2"/>
  <x:c r="K10" i="2"/>
  <x:c r="L10" i="2"/>
  <x:c r="M10" i="2"/>
  <x:c r="K11" i="2"/>
  <x:c r="L11" i="2"/>
  <x:c r="M11" i="2"/>
  <x:c r="K12" i="2"/>
  <x:c r="L12" i="2"/>
  <x:c r="M12" i="2"/>
  <x:c r="K13" i="2"/>
  <x:c r="L13" i="2"/>
  <x:c r="M13" i="2"/>
  <x:c r="K14" i="2"/>
  <x:c r="L14" i="2"/>
  <x:c r="M14" i="2"/>
  <x:c r="K15" i="2"/>
  <x:c r="L15" i="2"/>
  <x:c r="M15" i="2"/>
  <x:c r="K16" i="2"/>
  <x:c r="L16" i="2"/>
  <x:c r="M16" i="2"/>
  <x:c r="K17" i="2"/>
  <x:c r="L17" i="2"/>
  <x:c r="M17" i="2"/>
  <x:c r="K18" i="2"/>
  <x:c r="L18" i="2"/>
  <x:c r="M18" i="2"/>
  <x:c r="K19" i="2"/>
  <x:c r="L19" i="2"/>
  <x:c r="M19" i="2"/>
  <x:c r="K20" i="2"/>
  <x:c r="L20" i="2"/>
  <x:c r="M20" i="2"/>
  <x:c r="K21" i="2"/>
  <x:c r="L21" i="2"/>
  <x:c r="M21" i="2"/>
  <x:c r="K22" i="2"/>
  <x:c r="L22" i="2"/>
  <x:c r="M22" i="2"/>
  <x:c r="K23" i="2"/>
  <x:c r="L23" i="2"/>
  <x:c r="M23" i="2"/>
  <x:c r="K24" i="2"/>
  <x:c r="L24" i="2"/>
  <x:c r="M24" i="2"/>
  <x:c r="K25" i="2"/>
  <x:c r="L25" i="2"/>
  <x:c r="M25" i="2"/>
  <x:c r="K26" i="2"/>
  <x:c r="L26" i="2"/>
  <x:c r="M26" i="2"/>
  <x:c r="K27" i="2"/>
  <x:c r="L27" i="2"/>
  <x:c r="M27" i="2"/>
  <x:c r="K28" i="2"/>
  <x:c r="L28" i="2"/>
  <x:c r="M28" i="2"/>
  <x:c r="K29" i="2"/>
  <x:c r="L29" i="2"/>
  <x:c r="M29" i="2"/>
  <x:c r="K30" i="2"/>
  <x:c r="L30" i="2"/>
  <x:c r="M30" i="2"/>
  <x:c r="K31" i="2"/>
  <x:c r="L31" i="2"/>
  <x:c r="M31" i="2"/>
  <x:c r="K32" i="2"/>
  <x:c r="L32" i="2"/>
  <x:c r="M32" i="2"/>
  <x:c r="K33" i="2"/>
  <x:c r="L33" i="2"/>
  <x:c r="M33" i="2"/>
  <x:c r="K34" i="2"/>
  <x:c r="L34" i="2"/>
  <x:c r="M34" i="2"/>
  <x:c r="K35" i="2"/>
  <x:c r="L35" i="2"/>
  <x:c r="M35" i="2"/>
  <x:c r="K36" i="2"/>
  <x:c r="L36" i="2"/>
  <x:c r="M36" i="2"/>
  <x:c r="K37" i="2"/>
  <x:c r="L37" i="2"/>
  <x:c r="M37" i="2"/>
  <x:c r="K38" i="2"/>
  <x:c r="L38" i="2"/>
  <x:c r="M38" i="2"/>
  <x:c r="K39" i="2"/>
  <x:c r="L39" i="2"/>
  <x:c r="M39" i="2"/>
  <x:c r="K40" i="2"/>
  <x:c r="L40" i="2"/>
  <x:c r="M40" i="2"/>
  <x:c r="K41" i="2"/>
  <x:c r="L41" i="2"/>
  <x:c r="M41" i="2"/>
  <x:c r="K42" i="2"/>
  <x:c r="L42" i="2"/>
  <x:c r="M42" i="2"/>
  <x:c r="K43" i="2"/>
  <x:c r="L43" i="2"/>
  <x:c r="M43" i="2"/>
  <x:c r="K44" i="2"/>
  <x:c r="L44" i="2"/>
  <x:c r="M44" i="2"/>
  <x:c r="K45" i="2"/>
  <x:c r="L45" i="2"/>
  <x:c r="M45" i="2"/>
  <x:c r="K46" i="2"/>
  <x:c r="L46" i="2"/>
  <x:c r="M46" i="2"/>
  <x:c r="M2" i="3"/>
  <x:c r="O2" i="3"/>
  <x:c r="P2" i="3"/>
  <x:c r="Q2" i="3"/>
  <x:c r="S2" i="3"/>
  <x:c r="T2" i="3"/>
  <x:c r="U2" i="3"/>
  <x:c r="V2" i="3"/>
  <x:c r="M3" i="3"/>
  <x:c r="O3" i="3"/>
  <x:c r="P3" i="3"/>
  <x:c r="Q3" i="3"/>
  <x:c r="S3" i="3"/>
  <x:c r="T3" i="3"/>
  <x:c r="U3" i="3"/>
  <x:c r="V3" i="3"/>
  <x:c r="M4" i="3"/>
  <x:c r="O4" i="3"/>
  <x:c r="P4" i="3"/>
  <x:c r="Q4" i="3"/>
  <x:c r="S4" i="3"/>
  <x:c r="T4" i="3"/>
  <x:c r="U4" i="3"/>
  <x:c r="V4" i="3"/>
  <x:c r="M5" i="3"/>
  <x:c r="O5" i="3"/>
  <x:c r="P5" i="3"/>
  <x:c r="Q5" i="3"/>
  <x:c r="S5" i="3"/>
  <x:c r="T5" i="3"/>
  <x:c r="U5" i="3"/>
  <x:c r="V5" i="3"/>
  <x:c r="M6" i="3"/>
  <x:c r="O6" i="3"/>
  <x:c r="P6" i="3"/>
  <x:c r="Q6" i="3"/>
  <x:c r="S6" i="3"/>
  <x:c r="T6" i="3"/>
  <x:c r="U6" i="3"/>
  <x:c r="V6" i="3"/>
  <x:c r="M7" i="3"/>
  <x:c r="O7" i="3"/>
  <x:c r="P7" i="3"/>
  <x:c r="Q7" i="3"/>
  <x:c r="S7" i="3"/>
  <x:c r="T7" i="3"/>
  <x:c r="U7" i="3"/>
  <x:c r="V7" i="3"/>
  <x:c r="M8" i="3"/>
  <x:c r="O8" i="3"/>
  <x:c r="P8" i="3"/>
  <x:c r="Q8" i="3"/>
  <x:c r="S8" i="3"/>
  <x:c r="T8" i="3"/>
  <x:c r="U8" i="3"/>
  <x:c r="V8" i="3"/>
  <x:c r="M9" i="3"/>
  <x:c r="O9" i="3"/>
  <x:c r="P9" i="3"/>
  <x:c r="Q9" i="3"/>
  <x:c r="S9" i="3"/>
  <x:c r="T9" i="3"/>
  <x:c r="U9" i="3"/>
  <x:c r="V9" i="3"/>
  <x:c r="M10" i="3"/>
  <x:c r="O10" i="3"/>
  <x:c r="P10" i="3"/>
  <x:c r="Q10" i="3"/>
  <x:c r="S10" i="3"/>
  <x:c r="T10" i="3"/>
  <x:c r="U10" i="3"/>
  <x:c r="V10" i="3"/>
  <x:c r="M11" i="3"/>
  <x:c r="O11" i="3"/>
  <x:c r="P11" i="3"/>
  <x:c r="Q11" i="3"/>
  <x:c r="S11" i="3"/>
  <x:c r="T11" i="3"/>
  <x:c r="U11" i="3"/>
  <x:c r="V11" i="3"/>
  <x:c r="M12" i="3"/>
  <x:c r="O12" i="3"/>
  <x:c r="P12" i="3"/>
  <x:c r="Q12" i="3"/>
  <x:c r="S12" i="3"/>
  <x:c r="T12" i="3"/>
  <x:c r="U12" i="3"/>
  <x:c r="V12" i="3"/>
  <x:c r="M13" i="3"/>
  <x:c r="O13" i="3"/>
  <x:c r="P13" i="3"/>
  <x:c r="Q13" i="3"/>
  <x:c r="S13" i="3"/>
  <x:c r="T13" i="3"/>
  <x:c r="U13" i="3"/>
  <x:c r="V13" i="3"/>
  <x:c r="M14" i="3"/>
  <x:c r="O14" i="3"/>
  <x:c r="P14" i="3"/>
  <x:c r="Q14" i="3"/>
  <x:c r="S14" i="3"/>
  <x:c r="T14" i="3"/>
  <x:c r="U14" i="3"/>
  <x:c r="V14" i="3"/>
  <x:c r="M15" i="3"/>
  <x:c r="O15" i="3"/>
  <x:c r="P15" i="3"/>
  <x:c r="Q15" i="3"/>
  <x:c r="S15" i="3"/>
  <x:c r="T15" i="3"/>
  <x:c r="U15" i="3"/>
  <x:c r="V15" i="3"/>
  <x:c r="M16" i="3"/>
  <x:c r="O16" i="3"/>
  <x:c r="P16" i="3"/>
  <x:c r="Q16" i="3"/>
  <x:c r="S16" i="3"/>
  <x:c r="T16" i="3"/>
  <x:c r="U16" i="3"/>
  <x:c r="V16" i="3"/>
  <x:c r="M17" i="3"/>
  <x:c r="O17" i="3"/>
  <x:c r="P17" i="3"/>
  <x:c r="Q17" i="3"/>
  <x:c r="S17" i="3"/>
  <x:c r="T17" i="3"/>
  <x:c r="U17" i="3"/>
  <x:c r="V17" i="3"/>
  <x:c r="M18" i="3"/>
  <x:c r="O18" i="3"/>
  <x:c r="P18" i="3"/>
  <x:c r="Q18" i="3"/>
  <x:c r="S18" i="3"/>
  <x:c r="T18" i="3"/>
  <x:c r="U18" i="3"/>
  <x:c r="V18" i="3"/>
  <x:c r="M19" i="3"/>
  <x:c r="O19" i="3"/>
  <x:c r="P19" i="3"/>
  <x:c r="Q19" i="3"/>
  <x:c r="S19" i="3"/>
  <x:c r="T19" i="3"/>
  <x:c r="U19" i="3"/>
  <x:c r="V19" i="3"/>
  <x:c r="M20" i="3"/>
  <x:c r="O20" i="3"/>
  <x:c r="P20" i="3"/>
  <x:c r="Q20" i="3"/>
  <x:c r="S20" i="3"/>
  <x:c r="T20" i="3"/>
  <x:c r="U20" i="3"/>
  <x:c r="V20" i="3"/>
  <x:c r="M21" i="3"/>
  <x:c r="O21" i="3"/>
  <x:c r="P21" i="3"/>
  <x:c r="Q21" i="3"/>
  <x:c r="S21" i="3"/>
  <x:c r="T21" i="3"/>
  <x:c r="U21" i="3"/>
  <x:c r="V21" i="3"/>
  <x:c r="M22" i="3"/>
  <x:c r="O22" i="3"/>
  <x:c r="P22" i="3"/>
  <x:c r="Q22" i="3"/>
  <x:c r="S22" i="3"/>
  <x:c r="T22" i="3"/>
  <x:c r="U22" i="3"/>
  <x:c r="V22" i="3"/>
  <x:c r="M23" i="3"/>
  <x:c r="O23" i="3"/>
  <x:c r="P23" i="3"/>
  <x:c r="Q23" i="3"/>
  <x:c r="S23" i="3"/>
  <x:c r="T23" i="3"/>
  <x:c r="U23" i="3"/>
  <x:c r="V23" i="3"/>
  <x:c r="M24" i="3"/>
  <x:c r="O24" i="3"/>
  <x:c r="P24" i="3"/>
  <x:c r="Q24" i="3"/>
  <x:c r="S24" i="3"/>
  <x:c r="T24" i="3"/>
  <x:c r="U24" i="3"/>
  <x:c r="V24" i="3"/>
  <x:c r="M25" i="3"/>
  <x:c r="O25" i="3"/>
  <x:c r="P25" i="3"/>
  <x:c r="Q25" i="3"/>
  <x:c r="S25" i="3"/>
  <x:c r="T25" i="3"/>
  <x:c r="U25" i="3"/>
  <x:c r="V25" i="3"/>
  <x:c r="M26" i="3"/>
  <x:c r="O26" i="3"/>
  <x:c r="P26" i="3"/>
  <x:c r="Q26" i="3"/>
  <x:c r="S26" i="3"/>
  <x:c r="T26" i="3"/>
  <x:c r="U26" i="3"/>
  <x:c r="V26" i="3"/>
  <x:c r="M27" i="3"/>
  <x:c r="O27" i="3"/>
  <x:c r="P27" i="3"/>
  <x:c r="Q27" i="3"/>
  <x:c r="S27" i="3"/>
  <x:c r="T27" i="3"/>
  <x:c r="U27" i="3"/>
  <x:c r="V27" i="3"/>
  <x:c r="M28" i="3"/>
  <x:c r="O28" i="3"/>
  <x:c r="P28" i="3"/>
  <x:c r="Q28" i="3"/>
  <x:c r="S28" i="3"/>
  <x:c r="T28" i="3"/>
  <x:c r="U28" i="3"/>
  <x:c r="V28" i="3"/>
  <x:c r="M29" i="3"/>
  <x:c r="O29" i="3"/>
  <x:c r="P29" i="3"/>
  <x:c r="Q29" i="3"/>
  <x:c r="S29" i="3"/>
  <x:c r="T29" i="3"/>
  <x:c r="U29" i="3"/>
  <x:c r="V29" i="3"/>
  <x:c r="M30" i="3"/>
  <x:c r="O30" i="3"/>
  <x:c r="P30" i="3"/>
  <x:c r="Q30" i="3"/>
  <x:c r="S30" i="3"/>
  <x:c r="T30" i="3"/>
  <x:c r="U30" i="3"/>
  <x:c r="V30" i="3"/>
  <x:c r="M31" i="3"/>
  <x:c r="O31" i="3"/>
  <x:c r="P31" i="3"/>
  <x:c r="Q31" i="3"/>
  <x:c r="S31" i="3"/>
  <x:c r="T31" i="3"/>
  <x:c r="U31" i="3"/>
  <x:c r="V31" i="3"/>
  <x:c r="M32" i="3"/>
  <x:c r="O32" i="3"/>
  <x:c r="P32" i="3"/>
  <x:c r="Q32" i="3"/>
  <x:c r="S32" i="3"/>
  <x:c r="T32" i="3"/>
  <x:c r="U32" i="3"/>
  <x:c r="V32" i="3"/>
  <x:c r="M33" i="3"/>
  <x:c r="O33" i="3"/>
  <x:c r="P33" i="3"/>
  <x:c r="Q33" i="3"/>
  <x:c r="S33" i="3"/>
  <x:c r="T33" i="3"/>
  <x:c r="U33" i="3"/>
  <x:c r="V33" i="3"/>
  <x:c r="M34" i="3"/>
  <x:c r="O34" i="3"/>
  <x:c r="P34" i="3"/>
  <x:c r="Q34" i="3"/>
  <x:c r="S34" i="3"/>
  <x:c r="T34" i="3"/>
  <x:c r="U34" i="3"/>
  <x:c r="V34" i="3"/>
  <x:c r="M35" i="3"/>
  <x:c r="O35" i="3"/>
  <x:c r="P35" i="3"/>
  <x:c r="Q35" i="3"/>
  <x:c r="S35" i="3"/>
  <x:c r="T35" i="3"/>
  <x:c r="U35" i="3"/>
  <x:c r="V35" i="3"/>
  <x:c r="M36" i="3"/>
  <x:c r="O36" i="3"/>
  <x:c r="P36" i="3"/>
  <x:c r="Q36" i="3"/>
  <x:c r="S36" i="3"/>
  <x:c r="T36" i="3"/>
  <x:c r="U36" i="3"/>
  <x:c r="V36" i="3"/>
  <x:c r="M37" i="3"/>
  <x:c r="O37" i="3"/>
  <x:c r="P37" i="3"/>
  <x:c r="Q37" i="3"/>
  <x:c r="S37" i="3"/>
  <x:c r="T37" i="3"/>
  <x:c r="U37" i="3"/>
  <x:c r="V37" i="3"/>
  <x:c r="M38" i="3"/>
  <x:c r="O38" i="3"/>
  <x:c r="P38" i="3"/>
  <x:c r="Q38" i="3"/>
  <x:c r="S38" i="3"/>
  <x:c r="T38" i="3"/>
  <x:c r="U38" i="3"/>
  <x:c r="V38" i="3"/>
  <x:c r="M39" i="3"/>
  <x:c r="O39" i="3"/>
  <x:c r="P39" i="3"/>
  <x:c r="Q39" i="3"/>
  <x:c r="S39" i="3"/>
  <x:c r="T39" i="3"/>
  <x:c r="U39" i="3"/>
  <x:c r="V39" i="3"/>
  <x:c r="M40" i="3"/>
  <x:c r="O40" i="3"/>
  <x:c r="P40" i="3"/>
  <x:c r="Q40" i="3"/>
  <x:c r="S40" i="3"/>
  <x:c r="T40" i="3"/>
  <x:c r="U40" i="3"/>
  <x:c r="V40" i="3"/>
  <x:c r="M41" i="3"/>
  <x:c r="O41" i="3"/>
  <x:c r="P41" i="3"/>
  <x:c r="Q41" i="3"/>
  <x:c r="S41" i="3"/>
  <x:c r="T41" i="3"/>
  <x:c r="U41" i="3"/>
  <x:c r="V41" i="3"/>
  <x:c r="M42" i="3"/>
  <x:c r="O42" i="3"/>
  <x:c r="P42" i="3"/>
  <x:c r="Q42" i="3"/>
  <x:c r="S42" i="3"/>
  <x:c r="T42" i="3"/>
  <x:c r="U42" i="3"/>
  <x:c r="V42" i="3"/>
  <x:c r="M43" i="3"/>
  <x:c r="O43" i="3"/>
  <x:c r="P43" i="3"/>
  <x:c r="Q43" i="3"/>
  <x:c r="S43" i="3"/>
  <x:c r="T43" i="3"/>
  <x:c r="U43" i="3"/>
  <x:c r="V43" i="3"/>
  <x:c r="M44" i="3"/>
  <x:c r="O44" i="3"/>
  <x:c r="P44" i="3"/>
  <x:c r="Q44" i="3"/>
  <x:c r="S44" i="3"/>
  <x:c r="T44" i="3"/>
  <x:c r="U44" i="3"/>
  <x:c r="V44" i="3"/>
  <x:c r="M45" i="3"/>
  <x:c r="O45" i="3"/>
  <x:c r="P45" i="3"/>
  <x:c r="Q45" i="3"/>
  <x:c r="S45" i="3"/>
  <x:c r="T45" i="3"/>
  <x:c r="U45" i="3"/>
  <x:c r="V45" i="3"/>
  <x:c r="M46" i="3"/>
  <x:c r="O46" i="3"/>
  <x:c r="P46" i="3"/>
  <x:c r="Q46" i="3"/>
  <x:c r="S46" i="3"/>
  <x:c r="T46" i="3"/>
  <x:c r="U46" i="3"/>
  <x:c r="V46" i="3"/>
  <x:c r="M47" i="3"/>
  <x:c r="O47" i="3"/>
  <x:c r="P47" i="3"/>
  <x:c r="Q47" i="3"/>
  <x:c r="S47" i="3"/>
  <x:c r="T47" i="3"/>
  <x:c r="U47" i="3"/>
  <x:c r="V47" i="3"/>
  <x:c r="M48" i="3"/>
  <x:c r="O48" i="3"/>
  <x:c r="P48" i="3"/>
  <x:c r="Q48" i="3"/>
  <x:c r="S48" i="3"/>
  <x:c r="T48" i="3"/>
  <x:c r="U48" i="3"/>
  <x:c r="V48" i="3"/>
  <x:c r="M49" i="3"/>
  <x:c r="O49" i="3"/>
  <x:c r="P49" i="3"/>
  <x:c r="Q49" i="3"/>
  <x:c r="S49" i="3"/>
  <x:c r="T49" i="3"/>
  <x:c r="U49" i="3"/>
  <x:c r="V49" i="3"/>
  <x:c r="M50" i="3"/>
  <x:c r="O50" i="3"/>
  <x:c r="P50" i="3"/>
  <x:c r="Q50" i="3"/>
  <x:c r="S50" i="3"/>
  <x:c r="T50" i="3"/>
  <x:c r="U50" i="3"/>
  <x:c r="V50" i="3"/>
  <x:c r="M51" i="3"/>
  <x:c r="O51" i="3"/>
  <x:c r="P51" i="3"/>
  <x:c r="Q51" i="3"/>
  <x:c r="S51" i="3"/>
  <x:c r="T51" i="3"/>
  <x:c r="U51" i="3"/>
  <x:c r="V51" i="3"/>
  <x:c r="M52" i="3"/>
  <x:c r="O52" i="3"/>
  <x:c r="P52" i="3"/>
  <x:c r="Q52" i="3"/>
  <x:c r="S52" i="3"/>
  <x:c r="T52" i="3"/>
  <x:c r="U52" i="3"/>
  <x:c r="V52" i="3"/>
  <x:c r="M53" i="3"/>
  <x:c r="O53" i="3"/>
  <x:c r="P53" i="3"/>
  <x:c r="Q53" i="3"/>
  <x:c r="S53" i="3"/>
  <x:c r="T53" i="3"/>
  <x:c r="U53" i="3"/>
  <x:c r="V53" i="3"/>
  <x:c r="M54" i="3"/>
  <x:c r="O54" i="3"/>
  <x:c r="P54" i="3"/>
  <x:c r="Q54" i="3"/>
  <x:c r="S54" i="3"/>
  <x:c r="T54" i="3"/>
  <x:c r="U54" i="3"/>
  <x:c r="V54" i="3"/>
  <x:c r="M55" i="3"/>
  <x:c r="O55" i="3"/>
  <x:c r="P55" i="3"/>
  <x:c r="Q55" i="3"/>
  <x:c r="S55" i="3"/>
  <x:c r="T55" i="3"/>
  <x:c r="U55" i="3"/>
  <x:c r="V55" i="3"/>
  <x:c r="M56" i="3"/>
  <x:c r="O56" i="3"/>
  <x:c r="P56" i="3"/>
  <x:c r="Q56" i="3"/>
  <x:c r="S56" i="3"/>
  <x:c r="T56" i="3"/>
  <x:c r="U56" i="3"/>
  <x:c r="V56" i="3"/>
  <x:c r="M57" i="3"/>
  <x:c r="O57" i="3"/>
  <x:c r="P57" i="3"/>
  <x:c r="Q57" i="3"/>
  <x:c r="S57" i="3"/>
  <x:c r="T57" i="3"/>
  <x:c r="U57" i="3"/>
  <x:c r="V57" i="3"/>
  <x:c r="M58" i="3"/>
  <x:c r="O58" i="3"/>
  <x:c r="P58" i="3"/>
  <x:c r="Q58" i="3"/>
  <x:c r="S58" i="3"/>
  <x:c r="T58" i="3"/>
  <x:c r="U58" i="3"/>
  <x:c r="V58" i="3"/>
  <x:c r="M59" i="3"/>
  <x:c r="O59" i="3"/>
  <x:c r="P59" i="3"/>
  <x:c r="Q59" i="3"/>
  <x:c r="S59" i="3"/>
  <x:c r="T59" i="3"/>
  <x:c r="U59" i="3"/>
  <x:c r="V59" i="3"/>
  <x:c r="M60" i="3"/>
  <x:c r="O60" i="3"/>
  <x:c r="P60" i="3"/>
  <x:c r="Q60" i="3"/>
  <x:c r="S60" i="3"/>
  <x:c r="T60" i="3"/>
  <x:c r="U60" i="3"/>
  <x:c r="V60" i="3"/>
  <x:c r="M61" i="3"/>
  <x:c r="O61" i="3"/>
  <x:c r="P61" i="3"/>
  <x:c r="Q61" i="3"/>
  <x:c r="S61" i="3"/>
  <x:c r="T61" i="3"/>
  <x:c r="U61" i="3"/>
  <x:c r="V61" i="3"/>
  <x:c r="M62" i="3"/>
  <x:c r="O62" i="3"/>
  <x:c r="P62" i="3"/>
  <x:c r="Q62" i="3"/>
  <x:c r="S62" i="3"/>
  <x:c r="T62" i="3"/>
  <x:c r="U62" i="3"/>
  <x:c r="V62" i="3"/>
  <x:c r="M63" i="3"/>
  <x:c r="O63" i="3"/>
  <x:c r="P63" i="3"/>
  <x:c r="Q63" i="3"/>
  <x:c r="S63" i="3"/>
  <x:c r="T63" i="3"/>
  <x:c r="U63" i="3"/>
  <x:c r="V63" i="3"/>
  <x:c r="M64" i="3"/>
  <x:c r="O64" i="3"/>
  <x:c r="P64" i="3"/>
  <x:c r="Q64" i="3"/>
  <x:c r="S64" i="3"/>
  <x:c r="T64" i="3"/>
  <x:c r="U64" i="3"/>
  <x:c r="V64" i="3"/>
  <x:c r="M65" i="3"/>
  <x:c r="O65" i="3"/>
  <x:c r="P65" i="3"/>
  <x:c r="Q65" i="3"/>
  <x:c r="S65" i="3"/>
  <x:c r="T65" i="3"/>
  <x:c r="U65" i="3"/>
  <x:c r="V65" i="3"/>
  <x:c r="M66" i="3"/>
  <x:c r="O66" i="3"/>
  <x:c r="P66" i="3"/>
  <x:c r="Q66" i="3"/>
  <x:c r="S66" i="3"/>
  <x:c r="T66" i="3"/>
  <x:c r="U66" i="3"/>
  <x:c r="V66" i="3"/>
  <x:c r="M67" i="3"/>
  <x:c r="O67" i="3"/>
  <x:c r="P67" i="3"/>
  <x:c r="Q67" i="3"/>
  <x:c r="S67" i="3"/>
  <x:c r="T67" i="3"/>
  <x:c r="U67" i="3"/>
  <x:c r="V67" i="3"/>
  <x:c r="M68" i="3"/>
  <x:c r="O68" i="3"/>
  <x:c r="P68" i="3"/>
  <x:c r="Q68" i="3"/>
  <x:c r="S68" i="3"/>
  <x:c r="T68" i="3"/>
  <x:c r="U68" i="3"/>
  <x:c r="V68" i="3"/>
  <x:c r="M69" i="3"/>
  <x:c r="O69" i="3"/>
  <x:c r="P69" i="3"/>
  <x:c r="Q69" i="3"/>
  <x:c r="S69" i="3"/>
  <x:c r="T69" i="3"/>
  <x:c r="U69" i="3"/>
  <x:c r="V69" i="3"/>
  <x:c r="M70" i="3"/>
  <x:c r="O70" i="3"/>
  <x:c r="P70" i="3"/>
  <x:c r="Q70" i="3"/>
  <x:c r="S70" i="3"/>
  <x:c r="T70" i="3"/>
  <x:c r="U70" i="3"/>
  <x:c r="V70" i="3"/>
  <x:c r="M71" i="3"/>
  <x:c r="O71" i="3"/>
  <x:c r="P71" i="3"/>
  <x:c r="Q71" i="3"/>
  <x:c r="S71" i="3"/>
  <x:c r="T71" i="3"/>
  <x:c r="U71" i="3"/>
  <x:c r="V71" i="3"/>
  <x:c r="M72" i="3"/>
  <x:c r="O72" i="3"/>
  <x:c r="P72" i="3"/>
  <x:c r="Q72" i="3"/>
  <x:c r="S72" i="3"/>
  <x:c r="T72" i="3"/>
  <x:c r="U72" i="3"/>
  <x:c r="V72" i="3"/>
  <x:c r="M73" i="3"/>
  <x:c r="O73" i="3"/>
  <x:c r="P73" i="3"/>
  <x:c r="Q73" i="3"/>
  <x:c r="S73" i="3"/>
  <x:c r="T73" i="3"/>
  <x:c r="U73" i="3"/>
  <x:c r="V73" i="3"/>
  <x:c r="M74" i="3"/>
  <x:c r="O74" i="3"/>
  <x:c r="P74" i="3"/>
  <x:c r="Q74" i="3"/>
  <x:c r="S74" i="3"/>
  <x:c r="T74" i="3"/>
  <x:c r="U74" i="3"/>
  <x:c r="V74" i="3"/>
  <x:c r="M75" i="3"/>
  <x:c r="O75" i="3"/>
  <x:c r="P75" i="3"/>
  <x:c r="Q75" i="3"/>
  <x:c r="S75" i="3"/>
  <x:c r="T75" i="3"/>
  <x:c r="U75" i="3"/>
  <x:c r="V75" i="3"/>
  <x:c r="M76" i="3"/>
  <x:c r="O76" i="3"/>
  <x:c r="P76" i="3"/>
  <x:c r="Q76" i="3"/>
  <x:c r="S76" i="3"/>
  <x:c r="T76" i="3"/>
  <x:c r="U76" i="3"/>
  <x:c r="V76" i="3"/>
  <x:c r="M77" i="3"/>
  <x:c r="O77" i="3"/>
  <x:c r="P77" i="3"/>
  <x:c r="Q77" i="3"/>
  <x:c r="S77" i="3"/>
  <x:c r="T77" i="3"/>
  <x:c r="U77" i="3"/>
  <x:c r="V77" i="3"/>
  <x:c r="M78" i="3"/>
  <x:c r="O78" i="3"/>
  <x:c r="P78" i="3"/>
  <x:c r="Q78" i="3"/>
  <x:c r="S78" i="3"/>
  <x:c r="T78" i="3"/>
  <x:c r="U78" i="3"/>
  <x:c r="V78" i="3"/>
  <x:c r="M79" i="3"/>
  <x:c r="O79" i="3"/>
  <x:c r="P79" i="3"/>
  <x:c r="Q79" i="3"/>
  <x:c r="S79" i="3"/>
  <x:c r="T79" i="3"/>
  <x:c r="U79" i="3"/>
  <x:c r="V79" i="3"/>
  <x:c r="M80" i="3"/>
  <x:c r="O80" i="3"/>
  <x:c r="P80" i="3"/>
  <x:c r="Q80" i="3"/>
  <x:c r="S80" i="3"/>
  <x:c r="T80" i="3"/>
  <x:c r="U80" i="3"/>
  <x:c r="V80" i="3"/>
  <x:c r="M81" i="3"/>
  <x:c r="O81" i="3"/>
  <x:c r="P81" i="3"/>
  <x:c r="Q81" i="3"/>
  <x:c r="S81" i="3"/>
  <x:c r="T81" i="3"/>
  <x:c r="U81" i="3"/>
  <x:c r="V81" i="3"/>
  <x:c r="M82" i="3"/>
  <x:c r="O82" i="3"/>
  <x:c r="P82" i="3"/>
  <x:c r="Q82" i="3"/>
  <x:c r="S82" i="3"/>
  <x:c r="T82" i="3"/>
  <x:c r="U82" i="3"/>
  <x:c r="V82" i="3"/>
  <x:c r="M83" i="3"/>
  <x:c r="O83" i="3"/>
  <x:c r="P83" i="3"/>
  <x:c r="Q83" i="3"/>
  <x:c r="S83" i="3"/>
  <x:c r="T83" i="3"/>
  <x:c r="U83" i="3"/>
  <x:c r="V83" i="3"/>
  <x:c r="M84" i="3"/>
  <x:c r="O84" i="3"/>
  <x:c r="P84" i="3"/>
  <x:c r="Q84" i="3"/>
  <x:c r="S84" i="3"/>
  <x:c r="T84" i="3"/>
  <x:c r="U84" i="3"/>
  <x:c r="V84" i="3"/>
  <x:c r="M85" i="3"/>
  <x:c r="O85" i="3"/>
  <x:c r="P85" i="3"/>
  <x:c r="Q85" i="3"/>
  <x:c r="S85" i="3"/>
  <x:c r="T85" i="3"/>
  <x:c r="U85" i="3"/>
  <x:c r="V85" i="3"/>
  <x:c r="M86" i="3"/>
  <x:c r="O86" i="3"/>
  <x:c r="P86" i="3"/>
  <x:c r="Q86" i="3"/>
  <x:c r="S86" i="3"/>
  <x:c r="T86" i="3"/>
  <x:c r="U86" i="3"/>
  <x:c r="V86" i="3"/>
  <x:c r="M87" i="3"/>
  <x:c r="O87" i="3"/>
  <x:c r="P87" i="3"/>
  <x:c r="Q87" i="3"/>
  <x:c r="S87" i="3"/>
  <x:c r="T87" i="3"/>
  <x:c r="U87" i="3"/>
  <x:c r="V87" i="3"/>
  <x:c r="M88" i="3"/>
  <x:c r="O88" i="3"/>
  <x:c r="P88" i="3"/>
  <x:c r="Q88" i="3"/>
  <x:c r="S88" i="3"/>
  <x:c r="T88" i="3"/>
  <x:c r="U88" i="3"/>
  <x:c r="V88" i="3"/>
  <x:c r="M89" i="3"/>
  <x:c r="O89" i="3"/>
  <x:c r="P89" i="3"/>
  <x:c r="Q89" i="3"/>
  <x:c r="S89" i="3"/>
  <x:c r="T89" i="3"/>
  <x:c r="U89" i="3"/>
  <x:c r="V89" i="3"/>
  <x:c r="M90" i="3"/>
  <x:c r="O90" i="3"/>
  <x:c r="P90" i="3"/>
  <x:c r="Q90" i="3"/>
  <x:c r="S90" i="3"/>
  <x:c r="T90" i="3"/>
  <x:c r="U90" i="3"/>
  <x:c r="V90" i="3"/>
  <x:c r="M91" i="3"/>
  <x:c r="O91" i="3"/>
  <x:c r="P91" i="3"/>
  <x:c r="Q91" i="3"/>
  <x:c r="S91" i="3"/>
  <x:c r="T91" i="3"/>
  <x:c r="U91" i="3"/>
  <x:c r="V91" i="3"/>
  <x:c r="M92" i="3"/>
  <x:c r="O92" i="3"/>
  <x:c r="P92" i="3"/>
  <x:c r="Q92" i="3"/>
  <x:c r="S92" i="3"/>
  <x:c r="T92" i="3"/>
  <x:c r="U92" i="3"/>
  <x:c r="V92" i="3"/>
  <x:c r="M93" i="3"/>
  <x:c r="O93" i="3"/>
  <x:c r="P93" i="3"/>
  <x:c r="Q93" i="3"/>
  <x:c r="S93" i="3"/>
  <x:c r="T93" i="3"/>
  <x:c r="U93" i="3"/>
  <x:c r="V93" i="3"/>
  <x:c r="M94" i="3"/>
  <x:c r="O94" i="3"/>
  <x:c r="P94" i="3"/>
  <x:c r="Q94" i="3"/>
  <x:c r="S94" i="3"/>
  <x:c r="T94" i="3"/>
  <x:c r="U94" i="3"/>
  <x:c r="V94" i="3"/>
  <x:c r="M95" i="3"/>
  <x:c r="O95" i="3"/>
  <x:c r="P95" i="3"/>
  <x:c r="Q95" i="3"/>
  <x:c r="S95" i="3"/>
  <x:c r="T95" i="3"/>
  <x:c r="U95" i="3"/>
  <x:c r="V95" i="3"/>
  <x:c r="M96" i="3"/>
  <x:c r="O96" i="3"/>
  <x:c r="P96" i="3"/>
  <x:c r="Q96" i="3"/>
  <x:c r="S96" i="3"/>
  <x:c r="T96" i="3"/>
  <x:c r="U96" i="3"/>
  <x:c r="V96" i="3"/>
  <x:c r="M97" i="3"/>
  <x:c r="O97" i="3"/>
  <x:c r="P97" i="3"/>
  <x:c r="Q97" i="3"/>
  <x:c r="S97" i="3"/>
  <x:c r="T97" i="3"/>
  <x:c r="U97" i="3"/>
  <x:c r="V97" i="3"/>
  <x:c r="M98" i="3"/>
  <x:c r="O98" i="3"/>
  <x:c r="P98" i="3"/>
  <x:c r="Q98" i="3"/>
  <x:c r="S98" i="3"/>
  <x:c r="T98" i="3"/>
  <x:c r="U98" i="3"/>
  <x:c r="V98" i="3"/>
  <x:c r="M99" i="3"/>
  <x:c r="O99" i="3"/>
  <x:c r="P99" i="3"/>
  <x:c r="Q99" i="3"/>
  <x:c r="S99" i="3"/>
  <x:c r="T99" i="3"/>
  <x:c r="U99" i="3"/>
  <x:c r="V99" i="3"/>
  <x:c r="M100" i="3"/>
  <x:c r="O100" i="3"/>
  <x:c r="P100" i="3"/>
  <x:c r="Q100" i="3"/>
  <x:c r="S100" i="3"/>
  <x:c r="T100" i="3"/>
  <x:c r="U100" i="3"/>
  <x:c r="V100" i="3"/>
  <x:c r="M101" i="3"/>
  <x:c r="O101" i="3"/>
  <x:c r="P101" i="3"/>
  <x:c r="Q101" i="3"/>
  <x:c r="S101" i="3"/>
  <x:c r="T101" i="3"/>
  <x:c r="U101" i="3"/>
  <x:c r="V101" i="3"/>
  <x:c r="M102" i="3"/>
  <x:c r="O102" i="3"/>
  <x:c r="P102" i="3"/>
  <x:c r="Q102" i="3"/>
  <x:c r="S102" i="3"/>
  <x:c r="T102" i="3"/>
  <x:c r="U102" i="3"/>
  <x:c r="V102" i="3"/>
  <x:c r="M103" i="3"/>
  <x:c r="O103" i="3"/>
  <x:c r="P103" i="3"/>
  <x:c r="Q103" i="3"/>
  <x:c r="S103" i="3"/>
  <x:c r="T103" i="3"/>
  <x:c r="U103" i="3"/>
  <x:c r="V103" i="3"/>
  <x:c r="M104" i="3"/>
  <x:c r="O104" i="3"/>
  <x:c r="P104" i="3"/>
  <x:c r="Q104" i="3"/>
  <x:c r="S104" i="3"/>
  <x:c r="T104" i="3"/>
  <x:c r="U104" i="3"/>
  <x:c r="V104" i="3"/>
  <x:c r="M105" i="3"/>
  <x:c r="O105" i="3"/>
  <x:c r="P105" i="3"/>
  <x:c r="Q105" i="3"/>
  <x:c r="S105" i="3"/>
  <x:c r="T105" i="3"/>
  <x:c r="U105" i="3"/>
  <x:c r="V105" i="3"/>
  <x:c r="M106" i="3"/>
  <x:c r="O106" i="3"/>
  <x:c r="P106" i="3"/>
  <x:c r="Q106" i="3"/>
  <x:c r="S106" i="3"/>
  <x:c r="T106" i="3"/>
  <x:c r="U106" i="3"/>
  <x:c r="V106" i="3"/>
  <x:c r="M107" i="3"/>
  <x:c r="O107" i="3"/>
  <x:c r="P107" i="3"/>
  <x:c r="Q107" i="3"/>
  <x:c r="S107" i="3"/>
  <x:c r="T107" i="3"/>
  <x:c r="U107" i="3"/>
  <x:c r="V107" i="3"/>
  <x:c r="M108" i="3"/>
  <x:c r="O108" i="3"/>
  <x:c r="P108" i="3"/>
  <x:c r="Q108" i="3"/>
  <x:c r="S108" i="3"/>
  <x:c r="T108" i="3"/>
  <x:c r="U108" i="3"/>
  <x:c r="V108" i="3"/>
  <x:c r="M109" i="3"/>
  <x:c r="O109" i="3"/>
  <x:c r="P109" i="3"/>
  <x:c r="Q109" i="3"/>
  <x:c r="S109" i="3"/>
  <x:c r="T109" i="3"/>
  <x:c r="U109" i="3"/>
  <x:c r="V109" i="3"/>
  <x:c r="M110" i="3"/>
  <x:c r="O110" i="3"/>
  <x:c r="P110" i="3"/>
  <x:c r="Q110" i="3"/>
  <x:c r="S110" i="3"/>
  <x:c r="T110" i="3"/>
  <x:c r="U110" i="3"/>
  <x:c r="V110" i="3"/>
  <x:c r="M111" i="3"/>
  <x:c r="O111" i="3"/>
  <x:c r="P111" i="3"/>
  <x:c r="Q111" i="3"/>
  <x:c r="S111" i="3"/>
  <x:c r="T111" i="3"/>
  <x:c r="U111" i="3"/>
  <x:c r="V111" i="3"/>
  <x:c r="M112" i="3"/>
  <x:c r="O112" i="3"/>
  <x:c r="P112" i="3"/>
  <x:c r="Q112" i="3"/>
  <x:c r="S112" i="3"/>
  <x:c r="T112" i="3"/>
  <x:c r="U112" i="3"/>
  <x:c r="V112" i="3"/>
  <x:c r="M113" i="3"/>
  <x:c r="O113" i="3"/>
  <x:c r="P113" i="3"/>
  <x:c r="Q113" i="3"/>
  <x:c r="S113" i="3"/>
  <x:c r="T113" i="3"/>
  <x:c r="U113" i="3"/>
  <x:c r="V113" i="3"/>
  <x:c r="M114" i="3"/>
  <x:c r="O114" i="3"/>
  <x:c r="P114" i="3"/>
  <x:c r="Q114" i="3"/>
  <x:c r="S114" i="3"/>
  <x:c r="T114" i="3"/>
  <x:c r="U114" i="3"/>
  <x:c r="V114" i="3"/>
  <x:c r="M115" i="3"/>
  <x:c r="O115" i="3"/>
  <x:c r="P115" i="3"/>
  <x:c r="Q115" i="3"/>
  <x:c r="S115" i="3"/>
  <x:c r="T115" i="3"/>
  <x:c r="U115" i="3"/>
  <x:c r="V115" i="3"/>
  <x:c r="M116" i="3"/>
  <x:c r="O116" i="3"/>
  <x:c r="P116" i="3"/>
  <x:c r="Q116" i="3"/>
  <x:c r="S116" i="3"/>
  <x:c r="T116" i="3"/>
  <x:c r="U116" i="3"/>
  <x:c r="V116" i="3"/>
  <x:c r="M117" i="3"/>
  <x:c r="O117" i="3"/>
  <x:c r="P117" i="3"/>
  <x:c r="Q117" i="3"/>
  <x:c r="S117" i="3"/>
  <x:c r="T117" i="3"/>
  <x:c r="U117" i="3"/>
  <x:c r="V117" i="3"/>
  <x:c r="M118" i="3"/>
  <x:c r="O118" i="3"/>
  <x:c r="P118" i="3"/>
  <x:c r="Q118" i="3"/>
  <x:c r="S118" i="3"/>
  <x:c r="T118" i="3"/>
  <x:c r="U118" i="3"/>
  <x:c r="V118" i="3"/>
  <x:c r="M119" i="3"/>
  <x:c r="O119" i="3"/>
  <x:c r="P119" i="3"/>
  <x:c r="Q119" i="3"/>
  <x:c r="S119" i="3"/>
  <x:c r="T119" i="3"/>
  <x:c r="U119" i="3"/>
  <x:c r="V119" i="3"/>
  <x:c r="M120" i="3"/>
  <x:c r="O120" i="3"/>
  <x:c r="P120" i="3"/>
  <x:c r="Q120" i="3"/>
  <x:c r="S120" i="3"/>
  <x:c r="T120" i="3"/>
  <x:c r="U120" i="3"/>
  <x:c r="V120" i="3"/>
  <x:c r="M121" i="3"/>
  <x:c r="O121" i="3"/>
  <x:c r="P121" i="3"/>
  <x:c r="Q121" i="3"/>
  <x:c r="S121" i="3"/>
  <x:c r="T121" i="3"/>
  <x:c r="U121" i="3"/>
  <x:c r="V121" i="3"/>
  <x:c r="M122" i="3"/>
  <x:c r="O122" i="3"/>
  <x:c r="P122" i="3"/>
  <x:c r="Q122" i="3"/>
  <x:c r="S122" i="3"/>
  <x:c r="T122" i="3"/>
  <x:c r="U122" i="3"/>
  <x:c r="V122" i="3"/>
  <x:c r="M123" i="3"/>
  <x:c r="O123" i="3"/>
  <x:c r="P123" i="3"/>
  <x:c r="Q123" i="3"/>
  <x:c r="S123" i="3"/>
  <x:c r="T123" i="3"/>
  <x:c r="U123" i="3"/>
  <x:c r="V123" i="3"/>
  <x:c r="M124" i="3"/>
  <x:c r="O124" i="3"/>
  <x:c r="P124" i="3"/>
  <x:c r="Q124" i="3"/>
  <x:c r="S124" i="3"/>
  <x:c r="T124" i="3"/>
  <x:c r="U124" i="3"/>
  <x:c r="V124" i="3"/>
  <x:c r="M125" i="3"/>
  <x:c r="O125" i="3"/>
  <x:c r="P125" i="3"/>
  <x:c r="Q125" i="3"/>
  <x:c r="S125" i="3"/>
  <x:c r="T125" i="3"/>
  <x:c r="U125" i="3"/>
  <x:c r="V125" i="3"/>
  <x:c r="M126" i="3"/>
  <x:c r="O126" i="3"/>
  <x:c r="P126" i="3"/>
  <x:c r="Q126" i="3"/>
  <x:c r="S126" i="3"/>
  <x:c r="T126" i="3"/>
  <x:c r="U126" i="3"/>
  <x:c r="V126" i="3"/>
  <x:c r="M127" i="3"/>
  <x:c r="O127" i="3"/>
  <x:c r="P127" i="3"/>
  <x:c r="Q127" i="3"/>
  <x:c r="S127" i="3"/>
  <x:c r="T127" i="3"/>
  <x:c r="U127" i="3"/>
  <x:c r="V127" i="3"/>
  <x:c r="M128" i="3"/>
  <x:c r="O128" i="3"/>
  <x:c r="P128" i="3"/>
  <x:c r="Q128" i="3"/>
  <x:c r="S128" i="3"/>
  <x:c r="T128" i="3"/>
  <x:c r="U128" i="3"/>
  <x:c r="V128" i="3"/>
  <x:c r="M129" i="3"/>
  <x:c r="O129" i="3"/>
  <x:c r="P129" i="3"/>
  <x:c r="Q129" i="3"/>
  <x:c r="S129" i="3"/>
  <x:c r="T129" i="3"/>
  <x:c r="U129" i="3"/>
  <x:c r="V129" i="3"/>
  <x:c r="M130" i="3"/>
  <x:c r="O130" i="3"/>
  <x:c r="P130" i="3"/>
  <x:c r="Q130" i="3"/>
  <x:c r="S130" i="3"/>
  <x:c r="T130" i="3"/>
  <x:c r="U130" i="3"/>
  <x:c r="V130" i="3"/>
  <x:c r="M131" i="3"/>
  <x:c r="O131" i="3"/>
  <x:c r="P131" i="3"/>
  <x:c r="Q131" i="3"/>
  <x:c r="S131" i="3"/>
  <x:c r="T131" i="3"/>
  <x:c r="U131" i="3"/>
  <x:c r="V131" i="3"/>
  <x:c r="M132" i="3"/>
  <x:c r="O132" i="3"/>
  <x:c r="P132" i="3"/>
  <x:c r="Q132" i="3"/>
  <x:c r="S132" i="3"/>
  <x:c r="T132" i="3"/>
  <x:c r="U132" i="3"/>
  <x:c r="V132" i="3"/>
  <x:c r="M133" i="3"/>
  <x:c r="O133" i="3"/>
  <x:c r="P133" i="3"/>
  <x:c r="Q133" i="3"/>
  <x:c r="S133" i="3"/>
  <x:c r="T133" i="3"/>
  <x:c r="U133" i="3"/>
  <x:c r="V133" i="3"/>
  <x:c r="M134" i="3"/>
  <x:c r="O134" i="3"/>
  <x:c r="P134" i="3"/>
  <x:c r="Q134" i="3"/>
  <x:c r="S134" i="3"/>
  <x:c r="T134" i="3"/>
  <x:c r="U134" i="3"/>
  <x:c r="V134" i="3"/>
  <x:c r="M135" i="3"/>
  <x:c r="O135" i="3"/>
  <x:c r="P135" i="3"/>
  <x:c r="Q135" i="3"/>
  <x:c r="S135" i="3"/>
  <x:c r="T135" i="3"/>
  <x:c r="U135" i="3"/>
  <x:c r="V135" i="3"/>
  <x:c r="M136" i="3"/>
  <x:c r="O136" i="3"/>
  <x:c r="P136" i="3"/>
  <x:c r="Q136" i="3"/>
  <x:c r="S136" i="3"/>
  <x:c r="T136" i="3"/>
  <x:c r="U136" i="3"/>
  <x:c r="V136" i="3"/>
  <x:c r="M137" i="3"/>
  <x:c r="O137" i="3"/>
  <x:c r="P137" i="3"/>
  <x:c r="Q137" i="3"/>
  <x:c r="S137" i="3"/>
  <x:c r="T137" i="3"/>
  <x:c r="U137" i="3"/>
  <x:c r="V137" i="3"/>
  <x:c r="M138" i="3"/>
  <x:c r="O138" i="3"/>
  <x:c r="P138" i="3"/>
  <x:c r="Q138" i="3"/>
  <x:c r="S138" i="3"/>
  <x:c r="T138" i="3"/>
  <x:c r="U138" i="3"/>
  <x:c r="V138" i="3"/>
  <x:c r="M139" i="3"/>
  <x:c r="O139" i="3"/>
  <x:c r="P139" i="3"/>
  <x:c r="Q139" i="3"/>
  <x:c r="S139" i="3"/>
  <x:c r="T139" i="3"/>
  <x:c r="U139" i="3"/>
  <x:c r="V139" i="3"/>
  <x:c r="M140" i="3"/>
  <x:c r="O140" i="3"/>
  <x:c r="P140" i="3"/>
  <x:c r="Q140" i="3"/>
  <x:c r="S140" i="3"/>
  <x:c r="T140" i="3"/>
  <x:c r="U140" i="3"/>
  <x:c r="V140" i="3"/>
  <x:c r="M141" i="3"/>
  <x:c r="O141" i="3"/>
  <x:c r="P141" i="3"/>
  <x:c r="Q141" i="3"/>
  <x:c r="S141" i="3"/>
  <x:c r="T141" i="3"/>
  <x:c r="U141" i="3"/>
  <x:c r="V141" i="3"/>
  <x:c r="M142" i="3"/>
  <x:c r="O142" i="3"/>
  <x:c r="P142" i="3"/>
  <x:c r="Q142" i="3"/>
  <x:c r="S142" i="3"/>
  <x:c r="T142" i="3"/>
  <x:c r="U142" i="3"/>
  <x:c r="V142" i="3"/>
  <x:c r="M143" i="3"/>
  <x:c r="O143" i="3"/>
  <x:c r="P143" i="3"/>
  <x:c r="Q143" i="3"/>
  <x:c r="S143" i="3"/>
  <x:c r="T143" i="3"/>
  <x:c r="U143" i="3"/>
  <x:c r="V143" i="3"/>
  <x:c r="M144" i="3"/>
  <x:c r="O144" i="3"/>
  <x:c r="P144" i="3"/>
  <x:c r="Q144" i="3"/>
  <x:c r="S144" i="3"/>
  <x:c r="T144" i="3"/>
  <x:c r="U144" i="3"/>
  <x:c r="V144" i="3"/>
  <x:c r="M145" i="3"/>
  <x:c r="O145" i="3"/>
  <x:c r="P145" i="3"/>
  <x:c r="Q145" i="3"/>
  <x:c r="S145" i="3"/>
  <x:c r="T145" i="3"/>
  <x:c r="U145" i="3"/>
  <x:c r="V145" i="3"/>
  <x:c r="M146" i="3"/>
  <x:c r="O146" i="3"/>
  <x:c r="P146" i="3"/>
  <x:c r="Q146" i="3"/>
  <x:c r="S146" i="3"/>
  <x:c r="T146" i="3"/>
  <x:c r="U146" i="3"/>
  <x:c r="V146" i="3"/>
  <x:c r="M147" i="3"/>
  <x:c r="O147" i="3"/>
  <x:c r="P147" i="3"/>
  <x:c r="Q147" i="3"/>
  <x:c r="S147" i="3"/>
  <x:c r="T147" i="3"/>
  <x:c r="U147" i="3"/>
  <x:c r="V147" i="3"/>
  <x:c r="M148" i="3"/>
  <x:c r="O148" i="3"/>
  <x:c r="P148" i="3"/>
  <x:c r="Q148" i="3"/>
  <x:c r="S148" i="3"/>
  <x:c r="T148" i="3"/>
  <x:c r="U148" i="3"/>
  <x:c r="V148" i="3"/>
  <x:c r="M149" i="3"/>
  <x:c r="O149" i="3"/>
  <x:c r="P149" i="3"/>
  <x:c r="Q149" i="3"/>
  <x:c r="S149" i="3"/>
  <x:c r="T149" i="3"/>
  <x:c r="U149" i="3"/>
  <x:c r="V149" i="3"/>
  <x:c r="M150" i="3"/>
  <x:c r="O150" i="3"/>
  <x:c r="P150" i="3"/>
  <x:c r="Q150" i="3"/>
  <x:c r="S150" i="3"/>
  <x:c r="T150" i="3"/>
  <x:c r="U150" i="3"/>
  <x:c r="V150" i="3"/>
  <x:c r="M151" i="3"/>
  <x:c r="O151" i="3"/>
  <x:c r="P151" i="3"/>
  <x:c r="Q151" i="3"/>
  <x:c r="S151" i="3"/>
  <x:c r="T151" i="3"/>
  <x:c r="U151" i="3"/>
  <x:c r="V151" i="3"/>
  <x:c r="M152" i="3"/>
  <x:c r="O152" i="3"/>
  <x:c r="P152" i="3"/>
  <x:c r="Q152" i="3"/>
  <x:c r="S152" i="3"/>
  <x:c r="T152" i="3"/>
  <x:c r="U152" i="3"/>
  <x:c r="V152" i="3"/>
  <x:c r="M153" i="3"/>
  <x:c r="O153" i="3"/>
  <x:c r="P153" i="3"/>
  <x:c r="Q153" i="3"/>
  <x:c r="S153" i="3"/>
  <x:c r="T153" i="3"/>
  <x:c r="U153" i="3"/>
  <x:c r="V153" i="3"/>
  <x:c r="M154" i="3"/>
  <x:c r="O154" i="3"/>
  <x:c r="P154" i="3"/>
  <x:c r="Q154" i="3"/>
  <x:c r="S154" i="3"/>
  <x:c r="T154" i="3"/>
  <x:c r="U154" i="3"/>
  <x:c r="V154" i="3"/>
  <x:c r="M155" i="3"/>
  <x:c r="O155" i="3"/>
  <x:c r="P155" i="3"/>
  <x:c r="Q155" i="3"/>
  <x:c r="S155" i="3"/>
  <x:c r="T155" i="3"/>
  <x:c r="U155" i="3"/>
  <x:c r="V155" i="3"/>
  <x:c r="M156" i="3"/>
  <x:c r="O156" i="3"/>
  <x:c r="P156" i="3"/>
  <x:c r="Q156" i="3"/>
  <x:c r="S156" i="3"/>
  <x:c r="T156" i="3"/>
  <x:c r="U156" i="3"/>
  <x:c r="V156" i="3"/>
  <x:c r="M157" i="3"/>
  <x:c r="O157" i="3"/>
  <x:c r="P157" i="3"/>
  <x:c r="Q157" i="3"/>
  <x:c r="S157" i="3"/>
  <x:c r="T157" i="3"/>
  <x:c r="U157" i="3"/>
  <x:c r="V157" i="3"/>
  <x:c r="M158" i="3"/>
  <x:c r="O158" i="3"/>
  <x:c r="P158" i="3"/>
  <x:c r="Q158" i="3"/>
  <x:c r="S158" i="3"/>
  <x:c r="T158" i="3"/>
  <x:c r="U158" i="3"/>
  <x:c r="V158" i="3"/>
  <x:c r="M159" i="3"/>
  <x:c r="O159" i="3"/>
  <x:c r="P159" i="3"/>
  <x:c r="Q159" i="3"/>
  <x:c r="S159" i="3"/>
  <x:c r="T159" i="3"/>
  <x:c r="U159" i="3"/>
  <x:c r="V159" i="3"/>
  <x:c r="M160" i="3"/>
  <x:c r="O160" i="3"/>
  <x:c r="P160" i="3"/>
  <x:c r="Q160" i="3"/>
  <x:c r="S160" i="3"/>
  <x:c r="T160" i="3"/>
  <x:c r="U160" i="3"/>
  <x:c r="V160" i="3"/>
  <x:c r="M161" i="3"/>
  <x:c r="O161" i="3"/>
  <x:c r="P161" i="3"/>
  <x:c r="Q161" i="3"/>
  <x:c r="S161" i="3"/>
  <x:c r="T161" i="3"/>
  <x:c r="U161" i="3"/>
  <x:c r="V161" i="3"/>
  <x:c r="M162" i="3"/>
  <x:c r="O162" i="3"/>
  <x:c r="P162" i="3"/>
  <x:c r="Q162" i="3"/>
  <x:c r="S162" i="3"/>
  <x:c r="T162" i="3"/>
  <x:c r="U162" i="3"/>
  <x:c r="V162" i="3"/>
  <x:c r="M163" i="3"/>
  <x:c r="O163" i="3"/>
  <x:c r="P163" i="3"/>
  <x:c r="Q163" i="3"/>
  <x:c r="S163" i="3"/>
  <x:c r="T163" i="3"/>
  <x:c r="U163" i="3"/>
  <x:c r="V163" i="3"/>
  <x:c r="M164" i="3"/>
  <x:c r="O164" i="3"/>
  <x:c r="P164" i="3"/>
  <x:c r="Q164" i="3"/>
  <x:c r="S164" i="3"/>
  <x:c r="T164" i="3"/>
  <x:c r="U164" i="3"/>
  <x:c r="V164" i="3"/>
  <x:c r="M165" i="3"/>
  <x:c r="O165" i="3"/>
  <x:c r="P165" i="3"/>
  <x:c r="Q165" i="3"/>
  <x:c r="S165" i="3"/>
  <x:c r="T165" i="3"/>
  <x:c r="U165" i="3"/>
  <x:c r="V165" i="3"/>
  <x:c r="M166" i="3"/>
  <x:c r="O166" i="3"/>
  <x:c r="P166" i="3"/>
  <x:c r="Q166" i="3"/>
  <x:c r="S166" i="3"/>
  <x:c r="T166" i="3"/>
  <x:c r="U166" i="3"/>
  <x:c r="V166" i="3"/>
  <x:c r="M167" i="3"/>
  <x:c r="O167" i="3"/>
  <x:c r="P167" i="3"/>
  <x:c r="Q167" i="3"/>
  <x:c r="S167" i="3"/>
  <x:c r="T167" i="3"/>
  <x:c r="U167" i="3"/>
  <x:c r="V167" i="3"/>
  <x:c r="M168" i="3"/>
  <x:c r="O168" i="3"/>
  <x:c r="P168" i="3"/>
  <x:c r="Q168" i="3"/>
  <x:c r="S168" i="3"/>
  <x:c r="T168" i="3"/>
  <x:c r="U168" i="3"/>
  <x:c r="V168" i="3"/>
  <x:c r="M169" i="3"/>
  <x:c r="O169" i="3"/>
  <x:c r="P169" i="3"/>
  <x:c r="Q169" i="3"/>
  <x:c r="S169" i="3"/>
  <x:c r="T169" i="3"/>
  <x:c r="U169" i="3"/>
  <x:c r="V169" i="3"/>
  <x:c r="M170" i="3"/>
  <x:c r="O170" i="3"/>
  <x:c r="P170" i="3"/>
  <x:c r="Q170" i="3"/>
  <x:c r="S170" i="3"/>
  <x:c r="T170" i="3"/>
  <x:c r="U170" i="3"/>
  <x:c r="V170" i="3"/>
  <x:c r="M171" i="3"/>
  <x:c r="O171" i="3"/>
  <x:c r="P171" i="3"/>
  <x:c r="Q171" i="3"/>
  <x:c r="S171" i="3"/>
  <x:c r="T171" i="3"/>
  <x:c r="U171" i="3"/>
  <x:c r="V171" i="3"/>
  <x:c r="M172" i="3"/>
  <x:c r="O172" i="3"/>
  <x:c r="P172" i="3"/>
  <x:c r="Q172" i="3"/>
  <x:c r="S172" i="3"/>
  <x:c r="T172" i="3"/>
  <x:c r="U172" i="3"/>
  <x:c r="V172" i="3"/>
  <x:c r="M173" i="3"/>
  <x:c r="O173" i="3"/>
  <x:c r="P173" i="3"/>
  <x:c r="Q173" i="3"/>
  <x:c r="S173" i="3"/>
  <x:c r="T173" i="3"/>
  <x:c r="U173" i="3"/>
  <x:c r="V173" i="3"/>
  <x:c r="M174" i="3"/>
  <x:c r="O174" i="3"/>
  <x:c r="P174" i="3"/>
  <x:c r="Q174" i="3"/>
  <x:c r="S174" i="3"/>
  <x:c r="T174" i="3"/>
  <x:c r="U174" i="3"/>
  <x:c r="V174" i="3"/>
  <x:c r="M175" i="3"/>
  <x:c r="O175" i="3"/>
  <x:c r="P175" i="3"/>
  <x:c r="Q175" i="3"/>
  <x:c r="S175" i="3"/>
  <x:c r="T175" i="3"/>
  <x:c r="U175" i="3"/>
  <x:c r="V175" i="3"/>
  <x:c r="M176" i="3"/>
  <x:c r="O176" i="3"/>
  <x:c r="P176" i="3"/>
  <x:c r="Q176" i="3"/>
  <x:c r="S176" i="3"/>
  <x:c r="T176" i="3"/>
  <x:c r="U176" i="3"/>
  <x:c r="V176" i="3"/>
  <x:c r="M177" i="3"/>
  <x:c r="O177" i="3"/>
  <x:c r="P177" i="3"/>
  <x:c r="Q177" i="3"/>
  <x:c r="S177" i="3"/>
  <x:c r="T177" i="3"/>
  <x:c r="U177" i="3"/>
  <x:c r="V177" i="3"/>
  <x:c r="M178" i="3"/>
  <x:c r="O178" i="3"/>
  <x:c r="P178" i="3"/>
  <x:c r="Q178" i="3"/>
  <x:c r="S178" i="3"/>
  <x:c r="T178" i="3"/>
  <x:c r="U178" i="3"/>
  <x:c r="V178" i="3"/>
  <x:c r="M179" i="3"/>
  <x:c r="O179" i="3"/>
  <x:c r="P179" i="3"/>
  <x:c r="Q179" i="3"/>
  <x:c r="S179" i="3"/>
  <x:c r="T179" i="3"/>
  <x:c r="U179" i="3"/>
  <x:c r="V179" i="3"/>
  <x:c r="M180" i="3"/>
  <x:c r="O180" i="3"/>
  <x:c r="P180" i="3"/>
  <x:c r="Q180" i="3"/>
  <x:c r="S180" i="3"/>
  <x:c r="T180" i="3"/>
  <x:c r="U180" i="3"/>
  <x:c r="V180" i="3"/>
  <x:c r="M181" i="3"/>
  <x:c r="O181" i="3"/>
  <x:c r="P181" i="3"/>
  <x:c r="Q181" i="3"/>
  <x:c r="S181" i="3"/>
  <x:c r="T181" i="3"/>
  <x:c r="U181" i="3"/>
  <x:c r="V181" i="3"/>
  <x:c r="M182" i="3"/>
  <x:c r="O182" i="3"/>
  <x:c r="P182" i="3"/>
  <x:c r="Q182" i="3"/>
  <x:c r="S182" i="3"/>
  <x:c r="T182" i="3"/>
  <x:c r="U182" i="3"/>
  <x:c r="V182" i="3"/>
  <x:c r="M183" i="3"/>
  <x:c r="O183" i="3"/>
  <x:c r="P183" i="3"/>
  <x:c r="Q183" i="3"/>
  <x:c r="S183" i="3"/>
  <x:c r="T183" i="3"/>
  <x:c r="U183" i="3"/>
  <x:c r="V183" i="3"/>
  <x:c r="M184" i="3"/>
  <x:c r="O184" i="3"/>
  <x:c r="P184" i="3"/>
  <x:c r="Q184" i="3"/>
  <x:c r="S184" i="3"/>
  <x:c r="T184" i="3"/>
  <x:c r="U184" i="3"/>
  <x:c r="V184" i="3"/>
  <x:c r="M185" i="3"/>
  <x:c r="O185" i="3"/>
  <x:c r="P185" i="3"/>
  <x:c r="Q185" i="3"/>
  <x:c r="S185" i="3"/>
  <x:c r="T185" i="3"/>
  <x:c r="U185" i="3"/>
  <x:c r="V185" i="3"/>
  <x:c r="M186" i="3"/>
  <x:c r="O186" i="3"/>
  <x:c r="P186" i="3"/>
  <x:c r="Q186" i="3"/>
  <x:c r="S186" i="3"/>
  <x:c r="T186" i="3"/>
  <x:c r="U186" i="3"/>
  <x:c r="V186" i="3"/>
  <x:c r="M187" i="3"/>
  <x:c r="O187" i="3"/>
  <x:c r="P187" i="3"/>
  <x:c r="Q187" i="3"/>
  <x:c r="S187" i="3"/>
  <x:c r="T187" i="3"/>
  <x:c r="U187" i="3"/>
  <x:c r="V187" i="3"/>
  <x:c r="M188" i="3"/>
  <x:c r="O188" i="3"/>
  <x:c r="P188" i="3"/>
  <x:c r="Q188" i="3"/>
  <x:c r="S188" i="3"/>
  <x:c r="T188" i="3"/>
  <x:c r="U188" i="3"/>
  <x:c r="V188" i="3"/>
  <x:c r="M189" i="3"/>
  <x:c r="O189" i="3"/>
  <x:c r="P189" i="3"/>
  <x:c r="Q189" i="3"/>
  <x:c r="S189" i="3"/>
  <x:c r="T189" i="3"/>
  <x:c r="U189" i="3"/>
  <x:c r="V189" i="3"/>
  <x:c r="M190" i="3"/>
  <x:c r="O190" i="3"/>
  <x:c r="P190" i="3"/>
  <x:c r="Q190" i="3"/>
  <x:c r="S190" i="3"/>
  <x:c r="T190" i="3"/>
  <x:c r="U190" i="3"/>
  <x:c r="V190" i="3"/>
  <x:c r="M191" i="3"/>
  <x:c r="O191" i="3"/>
  <x:c r="P191" i="3"/>
  <x:c r="Q191" i="3"/>
  <x:c r="S191" i="3"/>
  <x:c r="T191" i="3"/>
  <x:c r="U191" i="3"/>
  <x:c r="V191" i="3"/>
  <x:c r="M192" i="3"/>
  <x:c r="O192" i="3"/>
  <x:c r="P192" i="3"/>
  <x:c r="Q192" i="3"/>
  <x:c r="S192" i="3"/>
  <x:c r="T192" i="3"/>
  <x:c r="U192" i="3"/>
  <x:c r="V192" i="3"/>
  <x:c r="M193" i="3"/>
  <x:c r="O193" i="3"/>
  <x:c r="P193" i="3"/>
  <x:c r="Q193" i="3"/>
  <x:c r="S193" i="3"/>
  <x:c r="T193" i="3"/>
  <x:c r="U193" i="3"/>
  <x:c r="V193" i="3"/>
  <x:c r="M194" i="3"/>
  <x:c r="O194" i="3"/>
  <x:c r="P194" i="3"/>
  <x:c r="Q194" i="3"/>
  <x:c r="S194" i="3"/>
  <x:c r="T194" i="3"/>
  <x:c r="U194" i="3"/>
  <x:c r="V194" i="3"/>
  <x:c r="M195" i="3"/>
  <x:c r="O195" i="3"/>
  <x:c r="P195" i="3"/>
  <x:c r="Q195" i="3"/>
  <x:c r="S195" i="3"/>
  <x:c r="T195" i="3"/>
  <x:c r="U195" i="3"/>
  <x:c r="V195" i="3"/>
  <x:c r="M196" i="3"/>
  <x:c r="O196" i="3"/>
  <x:c r="P196" i="3"/>
  <x:c r="Q196" i="3"/>
  <x:c r="S196" i="3"/>
  <x:c r="T196" i="3"/>
  <x:c r="U196" i="3"/>
  <x:c r="V196" i="3"/>
  <x:c r="M197" i="3"/>
  <x:c r="O197" i="3"/>
  <x:c r="P197" i="3"/>
  <x:c r="Q197" i="3"/>
  <x:c r="S197" i="3"/>
  <x:c r="T197" i="3"/>
  <x:c r="U197" i="3"/>
  <x:c r="V197" i="3"/>
  <x:c r="M198" i="3"/>
  <x:c r="O198" i="3"/>
  <x:c r="P198" i="3"/>
  <x:c r="Q198" i="3"/>
  <x:c r="S198" i="3"/>
  <x:c r="T198" i="3"/>
  <x:c r="U198" i="3"/>
  <x:c r="V198" i="3"/>
  <x:c r="M199" i="3"/>
  <x:c r="O199" i="3"/>
  <x:c r="P199" i="3"/>
  <x:c r="Q199" i="3"/>
  <x:c r="S199" i="3"/>
  <x:c r="T199" i="3"/>
  <x:c r="U199" i="3"/>
  <x:c r="V199" i="3"/>
  <x:c r="M200" i="3"/>
  <x:c r="O200" i="3"/>
  <x:c r="P200" i="3"/>
  <x:c r="Q200" i="3"/>
  <x:c r="S200" i="3"/>
  <x:c r="T200" i="3"/>
  <x:c r="U200" i="3"/>
  <x:c r="V200" i="3"/>
  <x:c r="M201" i="3"/>
  <x:c r="O201" i="3"/>
  <x:c r="P201" i="3"/>
  <x:c r="Q201" i="3"/>
  <x:c r="S201" i="3"/>
  <x:c r="T201" i="3"/>
  <x:c r="U201" i="3"/>
  <x:c r="V201" i="3"/>
  <x:c r="M202" i="3"/>
  <x:c r="O202" i="3"/>
  <x:c r="P202" i="3"/>
  <x:c r="Q202" i="3"/>
  <x:c r="S202" i="3"/>
  <x:c r="T202" i="3"/>
  <x:c r="U202" i="3"/>
  <x:c r="V202" i="3"/>
  <x:c r="M203" i="3"/>
  <x:c r="O203" i="3"/>
  <x:c r="P203" i="3"/>
  <x:c r="Q203" i="3"/>
  <x:c r="S203" i="3"/>
  <x:c r="T203" i="3"/>
  <x:c r="U203" i="3"/>
  <x:c r="V203" i="3"/>
  <x:c r="M204" i="3"/>
  <x:c r="O204" i="3"/>
  <x:c r="P204" i="3"/>
  <x:c r="Q204" i="3"/>
  <x:c r="S204" i="3"/>
  <x:c r="T204" i="3"/>
  <x:c r="U204" i="3"/>
  <x:c r="V204" i="3"/>
  <x:c r="M205" i="3"/>
  <x:c r="O205" i="3"/>
  <x:c r="P205" i="3"/>
  <x:c r="Q205" i="3"/>
  <x:c r="S205" i="3"/>
  <x:c r="T205" i="3"/>
  <x:c r="U205" i="3"/>
  <x:c r="V205" i="3"/>
  <x:c r="M206" i="3"/>
  <x:c r="O206" i="3"/>
  <x:c r="P206" i="3"/>
  <x:c r="Q206" i="3"/>
  <x:c r="S206" i="3"/>
  <x:c r="T206" i="3"/>
  <x:c r="U206" i="3"/>
  <x:c r="V206" i="3"/>
  <x:c r="M207" i="3"/>
  <x:c r="O207" i="3"/>
  <x:c r="P207" i="3"/>
  <x:c r="Q207" i="3"/>
  <x:c r="S207" i="3"/>
  <x:c r="T207" i="3"/>
  <x:c r="U207" i="3"/>
  <x:c r="V207" i="3"/>
  <x:c r="M208" i="3"/>
  <x:c r="O208" i="3"/>
  <x:c r="P208" i="3"/>
  <x:c r="Q208" i="3"/>
  <x:c r="S208" i="3"/>
  <x:c r="T208" i="3"/>
  <x:c r="U208" i="3"/>
  <x:c r="V208" i="3"/>
  <x:c r="M209" i="3"/>
  <x:c r="O209" i="3"/>
  <x:c r="P209" i="3"/>
  <x:c r="Q209" i="3"/>
  <x:c r="S209" i="3"/>
  <x:c r="T209" i="3"/>
  <x:c r="U209" i="3"/>
  <x:c r="V209" i="3"/>
  <x:c r="M210" i="3"/>
  <x:c r="O210" i="3"/>
  <x:c r="P210" i="3"/>
  <x:c r="Q210" i="3"/>
  <x:c r="S210" i="3"/>
  <x:c r="T210" i="3"/>
  <x:c r="U210" i="3"/>
  <x:c r="V210" i="3"/>
  <x:c r="M211" i="3"/>
  <x:c r="O211" i="3"/>
  <x:c r="P211" i="3"/>
  <x:c r="Q211" i="3"/>
  <x:c r="S211" i="3"/>
  <x:c r="T211" i="3"/>
  <x:c r="U211" i="3"/>
  <x:c r="V211" i="3"/>
  <x:c r="M212" i="3"/>
  <x:c r="O212" i="3"/>
  <x:c r="P212" i="3"/>
  <x:c r="Q212" i="3"/>
  <x:c r="S212" i="3"/>
  <x:c r="T212" i="3"/>
  <x:c r="U212" i="3"/>
  <x:c r="V212" i="3"/>
  <x:c r="M213" i="3"/>
  <x:c r="O213" i="3"/>
  <x:c r="P213" i="3"/>
  <x:c r="Q213" i="3"/>
  <x:c r="S213" i="3"/>
  <x:c r="T213" i="3"/>
  <x:c r="U213" i="3"/>
  <x:c r="V213" i="3"/>
  <x:c r="M214" i="3"/>
  <x:c r="O214" i="3"/>
  <x:c r="P214" i="3"/>
  <x:c r="Q214" i="3"/>
  <x:c r="S214" i="3"/>
  <x:c r="T214" i="3"/>
  <x:c r="U214" i="3"/>
  <x:c r="V214" i="3"/>
  <x:c r="M215" i="3"/>
  <x:c r="O215" i="3"/>
  <x:c r="P215" i="3"/>
  <x:c r="Q215" i="3"/>
  <x:c r="S215" i="3"/>
  <x:c r="T215" i="3"/>
  <x:c r="U215" i="3"/>
  <x:c r="V215" i="3"/>
  <x:c r="M216" i="3"/>
  <x:c r="O216" i="3"/>
  <x:c r="P216" i="3"/>
  <x:c r="Q216" i="3"/>
  <x:c r="S216" i="3"/>
  <x:c r="T216" i="3"/>
  <x:c r="U216" i="3"/>
  <x:c r="V216" i="3"/>
  <x:c r="M217" i="3"/>
  <x:c r="O217" i="3"/>
  <x:c r="P217" i="3"/>
  <x:c r="Q217" i="3"/>
  <x:c r="S217" i="3"/>
  <x:c r="T217" i="3"/>
  <x:c r="U217" i="3"/>
  <x:c r="V217" i="3"/>
  <x:c r="M218" i="3"/>
  <x:c r="O218" i="3"/>
  <x:c r="P218" i="3"/>
  <x:c r="Q218" i="3"/>
  <x:c r="S218" i="3"/>
  <x:c r="T218" i="3"/>
  <x:c r="U218" i="3"/>
  <x:c r="V218" i="3"/>
  <x:c r="M219" i="3"/>
  <x:c r="O219" i="3"/>
  <x:c r="P219" i="3"/>
  <x:c r="Q219" i="3"/>
  <x:c r="S219" i="3"/>
  <x:c r="T219" i="3"/>
  <x:c r="U219" i="3"/>
  <x:c r="V219" i="3"/>
  <x:c r="M220" i="3"/>
  <x:c r="O220" i="3"/>
  <x:c r="P220" i="3"/>
  <x:c r="Q220" i="3"/>
  <x:c r="S220" i="3"/>
  <x:c r="T220" i="3"/>
  <x:c r="U220" i="3"/>
  <x:c r="V220" i="3"/>
  <x:c r="M221" i="3"/>
  <x:c r="O221" i="3"/>
  <x:c r="P221" i="3"/>
  <x:c r="Q221" i="3"/>
  <x:c r="S221" i="3"/>
  <x:c r="T221" i="3"/>
  <x:c r="U221" i="3"/>
  <x:c r="V221" i="3"/>
  <x:c r="M222" i="3"/>
  <x:c r="O222" i="3"/>
  <x:c r="P222" i="3"/>
  <x:c r="Q222" i="3"/>
  <x:c r="S222" i="3"/>
  <x:c r="T222" i="3"/>
  <x:c r="U222" i="3"/>
  <x:c r="V222" i="3"/>
  <x:c r="M223" i="3"/>
  <x:c r="O223" i="3"/>
  <x:c r="P223" i="3"/>
  <x:c r="Q223" i="3"/>
  <x:c r="S223" i="3"/>
  <x:c r="T223" i="3"/>
  <x:c r="U223" i="3"/>
  <x:c r="V223" i="3"/>
  <x:c r="M224" i="3"/>
  <x:c r="O224" i="3"/>
  <x:c r="P224" i="3"/>
  <x:c r="Q224" i="3"/>
  <x:c r="S224" i="3"/>
  <x:c r="T224" i="3"/>
  <x:c r="U224" i="3"/>
  <x:c r="V224" i="3"/>
  <x:c r="M225" i="3"/>
  <x:c r="O225" i="3"/>
  <x:c r="P225" i="3"/>
  <x:c r="Q225" i="3"/>
  <x:c r="S225" i="3"/>
  <x:c r="T225" i="3"/>
  <x:c r="U225" i="3"/>
  <x:c r="V225" i="3"/>
  <x:c r="M226" i="3"/>
  <x:c r="O226" i="3"/>
  <x:c r="P226" i="3"/>
  <x:c r="Q226" i="3"/>
  <x:c r="S226" i="3"/>
  <x:c r="T226" i="3"/>
  <x:c r="U226" i="3"/>
  <x:c r="V226" i="3"/>
  <x:c r="M227" i="3"/>
  <x:c r="O227" i="3"/>
  <x:c r="P227" i="3"/>
  <x:c r="Q227" i="3"/>
  <x:c r="S227" i="3"/>
  <x:c r="T227" i="3"/>
  <x:c r="U227" i="3"/>
  <x:c r="V227" i="3"/>
  <x:c r="M228" i="3"/>
  <x:c r="O228" i="3"/>
  <x:c r="P228" i="3"/>
  <x:c r="Q228" i="3"/>
  <x:c r="S228" i="3"/>
  <x:c r="T228" i="3"/>
  <x:c r="U228" i="3"/>
  <x:c r="V228" i="3"/>
  <x:c r="M229" i="3"/>
  <x:c r="O229" i="3"/>
  <x:c r="P229" i="3"/>
  <x:c r="Q229" i="3"/>
  <x:c r="S229" i="3"/>
  <x:c r="T229" i="3"/>
  <x:c r="U229" i="3"/>
  <x:c r="V229" i="3"/>
  <x:c r="M230" i="3"/>
  <x:c r="O230" i="3"/>
  <x:c r="P230" i="3"/>
  <x:c r="Q230" i="3"/>
  <x:c r="S230" i="3"/>
  <x:c r="T230" i="3"/>
  <x:c r="U230" i="3"/>
  <x:c r="V230" i="3"/>
  <x:c r="M231" i="3"/>
  <x:c r="O231" i="3"/>
  <x:c r="P231" i="3"/>
  <x:c r="Q231" i="3"/>
  <x:c r="S231" i="3"/>
  <x:c r="T231" i="3"/>
  <x:c r="U231" i="3"/>
  <x:c r="V231" i="3"/>
  <x:c r="M232" i="3"/>
  <x:c r="O232" i="3"/>
  <x:c r="P232" i="3"/>
  <x:c r="Q232" i="3"/>
  <x:c r="S232" i="3"/>
  <x:c r="T232" i="3"/>
  <x:c r="U232" i="3"/>
  <x:c r="V232" i="3"/>
  <x:c r="M233" i="3"/>
  <x:c r="O233" i="3"/>
  <x:c r="P233" i="3"/>
  <x:c r="Q233" i="3"/>
  <x:c r="S233" i="3"/>
  <x:c r="T233" i="3"/>
  <x:c r="U233" i="3"/>
  <x:c r="V233" i="3"/>
  <x:c r="M234" i="3"/>
  <x:c r="O234" i="3"/>
  <x:c r="P234" i="3"/>
  <x:c r="Q234" i="3"/>
  <x:c r="S234" i="3"/>
  <x:c r="T234" i="3"/>
  <x:c r="U234" i="3"/>
  <x:c r="V234" i="3"/>
  <x:c r="M235" i="3"/>
  <x:c r="O235" i="3"/>
  <x:c r="P235" i="3"/>
  <x:c r="Q235" i="3"/>
  <x:c r="S235" i="3"/>
  <x:c r="T235" i="3"/>
  <x:c r="U235" i="3"/>
  <x:c r="V235" i="3"/>
  <x:c r="M236" i="3"/>
  <x:c r="O236" i="3"/>
  <x:c r="P236" i="3"/>
  <x:c r="Q236" i="3"/>
  <x:c r="S236" i="3"/>
  <x:c r="T236" i="3"/>
  <x:c r="U236" i="3"/>
  <x:c r="V236" i="3"/>
  <x:c r="M237" i="3"/>
  <x:c r="O237" i="3"/>
  <x:c r="P237" i="3"/>
  <x:c r="Q237" i="3"/>
  <x:c r="S237" i="3"/>
  <x:c r="T237" i="3"/>
  <x:c r="U237" i="3"/>
  <x:c r="V237" i="3"/>
  <x:c r="M238" i="3"/>
  <x:c r="O238" i="3"/>
  <x:c r="P238" i="3"/>
  <x:c r="Q238" i="3"/>
  <x:c r="S238" i="3"/>
  <x:c r="T238" i="3"/>
  <x:c r="U238" i="3"/>
  <x:c r="V238" i="3"/>
  <x:c r="M239" i="3"/>
  <x:c r="O239" i="3"/>
  <x:c r="P239" i="3"/>
  <x:c r="Q239" i="3"/>
  <x:c r="S239" i="3"/>
  <x:c r="T239" i="3"/>
  <x:c r="U239" i="3"/>
  <x:c r="V239" i="3"/>
  <x:c r="M240" i="3"/>
  <x:c r="O240" i="3"/>
  <x:c r="P240" i="3"/>
  <x:c r="Q240" i="3"/>
  <x:c r="S240" i="3"/>
  <x:c r="T240" i="3"/>
  <x:c r="U240" i="3"/>
  <x:c r="V240" i="3"/>
  <x:c r="M241" i="3"/>
  <x:c r="O241" i="3"/>
  <x:c r="P241" i="3"/>
  <x:c r="Q241" i="3"/>
  <x:c r="S241" i="3"/>
  <x:c r="T241" i="3"/>
  <x:c r="U241" i="3"/>
  <x:c r="V241" i="3"/>
  <x:c r="M242" i="3"/>
  <x:c r="O242" i="3"/>
  <x:c r="P242" i="3"/>
  <x:c r="Q242" i="3"/>
  <x:c r="S242" i="3"/>
  <x:c r="T242" i="3"/>
  <x:c r="U242" i="3"/>
  <x:c r="V242" i="3"/>
  <x:c r="M243" i="3"/>
  <x:c r="O243" i="3"/>
  <x:c r="P243" i="3"/>
  <x:c r="Q243" i="3"/>
  <x:c r="S243" i="3"/>
  <x:c r="T243" i="3"/>
  <x:c r="U243" i="3"/>
  <x:c r="V243" i="3"/>
  <x:c r="M244" i="3"/>
  <x:c r="O244" i="3"/>
  <x:c r="P244" i="3"/>
  <x:c r="Q244" i="3"/>
  <x:c r="S244" i="3"/>
  <x:c r="T244" i="3"/>
  <x:c r="U244" i="3"/>
  <x:c r="V244" i="3"/>
  <x:c r="M245" i="3"/>
  <x:c r="O245" i="3"/>
  <x:c r="P245" i="3"/>
  <x:c r="Q245" i="3"/>
  <x:c r="S245" i="3"/>
  <x:c r="T245" i="3"/>
  <x:c r="U245" i="3"/>
  <x:c r="V245" i="3"/>
  <x:c r="M246" i="3"/>
  <x:c r="O246" i="3"/>
  <x:c r="P246" i="3"/>
  <x:c r="Q246" i="3"/>
  <x:c r="S246" i="3"/>
  <x:c r="T246" i="3"/>
  <x:c r="U246" i="3"/>
  <x:c r="V246" i="3"/>
  <x:c r="M247" i="3"/>
  <x:c r="O247" i="3"/>
  <x:c r="P247" i="3"/>
  <x:c r="Q247" i="3"/>
  <x:c r="S247" i="3"/>
  <x:c r="T247" i="3"/>
  <x:c r="U247" i="3"/>
  <x:c r="V247" i="3"/>
  <x:c r="M248" i="3"/>
  <x:c r="O248" i="3"/>
  <x:c r="P248" i="3"/>
  <x:c r="Q248" i="3"/>
  <x:c r="S248" i="3"/>
  <x:c r="T248" i="3"/>
  <x:c r="U248" i="3"/>
  <x:c r="V248" i="3"/>
  <x:c r="M249" i="3"/>
  <x:c r="O249" i="3"/>
  <x:c r="P249" i="3"/>
  <x:c r="Q249" i="3"/>
  <x:c r="S249" i="3"/>
  <x:c r="T249" i="3"/>
  <x:c r="U249" i="3"/>
  <x:c r="V249" i="3"/>
  <x:c r="M250" i="3"/>
  <x:c r="O250" i="3"/>
  <x:c r="P250" i="3"/>
  <x:c r="Q250" i="3"/>
  <x:c r="S250" i="3"/>
  <x:c r="T250" i="3"/>
  <x:c r="U250" i="3"/>
  <x:c r="V250" i="3"/>
  <x:c r="M251" i="3"/>
  <x:c r="O251" i="3"/>
  <x:c r="P251" i="3"/>
  <x:c r="Q251" i="3"/>
  <x:c r="S251" i="3"/>
  <x:c r="T251" i="3"/>
  <x:c r="U251" i="3"/>
  <x:c r="V251" i="3"/>
  <x:c r="M252" i="3"/>
  <x:c r="O252" i="3"/>
  <x:c r="P252" i="3"/>
  <x:c r="Q252" i="3"/>
  <x:c r="S252" i="3"/>
  <x:c r="T252" i="3"/>
  <x:c r="U252" i="3"/>
  <x:c r="V252" i="3"/>
  <x:c r="M253" i="3"/>
  <x:c r="O253" i="3"/>
  <x:c r="P253" i="3"/>
  <x:c r="Q253" i="3"/>
  <x:c r="S253" i="3"/>
  <x:c r="T253" i="3"/>
  <x:c r="U253" i="3"/>
  <x:c r="V253" i="3"/>
  <x:c r="M254" i="3"/>
  <x:c r="O254" i="3"/>
  <x:c r="P254" i="3"/>
  <x:c r="Q254" i="3"/>
  <x:c r="S254" i="3"/>
  <x:c r="T254" i="3"/>
  <x:c r="U254" i="3"/>
  <x:c r="V254" i="3"/>
  <x:c r="M255" i="3"/>
  <x:c r="O255" i="3"/>
  <x:c r="P255" i="3"/>
  <x:c r="Q255" i="3"/>
  <x:c r="S255" i="3"/>
  <x:c r="T255" i="3"/>
  <x:c r="U255" i="3"/>
  <x:c r="V255" i="3"/>
  <x:c r="M256" i="3"/>
  <x:c r="O256" i="3"/>
  <x:c r="P256" i="3"/>
  <x:c r="Q256" i="3"/>
  <x:c r="S256" i="3"/>
  <x:c r="T256" i="3"/>
  <x:c r="U256" i="3"/>
  <x:c r="V256" i="3"/>
  <x:c r="M257" i="3"/>
  <x:c r="O257" i="3"/>
  <x:c r="P257" i="3"/>
  <x:c r="Q257" i="3"/>
  <x:c r="S257" i="3"/>
  <x:c r="T257" i="3"/>
  <x:c r="U257" i="3"/>
  <x:c r="V257" i="3"/>
  <x:c r="M258" i="3"/>
  <x:c r="O258" i="3"/>
  <x:c r="P258" i="3"/>
  <x:c r="Q258" i="3"/>
  <x:c r="S258" i="3"/>
  <x:c r="T258" i="3"/>
  <x:c r="U258" i="3"/>
  <x:c r="V258" i="3"/>
  <x:c r="M259" i="3"/>
  <x:c r="O259" i="3"/>
  <x:c r="P259" i="3"/>
  <x:c r="Q259" i="3"/>
  <x:c r="S259" i="3"/>
  <x:c r="T259" i="3"/>
  <x:c r="U259" i="3"/>
  <x:c r="V259" i="3"/>
  <x:c r="M260" i="3"/>
  <x:c r="O260" i="3"/>
  <x:c r="P260" i="3"/>
  <x:c r="Q260" i="3"/>
  <x:c r="S260" i="3"/>
  <x:c r="T260" i="3"/>
  <x:c r="U260" i="3"/>
  <x:c r="V260" i="3"/>
  <x:c r="M261" i="3"/>
  <x:c r="O261" i="3"/>
  <x:c r="P261" i="3"/>
  <x:c r="Q261" i="3"/>
  <x:c r="S261" i="3"/>
  <x:c r="T261" i="3"/>
  <x:c r="U261" i="3"/>
  <x:c r="V261" i="3"/>
  <x:c r="M262" i="3"/>
  <x:c r="O262" i="3"/>
  <x:c r="P262" i="3"/>
  <x:c r="Q262" i="3"/>
  <x:c r="S262" i="3"/>
  <x:c r="T262" i="3"/>
  <x:c r="U262" i="3"/>
  <x:c r="V262" i="3"/>
  <x:c r="M263" i="3"/>
  <x:c r="O263" i="3"/>
  <x:c r="P263" i="3"/>
  <x:c r="Q263" i="3"/>
  <x:c r="S263" i="3"/>
  <x:c r="T263" i="3"/>
  <x:c r="U263" i="3"/>
  <x:c r="V263" i="3"/>
  <x:c r="M264" i="3"/>
  <x:c r="O264" i="3"/>
  <x:c r="P264" i="3"/>
  <x:c r="Q264" i="3"/>
  <x:c r="S264" i="3"/>
  <x:c r="T264" i="3"/>
  <x:c r="U264" i="3"/>
  <x:c r="V264" i="3"/>
  <x:c r="M265" i="3"/>
  <x:c r="O265" i="3"/>
  <x:c r="P265" i="3"/>
  <x:c r="Q265" i="3"/>
  <x:c r="S265" i="3"/>
  <x:c r="T265" i="3"/>
  <x:c r="U265" i="3"/>
  <x:c r="V265" i="3"/>
  <x:c r="M266" i="3"/>
  <x:c r="O266" i="3"/>
  <x:c r="P266" i="3"/>
  <x:c r="Q266" i="3"/>
  <x:c r="S266" i="3"/>
  <x:c r="T266" i="3"/>
  <x:c r="U266" i="3"/>
  <x:c r="V266" i="3"/>
  <x:c r="M267" i="3"/>
  <x:c r="O267" i="3"/>
  <x:c r="P267" i="3"/>
  <x:c r="Q267" i="3"/>
  <x:c r="S267" i="3"/>
  <x:c r="T267" i="3"/>
  <x:c r="U267" i="3"/>
  <x:c r="V267" i="3"/>
  <x:c r="M268" i="3"/>
  <x:c r="O268" i="3"/>
  <x:c r="P268" i="3"/>
  <x:c r="Q268" i="3"/>
  <x:c r="S268" i="3"/>
  <x:c r="T268" i="3"/>
  <x:c r="U268" i="3"/>
  <x:c r="V268" i="3"/>
  <x:c r="M269" i="3"/>
  <x:c r="O269" i="3"/>
  <x:c r="P269" i="3"/>
  <x:c r="Q269" i="3"/>
  <x:c r="S269" i="3"/>
  <x:c r="T269" i="3"/>
  <x:c r="U269" i="3"/>
  <x:c r="V269" i="3"/>
  <x:c r="M270" i="3"/>
  <x:c r="O270" i="3"/>
  <x:c r="P270" i="3"/>
  <x:c r="Q270" i="3"/>
  <x:c r="S270" i="3"/>
  <x:c r="T270" i="3"/>
  <x:c r="U270" i="3"/>
  <x:c r="V270" i="3"/>
  <x:c r="M271" i="3"/>
  <x:c r="O271" i="3"/>
  <x:c r="P271" i="3"/>
  <x:c r="Q271" i="3"/>
  <x:c r="S271" i="3"/>
  <x:c r="T271" i="3"/>
  <x:c r="U271" i="3"/>
  <x:c r="V271" i="3"/>
  <x:c r="M272" i="3"/>
  <x:c r="O272" i="3"/>
  <x:c r="P272" i="3"/>
  <x:c r="Q272" i="3"/>
  <x:c r="S272" i="3"/>
  <x:c r="T272" i="3"/>
  <x:c r="U272" i="3"/>
  <x:c r="V272" i="3"/>
  <x:c r="M273" i="3"/>
  <x:c r="O273" i="3"/>
  <x:c r="P273" i="3"/>
  <x:c r="Q273" i="3"/>
  <x:c r="S273" i="3"/>
  <x:c r="T273" i="3"/>
  <x:c r="U273" i="3"/>
  <x:c r="V273" i="3"/>
  <x:c r="M274" i="3"/>
  <x:c r="O274" i="3"/>
  <x:c r="P274" i="3"/>
  <x:c r="Q274" i="3"/>
  <x:c r="S274" i="3"/>
  <x:c r="T274" i="3"/>
  <x:c r="U274" i="3"/>
  <x:c r="V274" i="3"/>
  <x:c r="M275" i="3"/>
  <x:c r="O275" i="3"/>
  <x:c r="P275" i="3"/>
  <x:c r="Q275" i="3"/>
  <x:c r="S275" i="3"/>
  <x:c r="T275" i="3"/>
  <x:c r="U275" i="3"/>
  <x:c r="V275" i="3"/>
  <x:c r="M276" i="3"/>
  <x:c r="O276" i="3"/>
  <x:c r="P276" i="3"/>
  <x:c r="Q276" i="3"/>
  <x:c r="S276" i="3"/>
  <x:c r="T276" i="3"/>
  <x:c r="U276" i="3"/>
  <x:c r="V276" i="3"/>
  <x:c r="M277" i="3"/>
  <x:c r="O277" i="3"/>
  <x:c r="P277" i="3"/>
  <x:c r="Q277" i="3"/>
  <x:c r="S277" i="3"/>
  <x:c r="T277" i="3"/>
  <x:c r="U277" i="3"/>
  <x:c r="V277" i="3"/>
  <x:c r="M278" i="3"/>
  <x:c r="O278" i="3"/>
  <x:c r="P278" i="3"/>
  <x:c r="Q278" i="3"/>
  <x:c r="S278" i="3"/>
  <x:c r="T278" i="3"/>
  <x:c r="U278" i="3"/>
  <x:c r="V278" i="3"/>
  <x:c r="M279" i="3"/>
  <x:c r="O279" i="3"/>
  <x:c r="P279" i="3"/>
  <x:c r="Q279" i="3"/>
  <x:c r="S279" i="3"/>
  <x:c r="T279" i="3"/>
  <x:c r="U279" i="3"/>
  <x:c r="V279" i="3"/>
  <x:c r="M280" i="3"/>
  <x:c r="O280" i="3"/>
  <x:c r="P280" i="3"/>
  <x:c r="Q280" i="3"/>
  <x:c r="S280" i="3"/>
  <x:c r="T280" i="3"/>
  <x:c r="U280" i="3"/>
  <x:c r="V280" i="3"/>
  <x:c r="M281" i="3"/>
  <x:c r="O281" i="3"/>
  <x:c r="P281" i="3"/>
  <x:c r="Q281" i="3"/>
  <x:c r="S281" i="3"/>
  <x:c r="T281" i="3"/>
  <x:c r="U281" i="3"/>
  <x:c r="V281" i="3"/>
  <x:c r="M282" i="3"/>
  <x:c r="O282" i="3"/>
  <x:c r="P282" i="3"/>
  <x:c r="Q282" i="3"/>
  <x:c r="S282" i="3"/>
  <x:c r="T282" i="3"/>
  <x:c r="U282" i="3"/>
  <x:c r="V282" i="3"/>
  <x:c r="M283" i="3"/>
  <x:c r="O283" i="3"/>
  <x:c r="P283" i="3"/>
  <x:c r="Q283" i="3"/>
  <x:c r="S283" i="3"/>
  <x:c r="T283" i="3"/>
  <x:c r="U283" i="3"/>
  <x:c r="V283" i="3"/>
  <x:c r="M284" i="3"/>
  <x:c r="O284" i="3"/>
  <x:c r="P284" i="3"/>
  <x:c r="Q284" i="3"/>
  <x:c r="S284" i="3"/>
  <x:c r="T284" i="3"/>
  <x:c r="U284" i="3"/>
  <x:c r="V284" i="3"/>
  <x:c r="M285" i="3"/>
  <x:c r="O285" i="3"/>
  <x:c r="P285" i="3"/>
  <x:c r="Q285" i="3"/>
  <x:c r="S285" i="3"/>
  <x:c r="T285" i="3"/>
  <x:c r="U285" i="3"/>
  <x:c r="V285" i="3"/>
  <x:c r="M286" i="3"/>
  <x:c r="O286" i="3"/>
  <x:c r="P286" i="3"/>
  <x:c r="Q286" i="3"/>
  <x:c r="S286" i="3"/>
  <x:c r="T286" i="3"/>
  <x:c r="U286" i="3"/>
  <x:c r="V286" i="3"/>
  <x:c r="M287" i="3"/>
  <x:c r="O287" i="3"/>
  <x:c r="P287" i="3"/>
  <x:c r="Q287" i="3"/>
  <x:c r="S287" i="3"/>
  <x:c r="T287" i="3"/>
  <x:c r="U287" i="3"/>
  <x:c r="V287" i="3"/>
  <x:c r="M288" i="3"/>
  <x:c r="O288" i="3"/>
  <x:c r="P288" i="3"/>
  <x:c r="Q288" i="3"/>
  <x:c r="S288" i="3"/>
  <x:c r="T288" i="3"/>
  <x:c r="U288" i="3"/>
  <x:c r="V288" i="3"/>
  <x:c r="M289" i="3"/>
  <x:c r="O289" i="3"/>
  <x:c r="P289" i="3"/>
  <x:c r="Q289" i="3"/>
  <x:c r="S289" i="3"/>
  <x:c r="T289" i="3"/>
  <x:c r="U289" i="3"/>
  <x:c r="V289" i="3"/>
  <x:c r="M290" i="3"/>
  <x:c r="O290" i="3"/>
  <x:c r="P290" i="3"/>
  <x:c r="Q290" i="3"/>
  <x:c r="S290" i="3"/>
  <x:c r="T290" i="3"/>
  <x:c r="U290" i="3"/>
  <x:c r="V290" i="3"/>
  <x:c r="M291" i="3"/>
  <x:c r="O291" i="3"/>
  <x:c r="P291" i="3"/>
  <x:c r="Q291" i="3"/>
  <x:c r="S291" i="3"/>
  <x:c r="T291" i="3"/>
  <x:c r="U291" i="3"/>
  <x:c r="V291" i="3"/>
  <x:c r="M292" i="3"/>
  <x:c r="O292" i="3"/>
  <x:c r="P292" i="3"/>
  <x:c r="Q292" i="3"/>
  <x:c r="S292" i="3"/>
  <x:c r="T292" i="3"/>
  <x:c r="U292" i="3"/>
  <x:c r="V292" i="3"/>
  <x:c r="M293" i="3"/>
  <x:c r="O293" i="3"/>
  <x:c r="P293" i="3"/>
  <x:c r="Q293" i="3"/>
  <x:c r="S293" i="3"/>
  <x:c r="T293" i="3"/>
  <x:c r="U293" i="3"/>
  <x:c r="V293" i="3"/>
  <x:c r="M294" i="3"/>
  <x:c r="O294" i="3"/>
  <x:c r="P294" i="3"/>
  <x:c r="Q294" i="3"/>
  <x:c r="S294" i="3"/>
  <x:c r="T294" i="3"/>
  <x:c r="U294" i="3"/>
  <x:c r="V294" i="3"/>
  <x:c r="M295" i="3"/>
  <x:c r="O295" i="3"/>
  <x:c r="P295" i="3"/>
  <x:c r="Q295" i="3"/>
  <x:c r="S295" i="3"/>
  <x:c r="T295" i="3"/>
  <x:c r="U295" i="3"/>
  <x:c r="V295" i="3"/>
  <x:c r="M296" i="3"/>
  <x:c r="O296" i="3"/>
  <x:c r="P296" i="3"/>
  <x:c r="Q296" i="3"/>
  <x:c r="S296" i="3"/>
  <x:c r="T296" i="3"/>
  <x:c r="U296" i="3"/>
  <x:c r="V296" i="3"/>
  <x:c r="M297" i="3"/>
  <x:c r="O297" i="3"/>
  <x:c r="P297" i="3"/>
  <x:c r="Q297" i="3"/>
  <x:c r="S297" i="3"/>
  <x:c r="T297" i="3"/>
  <x:c r="U297" i="3"/>
  <x:c r="V297" i="3"/>
  <x:c r="M298" i="3"/>
  <x:c r="O298" i="3"/>
  <x:c r="P298" i="3"/>
  <x:c r="Q298" i="3"/>
  <x:c r="S298" i="3"/>
  <x:c r="T298" i="3"/>
  <x:c r="U298" i="3"/>
  <x:c r="V298" i="3"/>
  <x:c r="M299" i="3"/>
  <x:c r="O299" i="3"/>
  <x:c r="P299" i="3"/>
  <x:c r="Q299" i="3"/>
  <x:c r="S299" i="3"/>
  <x:c r="T299" i="3"/>
  <x:c r="U299" i="3"/>
  <x:c r="V299" i="3"/>
  <x:c r="M300" i="3"/>
  <x:c r="O300" i="3"/>
  <x:c r="P300" i="3"/>
  <x:c r="Q300" i="3"/>
  <x:c r="S300" i="3"/>
  <x:c r="T300" i="3"/>
  <x:c r="U300" i="3"/>
  <x:c r="V300" i="3"/>
  <x:c r="M301" i="3"/>
  <x:c r="O301" i="3"/>
  <x:c r="P301" i="3"/>
  <x:c r="Q301" i="3"/>
  <x:c r="S301" i="3"/>
  <x:c r="T301" i="3"/>
  <x:c r="U301" i="3"/>
  <x:c r="V301" i="3"/>
  <x:c r="M302" i="3"/>
  <x:c r="O302" i="3"/>
  <x:c r="P302" i="3"/>
  <x:c r="Q302" i="3"/>
  <x:c r="S302" i="3"/>
  <x:c r="T302" i="3"/>
  <x:c r="U302" i="3"/>
  <x:c r="V302" i="3"/>
  <x:c r="M303" i="3"/>
  <x:c r="O303" i="3"/>
  <x:c r="P303" i="3"/>
  <x:c r="Q303" i="3"/>
  <x:c r="S303" i="3"/>
  <x:c r="T303" i="3"/>
  <x:c r="U303" i="3"/>
  <x:c r="V303" i="3"/>
  <x:c r="M304" i="3"/>
  <x:c r="O304" i="3"/>
  <x:c r="P304" i="3"/>
  <x:c r="Q304" i="3"/>
  <x:c r="S304" i="3"/>
  <x:c r="T304" i="3"/>
  <x:c r="U304" i="3"/>
  <x:c r="V304" i="3"/>
  <x:c r="M305" i="3"/>
  <x:c r="O305" i="3"/>
  <x:c r="P305" i="3"/>
  <x:c r="Q305" i="3"/>
  <x:c r="S305" i="3"/>
  <x:c r="T305" i="3"/>
  <x:c r="U305" i="3"/>
  <x:c r="V305" i="3"/>
  <x:c r="M306" i="3"/>
  <x:c r="O306" i="3"/>
  <x:c r="P306" i="3"/>
  <x:c r="Q306" i="3"/>
  <x:c r="S306" i="3"/>
  <x:c r="T306" i="3"/>
  <x:c r="U306" i="3"/>
  <x:c r="V306" i="3"/>
  <x:c r="M307" i="3"/>
  <x:c r="O307" i="3"/>
  <x:c r="P307" i="3"/>
  <x:c r="Q307" i="3"/>
  <x:c r="S307" i="3"/>
  <x:c r="T307" i="3"/>
  <x:c r="U307" i="3"/>
  <x:c r="V307" i="3"/>
  <x:c r="M308" i="3"/>
  <x:c r="O308" i="3"/>
  <x:c r="P308" i="3"/>
  <x:c r="Q308" i="3"/>
  <x:c r="S308" i="3"/>
  <x:c r="T308" i="3"/>
  <x:c r="U308" i="3"/>
  <x:c r="V308" i="3"/>
  <x:c r="M309" i="3"/>
  <x:c r="O309" i="3"/>
  <x:c r="P309" i="3"/>
  <x:c r="Q309" i="3"/>
  <x:c r="S309" i="3"/>
  <x:c r="T309" i="3"/>
  <x:c r="U309" i="3"/>
  <x:c r="V309" i="3"/>
  <x:c r="M310" i="3"/>
  <x:c r="O310" i="3"/>
  <x:c r="P310" i="3"/>
  <x:c r="Q310" i="3"/>
  <x:c r="S310" i="3"/>
  <x:c r="T310" i="3"/>
  <x:c r="U310" i="3"/>
  <x:c r="V310" i="3"/>
  <x:c r="M311" i="3"/>
  <x:c r="O311" i="3"/>
  <x:c r="P311" i="3"/>
  <x:c r="Q311" i="3"/>
  <x:c r="S311" i="3"/>
  <x:c r="T311" i="3"/>
  <x:c r="U311" i="3"/>
  <x:c r="V311" i="3"/>
  <x:c r="M312" i="3"/>
  <x:c r="O312" i="3"/>
  <x:c r="P312" i="3"/>
  <x:c r="Q312" i="3"/>
  <x:c r="S312" i="3"/>
  <x:c r="T312" i="3"/>
  <x:c r="U312" i="3"/>
  <x:c r="V312" i="3"/>
  <x:c r="M313" i="3"/>
  <x:c r="O313" i="3"/>
  <x:c r="P313" i="3"/>
  <x:c r="Q313" i="3"/>
  <x:c r="S313" i="3"/>
  <x:c r="T313" i="3"/>
  <x:c r="U313" i="3"/>
  <x:c r="V313" i="3"/>
  <x:c r="J2" i="4"/>
  <x:c r="S2" i="4"/>
  <x:c r="J3" i="4"/>
  <x:c r="S3" i="4"/>
  <x:c r="J4" i="4"/>
  <x:c r="S4" i="4"/>
  <x:c r="J5" i="4"/>
  <x:c r="S5" i="4"/>
  <x:c r="J6" i="4"/>
  <x:c r="S6" i="4"/>
  <x:c r="J7" i="4"/>
  <x:c r="S7" i="4"/>
  <x:c r="J8" i="4"/>
  <x:c r="S8" i="4"/>
  <x:c r="J9" i="4"/>
  <x:c r="S9" i="4"/>
  <x:c r="J10" i="4"/>
  <x:c r="S10" i="4"/>
  <x:c r="J11" i="4"/>
  <x:c r="S11" i="4"/>
  <x:c r="J12" i="4"/>
  <x:c r="S12" i="4"/>
  <x:c r="J13" i="4"/>
  <x:c r="S13" i="4"/>
  <x:c r="J14" i="4"/>
  <x:c r="S14" i="4"/>
  <x:c r="J15" i="4"/>
  <x:c r="S15" i="4"/>
  <x:c r="J16" i="4"/>
  <x:c r="S16" i="4"/>
  <x:c r="J17" i="4"/>
  <x:c r="S17" i="4"/>
  <x:c r="J18" i="4"/>
  <x:c r="S18" i="4"/>
  <x:c r="J19" i="4"/>
  <x:c r="S19" i="4"/>
  <x:c r="J20" i="4"/>
  <x:c r="S20" i="4"/>
  <x:c r="J21" i="4"/>
  <x:c r="S21" i="4"/>
  <x:c r="J22" i="4"/>
  <x:c r="S22" i="4"/>
  <x:c r="J23" i="4"/>
  <x:c r="S23" i="4"/>
  <x:c r="J24" i="4"/>
  <x:c r="S24" i="4"/>
  <x:c r="J25" i="4"/>
  <x:c r="S25" i="4"/>
  <x:c r="J26" i="4"/>
  <x:c r="S26" i="4"/>
  <x:c r="J27" i="4"/>
  <x:c r="S27" i="4"/>
  <x:c r="J28" i="4"/>
  <x:c r="S28" i="4"/>
  <x:c r="J29" i="4"/>
  <x:c r="S29" i="4"/>
  <x:c r="J30" i="4"/>
  <x:c r="S30" i="4"/>
  <x:c r="J31" i="4"/>
  <x:c r="S31" i="4"/>
  <x:c r="J32" i="4"/>
  <x:c r="S32" i="4"/>
  <x:c r="J33" i="4"/>
  <x:c r="S33" i="4"/>
  <x:c r="J34" i="4"/>
  <x:c r="S34" i="4"/>
  <x:c r="J35" i="4"/>
  <x:c r="S35" i="4"/>
  <x:c r="J36" i="4"/>
  <x:c r="S36" i="4"/>
  <x:c r="J37" i="4"/>
  <x:c r="S37" i="4"/>
  <x:c r="J38" i="4"/>
  <x:c r="S38" i="4"/>
  <x:c r="J39" i="4"/>
  <x:c r="S39" i="4"/>
  <x:c r="J40" i="4"/>
  <x:c r="S40" i="4"/>
  <x:c r="J41" i="4"/>
  <x:c r="S41" i="4"/>
  <x:c r="J42" i="4"/>
  <x:c r="S42" i="4"/>
  <x:c r="J43" i="4"/>
  <x:c r="S43" i="4"/>
  <x:c r="J44" i="4"/>
  <x:c r="S44" i="4"/>
  <x:c r="J45" i="4"/>
  <x:c r="S45" i="4"/>
  <x:c r="J46" i="4"/>
  <x:c r="S46" i="4"/>
  <x:c r="J47" i="4"/>
  <x:c r="S47" i="4"/>
  <x:c r="J48" i="4"/>
  <x:c r="S48" i="4"/>
  <x:c r="J49" i="4"/>
  <x:c r="S49" i="4"/>
  <x:c r="J50" i="4"/>
  <x:c r="S50" i="4"/>
  <x:c r="J51" i="4"/>
  <x:c r="S51" i="4"/>
  <x:c r="J52" i="4"/>
  <x:c r="S52" i="4"/>
  <x:c r="J53" i="4"/>
  <x:c r="S53" i="4"/>
  <x:c r="J54" i="4"/>
  <x:c r="S54" i="4"/>
  <x:c r="J55" i="4"/>
  <x:c r="S55" i="4"/>
  <x:c r="J56" i="4"/>
  <x:c r="S56" i="4"/>
  <x:c r="J57" i="4"/>
  <x:c r="S57" i="4"/>
  <x:c r="J58" i="4"/>
  <x:c r="S58" i="4"/>
  <x:c r="J59" i="4"/>
  <x:c r="S59" i="4"/>
  <x:c r="J60" i="4"/>
  <x:c r="S60" i="4"/>
  <x:c r="J61" i="4"/>
  <x:c r="S61" i="4"/>
  <x:c r="J62" i="4"/>
  <x:c r="S62" i="4"/>
  <x:c r="J63" i="4"/>
  <x:c r="S63" i="4"/>
  <x:c r="J64" i="4"/>
  <x:c r="S64" i="4"/>
  <x:c r="J65" i="4"/>
  <x:c r="S65" i="4"/>
  <x:c r="J66" i="4"/>
  <x:c r="S66" i="4"/>
  <x:c r="J67" i="4"/>
  <x:c r="S67" i="4"/>
  <x:c r="J68" i="4"/>
  <x:c r="S68" i="4"/>
  <x:c r="J69" i="4"/>
  <x:c r="S69" i="4"/>
  <x:c r="J70" i="4"/>
  <x:c r="S70" i="4"/>
  <x:c r="J71" i="4"/>
  <x:c r="S71" i="4"/>
  <x:c r="J72" i="4"/>
  <x:c r="S72" i="4"/>
  <x:c r="J73" i="4"/>
  <x:c r="S73" i="4"/>
  <x:c r="J74" i="4"/>
  <x:c r="S74" i="4"/>
  <x:c r="J75" i="4"/>
  <x:c r="S75" i="4"/>
  <x:c r="J76" i="4"/>
  <x:c r="S76" i="4"/>
  <x:c r="J77" i="4"/>
  <x:c r="S77" i="4"/>
  <x:c r="J78" i="4"/>
  <x:c r="S78" i="4"/>
  <x:c r="J79" i="4"/>
  <x:c r="S79" i="4"/>
  <x:c r="J80" i="4"/>
  <x:c r="S80" i="4"/>
  <x:c r="J81" i="4"/>
  <x:c r="S81" i="4"/>
  <x:c r="J82" i="4"/>
  <x:c r="S82" i="4"/>
  <x:c r="J83" i="4"/>
  <x:c r="S83" i="4"/>
  <x:c r="J84" i="4"/>
  <x:c r="S84" i="4"/>
  <x:c r="J85" i="4"/>
  <x:c r="S85" i="4"/>
  <x:c r="J86" i="4"/>
  <x:c r="S86" i="4"/>
  <x:c r="J87" i="4"/>
  <x:c r="S87" i="4"/>
  <x:c r="J88" i="4"/>
  <x:c r="S88" i="4"/>
  <x:c r="J89" i="4"/>
  <x:c r="S89" i="4"/>
  <x:c r="J90" i="4"/>
  <x:c r="S90" i="4"/>
  <x:c r="J91" i="4"/>
  <x:c r="S91" i="4"/>
  <x:c r="J92" i="4"/>
  <x:c r="S92" i="4"/>
  <x:c r="J93" i="4"/>
  <x:c r="S93" i="4"/>
  <x:c r="J94" i="4"/>
  <x:c r="S94" i="4"/>
  <x:c r="J95" i="4"/>
  <x:c r="S95" i="4"/>
  <x:c r="J96" i="4"/>
  <x:c r="S96" i="4"/>
  <x:c r="J97" i="4"/>
  <x:c r="S97" i="4"/>
  <x:c r="J98" i="4"/>
  <x:c r="S98" i="4"/>
  <x:c r="J99" i="4"/>
  <x:c r="S99" i="4"/>
  <x:c r="J100" i="4"/>
  <x:c r="S100" i="4"/>
  <x:c r="J101" i="4"/>
  <x:c r="S101" i="4"/>
  <x:c r="J102" i="4"/>
  <x:c r="S102" i="4"/>
  <x:c r="J103" i="4"/>
  <x:c r="S103" i="4"/>
  <x:c r="J104" i="4"/>
  <x:c r="S104" i="4"/>
  <x:c r="J105" i="4"/>
  <x:c r="S105" i="4"/>
  <x:c r="J106" i="4"/>
  <x:c r="S106" i="4"/>
  <x:c r="J107" i="4"/>
  <x:c r="S107" i="4"/>
  <x:c r="J108" i="4"/>
  <x:c r="S108" i="4"/>
  <x:c r="J109" i="4"/>
  <x:c r="S109" i="4"/>
  <x:c r="J110" i="4"/>
  <x:c r="S110" i="4"/>
  <x:c r="J111" i="4"/>
  <x:c r="S111" i="4"/>
  <x:c r="J112" i="4"/>
  <x:c r="S112" i="4"/>
  <x:c r="J113" i="4"/>
  <x:c r="S113" i="4"/>
  <x:c r="J114" i="4"/>
  <x:c r="S114" i="4"/>
  <x:c r="J115" i="4"/>
  <x:c r="S115" i="4"/>
  <x:c r="J116" i="4"/>
  <x:c r="S116" i="4"/>
  <x:c r="J117" i="4"/>
  <x:c r="S117" i="4"/>
  <x:c r="J118" i="4"/>
  <x:c r="S118" i="4"/>
  <x:c r="J119" i="4"/>
  <x:c r="S119" i="4"/>
  <x:c r="J120" i="4"/>
  <x:c r="S120" i="4"/>
  <x:c r="J121" i="4"/>
  <x:c r="S121" i="4"/>
  <x:c r="J122" i="4"/>
  <x:c r="S122" i="4"/>
  <x:c r="J123" i="4"/>
  <x:c r="S123" i="4"/>
  <x:c r="J124" i="4"/>
  <x:c r="S124" i="4"/>
  <x:c r="J125" i="4"/>
  <x:c r="S125" i="4"/>
  <x:c r="J126" i="4"/>
  <x:c r="S126" i="4"/>
  <x:c r="J127" i="4"/>
  <x:c r="S127" i="4"/>
  <x:c r="J128" i="4"/>
  <x:c r="S128" i="4"/>
  <x:c r="J129" i="4"/>
  <x:c r="S129" i="4"/>
  <x:c r="J130" i="4"/>
  <x:c r="S130" i="4"/>
  <x:c r="J131" i="4"/>
  <x:c r="S131" i="4"/>
  <x:c r="J132" i="4"/>
  <x:c r="S132" i="4"/>
  <x:c r="J133" i="4"/>
  <x:c r="S133" i="4"/>
  <x:c r="J134" i="4"/>
  <x:c r="S134" i="4"/>
  <x:c r="J135" i="4"/>
  <x:c r="S135" i="4"/>
  <x:c r="J136" i="4"/>
  <x:c r="S136" i="4"/>
  <x:c r="J137" i="4"/>
  <x:c r="S137" i="4"/>
  <x:c r="J138" i="4"/>
  <x:c r="S138" i="4"/>
  <x:c r="J139" i="4"/>
  <x:c r="S139" i="4"/>
  <x:c r="J140" i="4"/>
  <x:c r="S140" i="4"/>
  <x:c r="J141" i="4"/>
  <x:c r="S141" i="4"/>
  <x:c r="J142" i="4"/>
  <x:c r="S142" i="4"/>
  <x:c r="J143" i="4"/>
  <x:c r="S143" i="4"/>
  <x:c r="J144" i="4"/>
  <x:c r="S144" i="4"/>
  <x:c r="J145" i="4"/>
  <x:c r="S145" i="4"/>
  <x:c r="J146" i="4"/>
  <x:c r="S146" i="4"/>
  <x:c r="J147" i="4"/>
  <x:c r="S147" i="4"/>
  <x:c r="J148" i="4"/>
  <x:c r="S148" i="4"/>
  <x:c r="J149" i="4"/>
  <x:c r="S149" i="4"/>
  <x:c r="J150" i="4"/>
  <x:c r="S150" i="4"/>
  <x:c r="J151" i="4"/>
  <x:c r="S151" i="4"/>
  <x:c r="J152" i="4"/>
  <x:c r="S152" i="4"/>
  <x:c r="J153" i="4"/>
  <x:c r="S153" i="4"/>
  <x:c r="J154" i="4"/>
  <x:c r="S154" i="4"/>
  <x:c r="J155" i="4"/>
  <x:c r="S155" i="4"/>
  <x:c r="J156" i="4"/>
  <x:c r="S156" i="4"/>
  <x:c r="J157" i="4"/>
  <x:c r="S157" i="4"/>
  <x:c r="J158" i="4"/>
  <x:c r="S158" i="4"/>
  <x:c r="J159" i="4"/>
  <x:c r="S159" i="4"/>
  <x:c r="J160" i="4"/>
  <x:c r="S160" i="4"/>
  <x:c r="J161" i="4"/>
  <x:c r="S161" i="4"/>
  <x:c r="J162" i="4"/>
  <x:c r="S162" i="4"/>
  <x:c r="J163" i="4"/>
  <x:c r="S163" i="4"/>
  <x:c r="J164" i="4"/>
  <x:c r="S164" i="4"/>
  <x:c r="J165" i="4"/>
  <x:c r="S165" i="4"/>
  <x:c r="J166" i="4"/>
  <x:c r="S166" i="4"/>
  <x:c r="J167" i="4"/>
  <x:c r="S167" i="4"/>
  <x:c r="J168" i="4"/>
  <x:c r="S168" i="4"/>
  <x:c r="J169" i="4"/>
  <x:c r="S169" i="4"/>
  <x:c r="J170" i="4"/>
  <x:c r="S170" i="4"/>
  <x:c r="J171" i="4"/>
  <x:c r="S171" i="4"/>
  <x:c r="J172" i="4"/>
  <x:c r="S172" i="4"/>
  <x:c r="J173" i="4"/>
  <x:c r="S173" i="4"/>
  <x:c r="J174" i="4"/>
  <x:c r="S174" i="4"/>
  <x:c r="J175" i="4"/>
  <x:c r="S175" i="4"/>
  <x:c r="J176" i="4"/>
  <x:c r="S176" i="4"/>
  <x:c r="J177" i="4"/>
  <x:c r="S177" i="4"/>
  <x:c r="J178" i="4"/>
  <x:c r="S178" i="4"/>
  <x:c r="J179" i="4"/>
  <x:c r="S179" i="4"/>
  <x:c r="J180" i="4"/>
  <x:c r="S180" i="4"/>
  <x:c r="J181" i="4"/>
  <x:c r="S181" i="4"/>
  <x:c r="J182" i="4"/>
  <x:c r="S182" i="4"/>
  <x:c r="J183" i="4"/>
  <x:c r="S183" i="4"/>
  <x:c r="J184" i="4"/>
  <x:c r="S184" i="4"/>
  <x:c r="J185" i="4"/>
  <x:c r="S185" i="4"/>
  <x:c r="J186" i="4"/>
  <x:c r="S186" i="4"/>
  <x:c r="J187" i="4"/>
  <x:c r="S187" i="4"/>
  <x:c r="J188" i="4"/>
  <x:c r="S188" i="4"/>
  <x:c r="J189" i="4"/>
  <x:c r="S189" i="4"/>
  <x:c r="J190" i="4"/>
  <x:c r="S190" i="4"/>
  <x:c r="J191" i="4"/>
  <x:c r="S191" i="4"/>
  <x:c r="J192" i="4"/>
  <x:c r="S192" i="4"/>
  <x:c r="J193" i="4"/>
  <x:c r="S193" i="4"/>
  <x:c r="J194" i="4"/>
  <x:c r="S194" i="4"/>
  <x:c r="J195" i="4"/>
  <x:c r="S195" i="4"/>
  <x:c r="J196" i="4"/>
  <x:c r="S196" i="4"/>
  <x:c r="J197" i="4"/>
  <x:c r="S197" i="4"/>
  <x:c r="J198" i="4"/>
  <x:c r="S198" i="4"/>
  <x:c r="J199" i="4"/>
  <x:c r="S199" i="4"/>
  <x:c r="J200" i="4"/>
  <x:c r="S200" i="4"/>
  <x:c r="J201" i="4"/>
  <x:c r="S201" i="4"/>
  <x:c r="J202" i="4"/>
  <x:c r="S202" i="4"/>
  <x:c r="J203" i="4"/>
  <x:c r="S203" i="4"/>
  <x:c r="J204" i="4"/>
  <x:c r="S204" i="4"/>
  <x:c r="J205" i="4"/>
  <x:c r="S205" i="4"/>
  <x:c r="J206" i="4"/>
  <x:c r="S206" i="4"/>
  <x:c r="J207" i="4"/>
  <x:c r="S207" i="4"/>
  <x:c r="J208" i="4"/>
  <x:c r="S208" i="4"/>
  <x:c r="J209" i="4"/>
  <x:c r="S209" i="4"/>
  <x:c r="J210" i="4"/>
  <x:c r="S210" i="4"/>
  <x:c r="J211" i="4"/>
  <x:c r="S211" i="4"/>
  <x:c r="J212" i="4"/>
  <x:c r="S212" i="4"/>
  <x:c r="J213" i="4"/>
  <x:c r="S213" i="4"/>
  <x:c r="J214" i="4"/>
  <x:c r="S214" i="4"/>
  <x:c r="J215" i="4"/>
  <x:c r="S215" i="4"/>
  <x:c r="J216" i="4"/>
  <x:c r="S216" i="4"/>
  <x:c r="J217" i="4"/>
  <x:c r="S217" i="4"/>
  <x:c r="J218" i="4"/>
  <x:c r="S218" i="4"/>
  <x:c r="J219" i="4"/>
  <x:c r="S219" i="4"/>
  <x:c r="J220" i="4"/>
  <x:c r="S220" i="4"/>
  <x:c r="J221" i="4"/>
  <x:c r="S221" i="4"/>
  <x:c r="J222" i="4"/>
  <x:c r="S222" i="4"/>
  <x:c r="J223" i="4"/>
  <x:c r="S223" i="4"/>
  <x:c r="J224" i="4"/>
  <x:c r="S224" i="4"/>
  <x:c r="J225" i="4"/>
  <x:c r="S225" i="4"/>
  <x:c r="J226" i="4"/>
  <x:c r="S226" i="4"/>
  <x:c r="J227" i="4"/>
  <x:c r="S227" i="4"/>
  <x:c r="J228" i="4"/>
  <x:c r="S228" i="4"/>
  <x:c r="J229" i="4"/>
  <x:c r="S229" i="4"/>
  <x:c r="J230" i="4"/>
  <x:c r="S230" i="4"/>
  <x:c r="J231" i="4"/>
  <x:c r="S231" i="4"/>
  <x:c r="J232" i="4"/>
  <x:c r="S232" i="4"/>
  <x:c r="J233" i="4"/>
  <x:c r="S233" i="4"/>
  <x:c r="J234" i="4"/>
  <x:c r="S234" i="4"/>
  <x:c r="J235" i="4"/>
  <x:c r="S235" i="4"/>
  <x:c r="J236" i="4"/>
  <x:c r="S236" i="4"/>
  <x:c r="J237" i="4"/>
  <x:c r="S237" i="4"/>
  <x:c r="J238" i="4"/>
  <x:c r="S238" i="4"/>
  <x:c r="J239" i="4"/>
  <x:c r="S239" i="4"/>
  <x:c r="J240" i="4"/>
  <x:c r="S240" i="4"/>
  <x:c r="J241" i="4"/>
  <x:c r="S241" i="4"/>
  <x:c r="J242" i="4"/>
  <x:c r="S242" i="4"/>
  <x:c r="J243" i="4"/>
  <x:c r="S243" i="4"/>
  <x:c r="J244" i="4"/>
  <x:c r="S244" i="4"/>
  <x:c r="J245" i="4"/>
  <x:c r="S245" i="4"/>
  <x:c r="J246" i="4"/>
  <x:c r="S246" i="4"/>
  <x:c r="J247" i="4"/>
  <x:c r="S247" i="4"/>
  <x:c r="J248" i="4"/>
  <x:c r="S248" i="4"/>
  <x:c r="J249" i="4"/>
  <x:c r="S249" i="4"/>
  <x:c r="J250" i="4"/>
  <x:c r="S250" i="4"/>
  <x:c r="J251" i="4"/>
  <x:c r="S251" i="4"/>
  <x:c r="J252" i="4"/>
  <x:c r="S252" i="4"/>
  <x:c r="J253" i="4"/>
  <x:c r="S253" i="4"/>
  <x:c r="J254" i="4"/>
  <x:c r="S254" i="4"/>
  <x:c r="J255" i="4"/>
  <x:c r="S255" i="4"/>
  <x:c r="J256" i="4"/>
  <x:c r="S256" i="4"/>
  <x:c r="J257" i="4"/>
  <x:c r="S257" i="4"/>
  <x:c r="J258" i="4"/>
  <x:c r="S258" i="4"/>
  <x:c r="J259" i="4"/>
  <x:c r="S259" i="4"/>
  <x:c r="J260" i="4"/>
  <x:c r="S260" i="4"/>
  <x:c r="J261" i="4"/>
  <x:c r="S261" i="4"/>
  <x:c r="J262" i="4"/>
  <x:c r="S262" i="4"/>
  <x:c r="J263" i="4"/>
  <x:c r="S263" i="4"/>
  <x:c r="J264" i="4"/>
  <x:c r="S264" i="4"/>
  <x:c r="J265" i="4"/>
  <x:c r="S265" i="4"/>
  <x:c r="J266" i="4"/>
  <x:c r="S266" i="4"/>
  <x:c r="J267" i="4"/>
  <x:c r="S267" i="4"/>
  <x:c r="J268" i="4"/>
  <x:c r="S268" i="4"/>
  <x:c r="J269" i="4"/>
  <x:c r="S269" i="4"/>
  <x:c r="J270" i="4"/>
  <x:c r="S270" i="4"/>
  <x:c r="J271" i="4"/>
  <x:c r="S271" i="4"/>
  <x:c r="J272" i="4"/>
  <x:c r="S272" i="4"/>
  <x:c r="J273" i="4"/>
  <x:c r="S273" i="4"/>
  <x:c r="J274" i="4"/>
  <x:c r="S274" i="4"/>
  <x:c r="J275" i="4"/>
  <x:c r="S275" i="4"/>
  <x:c r="J276" i="4"/>
  <x:c r="S276" i="4"/>
  <x:c r="J277" i="4"/>
  <x:c r="S277" i="4"/>
  <x:c r="J278" i="4"/>
  <x:c r="S278" i="4"/>
  <x:c r="J279" i="4"/>
  <x:c r="S279" i="4"/>
  <x:c r="J280" i="4"/>
  <x:c r="S280" i="4"/>
  <x:c r="J281" i="4"/>
  <x:c r="S281" i="4"/>
  <x:c r="J282" i="4"/>
  <x:c r="S282" i="4"/>
  <x:c r="J283" i="4"/>
  <x:c r="S283" i="4"/>
  <x:c r="J284" i="4"/>
  <x:c r="S284" i="4"/>
  <x:c r="J285" i="4"/>
  <x:c r="S285" i="4"/>
  <x:c r="J286" i="4"/>
  <x:c r="S286" i="4"/>
  <x:c r="J287" i="4"/>
  <x:c r="S287" i="4"/>
  <x:c r="J288" i="4"/>
  <x:c r="S288" i="4"/>
  <x:c r="J289" i="4"/>
  <x:c r="S289" i="4"/>
  <x:c r="J290" i="4"/>
  <x:c r="S290" i="4"/>
  <x:c r="J291" i="4"/>
  <x:c r="S291" i="4"/>
  <x:c r="J292" i="4"/>
  <x:c r="S292" i="4"/>
  <x:c r="J293" i="4"/>
  <x:c r="S293" i="4"/>
  <x:c r="J294" i="4"/>
  <x:c r="S294" i="4"/>
  <x:c r="J295" i="4"/>
  <x:c r="S295" i="4"/>
  <x:c r="J296" i="4"/>
  <x:c r="S296" i="4"/>
  <x:c r="J297" i="4"/>
  <x:c r="S297" i="4"/>
  <x:c r="J298" i="4"/>
  <x:c r="S298" i="4"/>
  <x:c r="J299" i="4"/>
  <x:c r="S299" i="4"/>
  <x:c r="J300" i="4"/>
  <x:c r="S300" i="4"/>
  <x:c r="J301" i="4"/>
  <x:c r="S301" i="4"/>
  <x:c r="J302" i="4"/>
  <x:c r="S302" i="4"/>
  <x:c r="J303" i="4"/>
  <x:c r="S303" i="4"/>
  <x:c r="J304" i="4"/>
  <x:c r="S304" i="4"/>
  <x:c r="J305" i="4"/>
  <x:c r="S305" i="4"/>
  <x:c r="J306" i="4"/>
  <x:c r="S306" i="4"/>
  <x:c r="J307" i="4"/>
  <x:c r="S307" i="4"/>
  <x:c r="J308" i="4"/>
  <x:c r="S308" i="4"/>
  <x:c r="J309" i="4"/>
  <x:c r="S309" i="4"/>
  <x:c r="J310" i="4"/>
  <x:c r="S310" i="4"/>
  <x:c r="J311" i="4"/>
  <x:c r="S311" i="4"/>
  <x:c r="J312" i="4"/>
  <x:c r="S312" i="4"/>
  <x:c r="J313" i="4"/>
  <x:c r="S313" i="4"/>
  <x:c r="J314" i="4"/>
  <x:c r="S314" i="4"/>
  <x:c r="J315" i="4"/>
  <x:c r="S315" i="4"/>
  <x:c r="J316" i="4"/>
  <x:c r="S316" i="4"/>
  <x:c r="J317" i="4"/>
  <x:c r="S317" i="4"/>
  <x:c r="J318" i="4"/>
  <x:c r="S318" i="4"/>
  <x:c r="J319" i="4"/>
  <x:c r="S319" i="4"/>
  <x:c r="J320" i="4"/>
  <x:c r="S320" i="4"/>
  <x:c r="J321" i="4"/>
  <x:c r="S321" i="4"/>
  <x:c r="J322" i="4"/>
  <x:c r="S322" i="4"/>
  <x:c r="J323" i="4"/>
  <x:c r="S323" i="4"/>
  <x:c r="J324" i="4"/>
  <x:c r="S324" i="4"/>
  <x:c r="J325" i="4"/>
  <x:c r="S325" i="4"/>
  <x:c r="J326" i="4"/>
  <x:c r="S326" i="4"/>
  <x:c r="J327" i="4"/>
  <x:c r="S327" i="4"/>
  <x:c r="J328" i="4"/>
  <x:c r="S328" i="4"/>
  <x:c r="J329" i="4"/>
  <x:c r="S329" i="4"/>
  <x:c r="J330" i="4"/>
  <x:c r="S330" i="4"/>
  <x:c r="J331" i="4"/>
  <x:c r="S331" i="4"/>
  <x:c r="J332" i="4"/>
  <x:c r="S332" i="4"/>
  <x:c r="J333" i="4"/>
  <x:c r="S333" i="4"/>
  <x:c r="J334" i="4"/>
  <x:c r="S334" i="4"/>
  <x:c r="J335" i="4"/>
  <x:c r="S335" i="4"/>
  <x:c r="J336" i="4"/>
  <x:c r="S336" i="4"/>
  <x:c r="J337" i="4"/>
  <x:c r="S337" i="4"/>
  <x:c r="J338" i="4"/>
  <x:c r="S338" i="4"/>
  <x:c r="J339" i="4"/>
  <x:c r="S339" i="4"/>
  <x:c r="J340" i="4"/>
  <x:c r="S340" i="4"/>
  <x:c r="J341" i="4"/>
  <x:c r="S341" i="4"/>
  <x:c r="J342" i="4"/>
  <x:c r="S342" i="4"/>
  <x:c r="J343" i="4"/>
  <x:c r="S343" i="4"/>
  <x:c r="J344" i="4"/>
  <x:c r="S344" i="4"/>
  <x:c r="J345" i="4"/>
  <x:c r="S345" i="4"/>
  <x:c r="J346" i="4"/>
  <x:c r="S346" i="4"/>
  <x:c r="J347" i="4"/>
  <x:c r="S347" i="4"/>
  <x:c r="J348" i="4"/>
  <x:c r="S348" i="4"/>
  <x:c r="J349" i="4"/>
  <x:c r="S349" i="4"/>
  <x:c r="J350" i="4"/>
  <x:c r="S350" i="4"/>
  <x:c r="J351" i="4"/>
  <x:c r="S351" i="4"/>
  <x:c r="J352" i="4"/>
  <x:c r="S352" i="4"/>
  <x:c r="J353" i="4"/>
  <x:c r="S353" i="4"/>
  <x:c r="J354" i="4"/>
  <x:c r="S354" i="4"/>
  <x:c r="J355" i="4"/>
  <x:c r="S355" i="4"/>
  <x:c r="J356" i="4"/>
  <x:c r="S356" i="4"/>
  <x:c r="J357" i="4"/>
  <x:c r="S357" i="4"/>
  <x:c r="J358" i="4"/>
  <x:c r="S358" i="4"/>
  <x:c r="J359" i="4"/>
  <x:c r="S359" i="4"/>
  <x:c r="J360" i="4"/>
  <x:c r="S360" i="4"/>
  <x:c r="J361" i="4"/>
  <x:c r="S361" i="4"/>
  <x:c r="J362" i="4"/>
  <x:c r="S362" i="4"/>
  <x:c r="J363" i="4"/>
  <x:c r="S363" i="4"/>
  <x:c r="J364" i="4"/>
  <x:c r="S364" i="4"/>
  <x:c r="J365" i="4"/>
  <x:c r="S365" i="4"/>
  <x:c r="J366" i="4"/>
  <x:c r="S366" i="4"/>
  <x:c r="J367" i="4"/>
  <x:c r="S367" i="4"/>
  <x:c r="J368" i="4"/>
  <x:c r="S368" i="4"/>
  <x:c r="J369" i="4"/>
  <x:c r="S369" i="4"/>
  <x:c r="J370" i="4"/>
  <x:c r="S370" i="4"/>
  <x:c r="J371" i="4"/>
  <x:c r="S371" i="4"/>
  <x:c r="J372" i="4"/>
  <x:c r="S372" i="4"/>
  <x:c r="J373" i="4"/>
  <x:c r="S373" i="4"/>
  <x:c r="J374" i="4"/>
  <x:c r="S374" i="4"/>
  <x:c r="J375" i="4"/>
  <x:c r="S375" i="4"/>
  <x:c r="J376" i="4"/>
  <x:c r="S376" i="4"/>
  <x:c r="J377" i="4"/>
  <x:c r="S377" i="4"/>
  <x:c r="J378" i="4"/>
  <x:c r="S378" i="4"/>
  <x:c r="J379" i="4"/>
  <x:c r="S379" i="4"/>
  <x:c r="J380" i="4"/>
  <x:c r="S380" i="4"/>
  <x:c r="J381" i="4"/>
  <x:c r="S381" i="4"/>
  <x:c r="J382" i="4"/>
  <x:c r="S382" i="4"/>
  <x:c r="J383" i="4"/>
  <x:c r="S383" i="4"/>
  <x:c r="J384" i="4"/>
  <x:c r="S384" i="4"/>
  <x:c r="J385" i="4"/>
  <x:c r="S385" i="4"/>
  <x:c r="J386" i="4"/>
  <x:c r="S386" i="4"/>
  <x:c r="J387" i="4"/>
  <x:c r="S387" i="4"/>
  <x:c r="J388" i="4"/>
  <x:c r="S388" i="4"/>
  <x:c r="J389" i="4"/>
  <x:c r="S389" i="4"/>
  <x:c r="J390" i="4"/>
  <x:c r="S390" i="4"/>
  <x:c r="J391" i="4"/>
  <x:c r="S391" i="4"/>
  <x:c r="J392" i="4"/>
  <x:c r="S392" i="4"/>
  <x:c r="J393" i="4"/>
  <x:c r="S393" i="4"/>
  <x:c r="J394" i="4"/>
  <x:c r="S394" i="4"/>
  <x:c r="J395" i="4"/>
  <x:c r="S395" i="4"/>
  <x:c r="J396" i="4"/>
  <x:c r="S396" i="4"/>
  <x:c r="J397" i="4"/>
  <x:c r="S397" i="4"/>
  <x:c r="J398" i="4"/>
  <x:c r="S398" i="4"/>
  <x:c r="J399" i="4"/>
  <x:c r="S399" i="4"/>
  <x:c r="J400" i="4"/>
  <x:c r="S400" i="4"/>
  <x:c r="J401" i="4"/>
  <x:c r="S401" i="4"/>
  <x:c r="J402" i="4"/>
  <x:c r="S402" i="4"/>
  <x:c r="J403" i="4"/>
  <x:c r="S403" i="4"/>
  <x:c r="J404" i="4"/>
  <x:c r="S404" i="4"/>
  <x:c r="J405" i="4"/>
  <x:c r="S405" i="4"/>
  <x:c r="J406" i="4"/>
  <x:c r="S406" i="4"/>
  <x:c r="J407" i="4"/>
  <x:c r="S407" i="4"/>
  <x:c r="J408" i="4"/>
  <x:c r="S408" i="4"/>
  <x:c r="J409" i="4"/>
  <x:c r="S409" i="4"/>
  <x:c r="J410" i="4"/>
  <x:c r="S410" i="4"/>
  <x:c r="J411" i="4"/>
  <x:c r="S411" i="4"/>
  <x:c r="J412" i="4"/>
  <x:c r="S412" i="4"/>
  <x:c r="J413" i="4"/>
  <x:c r="S413" i="4"/>
  <x:c r="J414" i="4"/>
  <x:c r="S414" i="4"/>
  <x:c r="J415" i="4"/>
  <x:c r="S415" i="4"/>
  <x:c r="J416" i="4"/>
  <x:c r="S416" i="4"/>
  <x:c r="J417" i="4"/>
  <x:c r="S417" i="4"/>
  <x:c r="J418" i="4"/>
  <x:c r="S418" i="4"/>
  <x:c r="J419" i="4"/>
  <x:c r="S419" i="4"/>
  <x:c r="J420" i="4"/>
  <x:c r="S420" i="4"/>
  <x:c r="J421" i="4"/>
  <x:c r="S421" i="4"/>
  <x:c r="J422" i="4"/>
  <x:c r="S422" i="4"/>
  <x:c r="J423" i="4"/>
  <x:c r="S423" i="4"/>
  <x:c r="J424" i="4"/>
  <x:c r="S424" i="4"/>
  <x:c r="J425" i="4"/>
  <x:c r="S425" i="4"/>
  <x:c r="J426" i="4"/>
  <x:c r="S426" i="4"/>
  <x:c r="J427" i="4"/>
  <x:c r="S427" i="4"/>
  <x:c r="J428" i="4"/>
  <x:c r="S428" i="4"/>
  <x:c r="J429" i="4"/>
  <x:c r="S429" i="4"/>
  <x:c r="J430" i="4"/>
  <x:c r="S430" i="4"/>
  <x:c r="J431" i="4"/>
  <x:c r="S431" i="4"/>
  <x:c r="J432" i="4"/>
  <x:c r="S432" i="4"/>
  <x:c r="J433" i="4"/>
  <x:c r="S433" i="4"/>
  <x:c r="J434" i="4"/>
  <x:c r="S434" i="4"/>
  <x:c r="J435" i="4"/>
  <x:c r="S435" i="4"/>
  <x:c r="J436" i="4"/>
  <x:c r="S436" i="4"/>
  <x:c r="J437" i="4"/>
  <x:c r="S437" i="4"/>
  <x:c r="J438" i="4"/>
  <x:c r="S438" i="4"/>
  <x:c r="J439" i="4"/>
  <x:c r="S439" i="4"/>
  <x:c r="J440" i="4"/>
  <x:c r="S440" i="4"/>
  <x:c r="J441" i="4"/>
  <x:c r="S441" i="4"/>
  <x:c r="J442" i="4"/>
  <x:c r="S442" i="4"/>
  <x:c r="J443" i="4"/>
  <x:c r="S443" i="4"/>
  <x:c r="J444" i="4"/>
  <x:c r="S444" i="4"/>
  <x:c r="J445" i="4"/>
  <x:c r="S445" i="4"/>
  <x:c r="J446" i="4"/>
  <x:c r="S446" i="4"/>
  <x:c r="J447" i="4"/>
  <x:c r="S447" i="4"/>
  <x:c r="J448" i="4"/>
  <x:c r="S448" i="4"/>
  <x:c r="J449" i="4"/>
  <x:c r="S449" i="4"/>
  <x:c r="J450" i="4"/>
  <x:c r="S450" i="4"/>
  <x:c r="J451" i="4"/>
  <x:c r="S451" i="4"/>
  <x:c r="J452" i="4"/>
  <x:c r="S452" i="4"/>
  <x:c r="J453" i="4"/>
  <x:c r="S453" i="4"/>
  <x:c r="J454" i="4"/>
  <x:c r="S454" i="4"/>
  <x:c r="J455" i="4"/>
  <x:c r="S455" i="4"/>
  <x:c r="J456" i="4"/>
  <x:c r="S456" i="4"/>
  <x:c r="J457" i="4"/>
  <x:c r="S457" i="4"/>
  <x:c r="J458" i="4"/>
  <x:c r="S458" i="4"/>
  <x:c r="J459" i="4"/>
  <x:c r="S459" i="4"/>
  <x:c r="J460" i="4"/>
  <x:c r="S460" i="4"/>
  <x:c r="J461" i="4"/>
  <x:c r="S461" i="4"/>
  <x:c r="J462" i="4"/>
  <x:c r="S462" i="4"/>
  <x:c r="J463" i="4"/>
  <x:c r="S463" i="4"/>
  <x:c r="J464" i="4"/>
  <x:c r="S464" i="4"/>
  <x:c r="J465" i="4"/>
  <x:c r="S465" i="4"/>
  <x:c r="J466" i="4"/>
  <x:c r="S466" i="4"/>
  <x:c r="J467" i="4"/>
  <x:c r="S467" i="4"/>
  <x:c r="J468" i="4"/>
  <x:c r="S468" i="4"/>
  <x:c r="J469" i="4"/>
  <x:c r="S469" i="4"/>
  <x:c r="J470" i="4"/>
  <x:c r="S470" i="4"/>
  <x:c r="J471" i="4"/>
  <x:c r="S471" i="4"/>
  <x:c r="J472" i="4"/>
  <x:c r="S472" i="4"/>
  <x:c r="J473" i="4"/>
  <x:c r="S473" i="4"/>
  <x:c r="J474" i="4"/>
  <x:c r="S474" i="4"/>
  <x:c r="J475" i="4"/>
  <x:c r="S475" i="4"/>
  <x:c r="J476" i="4"/>
  <x:c r="S476" i="4"/>
  <x:c r="J477" i="4"/>
  <x:c r="S477" i="4"/>
  <x:c r="J478" i="4"/>
  <x:c r="S478" i="4"/>
  <x:c r="J479" i="4"/>
  <x:c r="S479" i="4"/>
  <x:c r="J480" i="4"/>
  <x:c r="S480" i="4"/>
  <x:c r="J481" i="4"/>
  <x:c r="S481" i="4"/>
  <x:c r="J482" i="4"/>
  <x:c r="S482" i="4"/>
  <x:c r="J483" i="4"/>
  <x:c r="S483" i="4"/>
  <x:c r="J484" i="4"/>
  <x:c r="S484" i="4"/>
  <x:c r="J485" i="4"/>
  <x:c r="S485" i="4"/>
  <x:c r="J486" i="4"/>
  <x:c r="S486" i="4"/>
  <x:c r="J487" i="4"/>
  <x:c r="S487" i="4"/>
  <x:c r="J488" i="4"/>
  <x:c r="S488" i="4"/>
  <x:c r="J489" i="4"/>
  <x:c r="S489" i="4"/>
  <x:c r="J490" i="4"/>
  <x:c r="S490" i="4"/>
  <x:c r="J491" i="4"/>
  <x:c r="S491" i="4"/>
  <x:c r="J492" i="4"/>
  <x:c r="S492" i="4"/>
  <x:c r="J493" i="4"/>
  <x:c r="S493" i="4"/>
  <x:c r="J494" i="4"/>
  <x:c r="S494" i="4"/>
  <x:c r="J495" i="4"/>
  <x:c r="S495" i="4"/>
  <x:c r="J496" i="4"/>
  <x:c r="S496" i="4"/>
  <x:c r="J497" i="4"/>
  <x:c r="S497" i="4"/>
  <x:c r="J498" i="4"/>
  <x:c r="S498" i="4"/>
  <x:c r="J499" i="4"/>
  <x:c r="S499" i="4"/>
  <x:c r="J500" i="4"/>
  <x:c r="S500" i="4"/>
  <x:c r="J501" i="4"/>
  <x:c r="S501" i="4"/>
  <x:c r="J502" i="4"/>
  <x:c r="S502" i="4"/>
  <x:c r="J503" i="4"/>
  <x:c r="S503" i="4"/>
  <x:c r="J504" i="4"/>
  <x:c r="S504" i="4"/>
  <x:c r="J505" i="4"/>
  <x:c r="S505" i="4"/>
  <x:c r="J506" i="4"/>
  <x:c r="S506" i="4"/>
  <x:c r="J507" i="4"/>
  <x:c r="S507" i="4"/>
  <x:c r="J508" i="4"/>
  <x:c r="S508" i="4"/>
  <x:c r="J509" i="4"/>
  <x:c r="S509" i="4"/>
  <x:c r="J510" i="4"/>
  <x:c r="S510" i="4"/>
  <x:c r="J511" i="4"/>
  <x:c r="S511" i="4"/>
  <x:c r="J512" i="4"/>
  <x:c r="S512" i="4"/>
  <x:c r="J513" i="4"/>
  <x:c r="S513" i="4"/>
  <x:c r="J514" i="4"/>
  <x:c r="S514" i="4"/>
  <x:c r="N2" i="5"/>
  <x:c r="N3" i="5"/>
  <x:c r="N4" i="5"/>
  <x:c r="N5" i="5"/>
  <x:c r="N6" i="5"/>
  <x:c r="N7" i="5"/>
  <x:c r="N8" i="5"/>
  <x:c r="N9" i="5"/>
  <x:c r="N10" i="5"/>
  <x:c r="N11" i="5"/>
  <x:c r="N12" i="5"/>
  <x:c r="N13" i="5"/>
  <x:c r="N14" i="5"/>
  <x:c r="N15" i="5"/>
  <x:c r="N16" i="5"/>
  <x:c r="N17" i="5"/>
  <x:c r="N18" i="5"/>
  <x:c r="N19" i="5"/>
  <x:c r="N20" i="5"/>
  <x:c r="N21" i="5"/>
  <x:c r="N22" i="5"/>
  <x:c r="N23" i="5"/>
  <x:c r="N24" i="5"/>
  <x:c r="N25" i="5"/>
  <x:c r="N26" i="5"/>
  <x:c r="N27" i="5"/>
  <x:c r="N28" i="5"/>
  <x:c r="N29" i="5"/>
  <x:c r="N30" i="5"/>
  <x:c r="N31" i="5"/>
  <x:c r="N32" i="5"/>
  <x:c r="N33" i="5"/>
  <x:c r="N34" i="5"/>
  <x:c r="N35" i="5"/>
  <x:c r="N36" i="5"/>
  <x:c r="N37" i="5"/>
  <x:c r="N38" i="5"/>
  <x:c r="N39" i="5"/>
  <x:c r="N40" i="5"/>
  <x:c r="N41" i="5"/>
  <x:c r="N42" i="5"/>
  <x:c r="N43" i="5"/>
  <x:c r="N44" i="5"/>
  <x:c r="N45" i="5"/>
  <x:c r="N46" i="5"/>
  <x:c r="N47" i="5"/>
  <x:c r="N48" i="5"/>
  <x:c r="N49" i="5"/>
  <x:c r="N50" i="5"/>
  <x:c r="N51" i="5"/>
  <x:c r="N52" i="5"/>
  <x:c r="N53" i="5"/>
  <x:c r="N54" i="5"/>
  <x:c r="N55" i="5"/>
  <x:c r="N56" i="5"/>
  <x:c r="N57" i="5"/>
  <x:c r="N58" i="5"/>
  <x:c r="N59" i="5"/>
  <x:c r="N60" i="5"/>
  <x:c r="N61" i="5"/>
  <x:c r="N62" i="5"/>
  <x:c r="N63" i="5"/>
  <x:c r="N64" i="5"/>
  <x:c r="N65" i="5"/>
  <x:c r="N66" i="5"/>
  <x:c r="N67" i="5"/>
  <x:c r="N68" i="5"/>
  <x:c r="N69" i="5"/>
  <x:c r="N70" i="5"/>
  <x:c r="N71" i="5"/>
  <x:c r="N72" i="5"/>
  <x:c r="N73" i="5"/>
  <x:c r="N74" i="5"/>
  <x:c r="N75" i="5"/>
  <x:c r="N76" i="5"/>
  <x:c r="N77" i="5"/>
  <x:c r="N78" i="5"/>
  <x:c r="N79" i="5"/>
  <x:c r="N80" i="5"/>
  <x:c r="N81" i="5"/>
  <x:c r="N82" i="5"/>
  <x:c r="N83" i="5"/>
  <x:c r="N84" i="5"/>
  <x:c r="N85" i="5"/>
  <x:c r="N86" i="5"/>
  <x:c r="N87" i="5"/>
  <x:c r="N88" i="5"/>
  <x:c r="N89" i="5"/>
  <x:c r="N90" i="5"/>
  <x:c r="N91" i="5"/>
  <x:c r="N92" i="5"/>
  <x:c r="N93" i="5"/>
  <x:c r="N94" i="5"/>
  <x:c r="N95" i="5"/>
  <x:c r="N96" i="5"/>
  <x:c r="N97" i="5"/>
  <x:c r="N98" i="5"/>
  <x:c r="N99" i="5"/>
  <x:c r="N100" i="5"/>
  <x:c r="N101" i="5"/>
  <x:c r="N102" i="5"/>
  <x:c r="N103" i="5"/>
  <x:c r="N104" i="5"/>
  <x:c r="N105" i="5"/>
  <x:c r="N106" i="5"/>
  <x:c r="N107" i="5"/>
  <x:c r="N108" i="5"/>
  <x:c r="N109" i="5"/>
  <x:c r="N110" i="5"/>
  <x:c r="N111" i="5"/>
  <x:c r="N112" i="5"/>
  <x:c r="N113" i="5"/>
  <x:c r="N114" i="5"/>
  <x:c r="N115" i="5"/>
  <x:c r="N116" i="5"/>
  <x:c r="N117" i="5"/>
  <x:c r="N118" i="5"/>
  <x:c r="N119" i="5"/>
  <x:c r="N120" i="5"/>
  <x:c r="N121" i="5"/>
  <x:c r="N122" i="5"/>
  <x:c r="N123" i="5"/>
  <x:c r="N124" i="5"/>
  <x:c r="N125" i="5"/>
  <x:c r="N126" i="5"/>
  <x:c r="N127" i="5"/>
  <x:c r="N128" i="5"/>
  <x:c r="N129" i="5"/>
  <x:c r="N130" i="5"/>
  <x:c r="N131" i="5"/>
  <x:c r="N132" i="5"/>
  <x:c r="N133" i="5"/>
  <x:c r="N134" i="5"/>
  <x:c r="J2" i="6"/>
  <x:c r="L2" i="6"/>
  <x:c r="J3" i="6"/>
  <x:c r="L3" i="6"/>
  <x:c r="J4" i="6"/>
  <x:c r="L4" i="6"/>
  <x:c r="J5" i="6"/>
  <x:c r="L5" i="6"/>
  <x:c r="J6" i="6"/>
  <x:c r="L6" i="6"/>
  <x:c r="J7" i="6"/>
  <x:c r="L7" i="6"/>
  <x:c r="J8" i="6"/>
  <x:c r="L8" i="6"/>
  <x:c r="J9" i="6"/>
  <x:c r="L9" i="6"/>
  <x:c r="J10" i="6"/>
  <x:c r="L10" i="6"/>
  <x:c r="J11" i="6"/>
  <x:c r="L11" i="6"/>
  <x:c r="J12" i="6"/>
  <x:c r="L12" i="6"/>
  <x:c r="J13" i="6"/>
  <x:c r="L13" i="6"/>
  <x:c r="J14" i="6"/>
  <x:c r="L14" i="6"/>
  <x:c r="J15" i="6"/>
  <x:c r="L15" i="6"/>
  <x:c r="J16" i="6"/>
  <x:c r="L16" i="6"/>
  <x:c r="J17" i="6"/>
  <x:c r="L17" i="6"/>
  <x:c r="J18" i="6"/>
  <x:c r="L18" i="6"/>
  <x:c r="J19" i="6"/>
  <x:c r="L19" i="6"/>
  <x:c r="J20" i="6"/>
  <x:c r="L20" i="6"/>
  <x:c r="J21" i="6"/>
  <x:c r="L21" i="6"/>
  <x:c r="J22" i="6"/>
  <x:c r="L22" i="6"/>
  <x:c r="J23" i="6"/>
  <x:c r="L23" i="6"/>
  <x:c r="J24" i="6"/>
  <x:c r="L24" i="6"/>
  <x:c r="J25" i="6"/>
  <x:c r="L25" i="6"/>
  <x:c r="J26" i="6"/>
  <x:c r="L26" i="6"/>
  <x:c r="J27" i="6"/>
  <x:c r="L27" i="6"/>
  <x:c r="J28" i="6"/>
  <x:c r="L28" i="6"/>
  <x:c r="J29" i="6"/>
  <x:c r="L29" i="6"/>
  <x:c r="J30" i="6"/>
  <x:c r="L30" i="6"/>
  <x:c r="J31" i="6"/>
  <x:c r="L31" i="6"/>
  <x:c r="J32" i="6"/>
  <x:c r="L32" i="6"/>
  <x:c r="J33" i="6"/>
  <x:c r="L33" i="6"/>
  <x:c r="J34" i="6"/>
  <x:c r="L34" i="6"/>
  <x:c r="G2" i="7"/>
  <x:c r="G3" i="7"/>
  <x:c r="G4" i="7"/>
</x:calcChain>
</file>

<file path=xl/sharedStrings.xml><?xml version="1.0" encoding="utf-8"?>
<x:sst xmlns:x="http://schemas.openxmlformats.org/spreadsheetml/2006/main">
  <x:si>
    <x:t>کل قدیم</x:t>
  </x:si>
  <x:si>
    <x:t>نام کل قدیم</x:t>
  </x:si>
  <x:si>
    <x:t>تعداد معین</x:t>
  </x:si>
  <x:si>
    <x:t>تعداد ردیف سند</x:t>
  </x:si>
  <x:si>
    <x:t>جمع بدهکار (ریال)</x:t>
  </x:si>
  <x:si>
    <x:t>جمع بستانکار (ریال)</x:t>
  </x:si>
  <x:si>
    <x:t>کل جدید پیشنهادی (قاعدهٔ XY→X0Y0)</x:t>
  </x:si>
  <x:si>
    <x:t>نام همین کد در درخت جدید</x:t>
  </x:si>
  <x:si>
    <x:t>شباهت نام</x:t>
  </x:si>
  <x:si>
    <x:t>✎ کل جدید نهایی</x:t>
  </x:si>
  <x:si>
    <x:t>نام کل نهایی (خودکار)</x:t>
  </x:si>
  <x:si>
    <x:t>کنترل (خودکار)</x:t>
  </x:si>
  <x:si>
    <x:t>✎ نام برای تعریف (اگر کد جدید است)</x:t>
  </x:si>
  <x:si>
    <x:t>✎ توضیح کارشناس</x:t>
  </x:si>
  <x:si>
    <x:t>11</x:t>
  </x:si>
  <x:si>
    <x:t>ذخاير قانوني</x:t>
  </x:si>
  <x:si>
    <x:t>1010</x:t>
  </x:si>
  <x:si>
    <x:t>— در درخت نیست؛ با نام قدیم ساخته می‌شود —</x:t>
  </x:si>
  <x:si>
    <x:t>12</x:t>
  </x:si>
  <x:si>
    <x:t>ذخاير تخصيص  يافته</x:t>
  </x:si>
  <x:si>
    <x:t>1020</x:t>
  </x:si>
  <x:si>
    <x:t>13</x:t>
  </x:si>
  <x:si>
    <x:t>ذخاير استهلاك</x:t>
  </x:si>
  <x:si>
    <x:t>1030</x:t>
  </x:si>
  <x:si>
    <x:t>14</x:t>
  </x:si>
  <x:si>
    <x:t>ساير ذخاير</x:t>
  </x:si>
  <x:si>
    <x:t>1040</x:t>
  </x:si>
  <x:si>
    <x:t>15</x:t>
  </x:si>
  <x:si>
    <x:t>ذخيره  ارزش  تعهدات  بلند مدت  آتي</x:t>
  </x:si>
  <x:si>
    <x:t>1050</x:t>
  </x:si>
  <x:si>
    <x:t>21</x:t>
  </x:si>
  <x:si>
    <x:t>دارائيهاي  ثابت  مشهود غير منقول</x:t>
  </x:si>
  <x:si>
    <x:t>2010</x:t>
  </x:si>
  <x:si>
    <x:t>داراييهاي ثابت مشهود غيرمنقول</x:t>
  </x:si>
  <x:si>
    <x:t>22</x:t>
  </x:si>
  <x:si>
    <x:t>دارائيهاي  ثابت  مشهود منقول</x:t>
  </x:si>
  <x:si>
    <x:t>2020</x:t>
  </x:si>
  <x:si>
    <x:t>داراييهاي ثابت مشهود منقول</x:t>
  </x:si>
  <x:si>
    <x:t>23</x:t>
  </x:si>
  <x:si>
    <x:t>سرمايه  گذاريهاي  بلند مدت</x:t>
  </x:si>
  <x:si>
    <x:t>2030</x:t>
  </x:si>
  <x:si>
    <x:t>24</x:t>
  </x:si>
  <x:si>
    <x:t>ساير دارائيها</x:t>
  </x:si>
  <x:si>
    <x:t>2040</x:t>
  </x:si>
  <x:si>
    <x:t>ساير داراييها</x:t>
  </x:si>
  <x:si>
    <x:t>31</x:t>
  </x:si>
  <x:si>
    <x:t>سفارشات  و پيش  پرداخت  ها</x:t>
  </x:si>
  <x:si>
    <x:t>3010</x:t>
  </x:si>
  <x:si>
    <x:t>سفارشات و پيش پرداختها</x:t>
  </x:si>
  <x:si>
    <x:t>32</x:t>
  </x:si>
  <x:si>
    <x:t>موجودي  مواد و كالا</x:t>
  </x:si>
  <x:si>
    <x:t>3020</x:t>
  </x:si>
  <x:si>
    <x:t>33</x:t>
  </x:si>
  <x:si>
    <x:t>حسابها و اسناد دريافتني</x:t>
  </x:si>
  <x:si>
    <x:t>3030</x:t>
  </x:si>
  <x:si>
    <x:t>34</x:t>
  </x:si>
  <x:si>
    <x:t>موجودي نقد</x:t>
  </x:si>
  <x:si>
    <x:t>3040</x:t>
  </x:si>
  <x:si>
    <x:t>موجودي نقد و غيرنقد</x:t>
  </x:si>
  <x:si>
    <x:t>35</x:t>
  </x:si>
  <x:si>
    <x:t>تنخواه گردان ها</x:t>
  </x:si>
  <x:si>
    <x:t>3050</x:t>
  </x:si>
  <x:si>
    <x:t>تنخواه گردانها</x:t>
  </x:si>
  <x:si>
    <x:t>36</x:t>
  </x:si>
  <x:si>
    <x:t>بانکها</x:t>
  </x:si>
  <x:si>
    <x:t>3060</x:t>
  </x:si>
  <x:si>
    <x:t>37</x:t>
  </x:si>
  <x:si>
    <x:t>سرمايه  گذاريهاي  كوتاه  مدت</x:t>
  </x:si>
  <x:si>
    <x:t>3070</x:t>
  </x:si>
  <x:si>
    <x:t>سرمايه گذاريهاي کوتاه مدت</x:t>
  </x:si>
  <x:si>
    <x:t>41</x:t>
  </x:si>
  <x:si>
    <x:t>حسابها و اسناد پرداختني</x:t>
  </x:si>
  <x:si>
    <x:t>4010</x:t>
  </x:si>
  <x:si>
    <x:t>42</x:t>
  </x:si>
  <x:si>
    <x:t>پيش  دريافتها</x:t>
  </x:si>
  <x:si>
    <x:t>4020</x:t>
  </x:si>
  <x:si>
    <x:t>پيش دريافتها</x:t>
  </x:si>
  <x:si>
    <x:t>43</x:t>
  </x:si>
  <x:si>
    <x:t>مازاد درآمد و هزينه  بيمه  بيكاري</x:t>
  </x:si>
  <x:si>
    <x:t>4030</x:t>
  </x:si>
  <x:si>
    <x:t>مازاد درآمد و هزينه بيمه بيکاري</x:t>
  </x:si>
  <x:si>
    <x:t>51</x:t>
  </x:si>
  <x:si>
    <x:t>ذخيره  مزاياي  سنوات  خدمت  كاركنان</x:t>
  </x:si>
  <x:si>
    <x:t>5010</x:t>
  </x:si>
  <x:si>
    <x:t>ذخيره مزاياي پايان خدمت کارکنان</x:t>
  </x:si>
  <x:si>
    <x:t>61</x:t>
  </x:si>
  <x:si>
    <x:t>درآمد حق  بيمه  بند 1 ماده  38</x:t>
  </x:si>
  <x:si>
    <x:t>6010</x:t>
  </x:si>
  <x:si>
    <x:t>درآمد حق بيمه</x:t>
  </x:si>
  <x:si>
    <x:t>62</x:t>
  </x:si>
  <x:si>
    <x:t>درآمد حاصل  از سرمايه  گذاريها</x:t>
  </x:si>
  <x:si>
    <x:t>6020</x:t>
  </x:si>
  <x:si>
    <x:t>درآمد حاصل از سرمايه گذاريها</x:t>
  </x:si>
  <x:si>
    <x:t>63</x:t>
  </x:si>
  <x:si>
    <x:t>درآمد حاصل  ازخسارت  و جرائم  نقدي</x:t>
  </x:si>
  <x:si>
    <x:t>6030</x:t>
  </x:si>
  <x:si>
    <x:t>درآمد حاصل از خسارات و جرايم نقدي</x:t>
  </x:si>
  <x:si>
    <x:t>64</x:t>
  </x:si>
  <x:si>
    <x:t>درآمد حاصل  از كمك  و هدايا</x:t>
  </x:si>
  <x:si>
    <x:t>6040</x:t>
  </x:si>
  <x:si>
    <x:t>درآمد حاصل از کمکها و هدايا</x:t>
  </x:si>
  <x:si>
    <x:t>65</x:t>
  </x:si>
  <x:si>
    <x:t>ساير درآمدها</x:t>
  </x:si>
  <x:si>
    <x:t>6050</x:t>
  </x:si>
  <x:si>
    <x:t>66</x:t>
  </x:si>
  <x:si>
    <x:t>كمك هزينه تحصيل پزشكان</x:t>
  </x:si>
  <x:si>
    <x:t>6060</x:t>
  </x:si>
  <x:si>
    <x:t>67</x:t>
  </x:si>
  <x:si>
    <x:t>درآمد حاصل  از بيمه  بيكاري</x:t>
  </x:si>
  <x:si>
    <x:t>6070</x:t>
  </x:si>
  <x:si>
    <x:t>درآمد بيمه بيکاري</x:t>
  </x:si>
  <x:si>
    <x:t>71</x:t>
  </x:si>
  <x:si>
    <x:t>غرامات  دستمزد و ايام  بيماري</x:t>
  </x:si>
  <x:si>
    <x:t>7010</x:t>
  </x:si>
  <x:si>
    <x:t>غرامت دستمزد و ايام بيماري</x:t>
  </x:si>
  <x:si>
    <x:t>72</x:t>
  </x:si>
  <x:si>
    <x:t>كمكها</x:t>
  </x:si>
  <x:si>
    <x:t>7020</x:t>
  </x:si>
  <x:si>
    <x:t>کمکها</x:t>
  </x:si>
  <x:si>
    <x:t>73</x:t>
  </x:si>
  <x:si>
    <x:t>از كارافتادگي  و غرامات  نقص  عضو</x:t>
  </x:si>
  <x:si>
    <x:t>7030</x:t>
  </x:si>
  <x:si>
    <x:t>از کار افتادگي و غرامات نقص عضو</x:t>
  </x:si>
  <x:si>
    <x:t>76</x:t>
  </x:si>
  <x:si>
    <x:t>هزينه هاي درمان</x:t>
  </x:si>
  <x:si>
    <x:t>7060</x:t>
  </x:si>
  <x:si>
    <x:t>حق سنوات مستمري بگيران</x:t>
  </x:si>
  <x:si>
    <x:t>78</x:t>
  </x:si>
  <x:si>
    <x:t>هزينه  هاي  درمان  مستقيم  مخصوص  مراكزدرماني</x:t>
  </x:si>
  <x:si>
    <x:t>7080</x:t>
  </x:si>
  <x:si>
    <x:t>هزينه هاي درمان مستقيم</x:t>
  </x:si>
  <x:si>
    <x:t>79</x:t>
  </x:si>
  <x:si>
    <x:t>هزينه درمان بيمارستان دانشگاه سرپايي</x:t>
  </x:si>
  <x:si>
    <x:t>7090</x:t>
  </x:si>
  <x:si>
    <x:t>هزينه هاي درمان غيرمستقيم</x:t>
  </x:si>
  <x:si>
    <x:t>81</x:t>
  </x:si>
  <x:si>
    <x:t>حقوق کارکنان</x:t>
  </x:si>
  <x:si>
    <x:t>8010</x:t>
  </x:si>
  <x:si>
    <x:t>82</x:t>
  </x:si>
  <x:si>
    <x:t>مزاياي  كاركنان</x:t>
  </x:si>
  <x:si>
    <x:t>8020</x:t>
  </x:si>
  <x:si>
    <x:t>مزاياي کارکنان</x:t>
  </x:si>
  <x:si>
    <x:t>83</x:t>
  </x:si>
  <x:si>
    <x:t>هزينه هاي  اداري</x:t>
  </x:si>
  <x:si>
    <x:t>8030</x:t>
  </x:si>
  <x:si>
    <x:t>هزينه هاي اداري</x:t>
  </x:si>
  <x:si>
    <x:t>87</x:t>
  </x:si>
  <x:si>
    <x:t>هزينه هاي درمان مستقيم مخصوص مراكز درماني</x:t>
  </x:si>
  <x:si>
    <x:t>8070</x:t>
  </x:si>
  <x:si>
    <x:t>91</x:t>
  </x:si>
  <x:si>
    <x:t>حساب افتتاحيه</x:t>
  </x:si>
  <x:si>
    <x:t>9010</x:t>
  </x:si>
  <x:si>
    <x:t>92</x:t>
  </x:si>
  <x:si>
    <x:t>رابط</x:t>
  </x:si>
  <x:si>
    <x:t>9020</x:t>
  </x:si>
  <x:si>
    <x:t>93</x:t>
  </x:si>
  <x:si>
    <x:t>حساب عملکرد</x:t>
  </x:si>
  <x:si>
    <x:t>9030</x:t>
  </x:si>
  <x:si>
    <x:t>95</x:t>
  </x:si>
  <x:si>
    <x:t>انتقال  وجوه</x:t>
  </x:si>
  <x:si>
    <x:t>9050</x:t>
  </x:si>
  <x:si>
    <x:t>انتقال وجوه</x:t>
  </x:si>
  <x:si>
    <x:t>96</x:t>
  </x:si>
  <x:si>
    <x:t>حسابهاي  انتظامي</x:t>
  </x:si>
  <x:si>
    <x:t>9060</x:t>
  </x:si>
  <x:si>
    <x:t>حسابهاي انتظامي کارگاهها و خسارت برآوردي</x:t>
  </x:si>
  <x:si>
    <x:t>97</x:t>
  </x:si>
  <x:si>
    <x:t>طرف  حسابهاي  انتظامي</x:t>
  </x:si>
  <x:si>
    <x:t>9070</x:t>
  </x:si>
  <x:si>
    <x:t>طرف حسابهاي انتظامي کارگاهها و خسارت برآوردير</x:t>
  </x:si>
  <x:si>
    <x:t>98</x:t>
  </x:si>
  <x:si>
    <x:t>سود تحصيل  نشده  سرمايه  گذاريها</x:t>
  </x:si>
  <x:si>
    <x:t>9080</x:t>
  </x:si>
  <x:si>
    <x:t>سود تحصيل نشده سرمايه گذاريها</x:t>
  </x:si>
  <x:si>
    <x:t>99</x:t>
  </x:si>
  <x:si>
    <x:t>طرف  سود تحصيل  نشده  سرمايه  گذاريها</x:t>
  </x:si>
  <x:si>
    <x:t>9090</x:t>
  </x:si>
  <x:si>
    <x:t>طرف سود تحصيل نشده سرمايه گذاريها</x:t>
  </x:si>
  <x:si>
    <x:t>معین قدیم</x:t>
  </x:si>
  <x:si>
    <x:t>نام معین قدیم</x:t>
  </x:si>
  <x:si>
    <x:t>نوع فعلیت قدیم</x:t>
  </x:si>
  <x:si>
    <x:t>نوع حساب قدیم</x:t>
  </x:si>
  <x:si>
    <x:t>بسته‌شده؟</x:t>
  </x:si>
  <x:si>
    <x:t>تعداد تفصیلی</x:t>
  </x:si>
  <x:si>
    <x:t>تفصیلی دارای سند</x:t>
  </x:si>
  <x:si>
    <x:t>مانده (ریال)</x:t>
  </x:si>
  <x:si>
    <x:t>الزامی؟</x:t>
  </x:si>
  <x:si>
    <x:t>کل جدید (از برگهٔ تطبیق کل)</x:t>
  </x:si>
  <x:si>
    <x:t>معین پیشنهادی (کل جدید + دو رقم معین قدیم)</x:t>
  </x:si>
  <x:si>
    <x:t>✎ معین جدید نهایی</x:t>
  </x:si>
  <x:si>
    <x:t>نام معین نهایی (خودکار)</x:t>
  </x:si>
  <x:si>
    <x:t>تعداد فعالیت/مرکز هزینهٔ متصل (سطح ۱ و ۲ جدید)</x:t>
  </x:si>
  <x:si>
    <x:t>09</x:t>
  </x:si>
  <x:si>
    <x:t>روز جانباز</x:t>
  </x:si>
  <x:si>
    <x:t>2</x:t>
  </x:si>
  <x:si>
    <x:t>1</x:t>
  </x:si>
  <x:si>
    <x:t>بله</x:t>
  </x:si>
  <x:si>
    <x:t>20</x:t>
  </x:si>
  <x:si>
    <x:t>ذخيره  مطالبات  مشكوك  الوصول</x:t>
  </x:si>
  <x:si>
    <x:t>0</x:t>
  </x:si>
  <x:si>
    <x:t>40</x:t>
  </x:si>
  <x:si>
    <x:t>ساختمانهاي  درماني</x:t>
  </x:si>
  <x:si>
    <x:t>10</x:t>
  </x:si>
  <x:si>
    <x:t>وسائط نقليه</x:t>
  </x:si>
  <x:si>
    <x:t>كامپيوتر و لوازم  جانبي  اتوماسيون</x:t>
  </x:si>
  <x:si>
    <x:t>30</x:t>
  </x:si>
  <x:si>
    <x:t>دستگاههاي  چاپ  و تكثير</x:t>
  </x:si>
  <x:si>
    <x:t>50</x:t>
  </x:si>
  <x:si>
    <x:t>دستگاههاي  تلفن  مركزي</x:t>
  </x:si>
  <x:si>
    <x:t>60</x:t>
  </x:si>
  <x:si>
    <x:t>دستگاههاي  فاكس</x:t>
  </x:si>
  <x:si>
    <x:t>80</x:t>
  </x:si>
  <x:si>
    <x:t>لوازم  و تجهيزات  پزشكي</x:t>
  </x:si>
  <x:si>
    <x:t>90</x:t>
  </x:si>
  <x:si>
    <x:t>اثاثيه  و لوازم  اداري</x:t>
  </x:si>
  <x:si>
    <x:t>امتياز برق</x:t>
  </x:si>
  <x:si>
    <x:t>امتياز تلفن</x:t>
  </x:si>
  <x:si>
    <x:t>پيش پرداخت  هاي  غير سرمايه اي</x:t>
  </x:si>
  <x:si>
    <x:t>انبار مواد و لوازم  مصرفي</x:t>
  </x:si>
  <x:si>
    <x:t>انباراثاثيه  و لوازم  اداري  غير مصرفي</x:t>
  </x:si>
  <x:si>
    <x:t>انبار لوازم  و تجهيزات  پزشكي  (مصرفي )</x:t>
  </x:si>
  <x:si>
    <x:t>-</x:t>
  </x:si>
  <x:si>
    <x:t>انبار داروئي</x:t>
  </x:si>
  <x:si>
    <x:t>انبار دارويي  تاريخ  گذشته</x:t>
  </x:si>
  <x:si>
    <x:t>داروخانه</x:t>
  </x:si>
  <x:si>
    <x:t>انبارك</x:t>
  </x:si>
  <x:si>
    <x:t>انبار لوازم  و تجهيزات  پزشكي (غيرمصرفي )</x:t>
  </x:si>
  <x:si>
    <x:t>59</x:t>
  </x:si>
  <x:si>
    <x:t>ماليات ارزش افزوده</x:t>
  </x:si>
  <x:si>
    <x:t>ساير اشخاص</x:t>
  </x:si>
  <x:si>
    <x:t>دولت  - كسورحق  بيمه  سهم  كاركنان  جانباز</x:t>
  </x:si>
  <x:si>
    <x:t>ساير اشخاص حقوقي</x:t>
  </x:si>
  <x:si>
    <x:t>ساير اشخاص(بدهکاران)-اعلاميه هاي ثبت نشده</x:t>
  </x:si>
  <x:si>
    <x:t>تنخواه گردان  كارپردازي</x:t>
  </x:si>
  <x:si>
    <x:t>بانك  درآمد- درآمدحاصل ازمراكزدرماني</x:t>
  </x:si>
  <x:si>
    <x:t>بانك  پرداخت  هزينه هاي  پرسنلي  واداري</x:t>
  </x:si>
  <x:si>
    <x:t>بانك تنخواه كارت</x:t>
  </x:si>
  <x:si>
    <x:t>01</x:t>
  </x:si>
  <x:si>
    <x:t>وزارت  دارائي</x:t>
  </x:si>
  <x:si>
    <x:t>04</x:t>
  </x:si>
  <x:si>
    <x:t>صندوق  كارگشائي - وام  كاركنان</x:t>
  </x:si>
  <x:si>
    <x:t>بيمه مازاد درمان گروهي همکاران شاغل</x:t>
  </x:si>
  <x:si>
    <x:t>حق  اشتراك  صندوق  كارگشائي</x:t>
  </x:si>
  <x:si>
    <x:t>شركت  سهامي  بيمه  (حق  بيمه  عمر)</x:t>
  </x:si>
  <x:si>
    <x:t>اقساط وصولي  كاركنان  سازمان</x:t>
  </x:si>
  <x:si>
    <x:t>16</x:t>
  </x:si>
  <x:si>
    <x:t>حق  بيمه  مكسوره  ازقراردادهاماده  38 قانون</x:t>
  </x:si>
  <x:si>
    <x:t>18</x:t>
  </x:si>
  <x:si>
    <x:t>10% مكسوره  حسن  انجام  كار</x:t>
  </x:si>
  <x:si>
    <x:t>وجوه  مكسوره  حق  بيمه  عمروحوادث  تكميلي</x:t>
  </x:si>
  <x:si>
    <x:t>27% حق  بيمه  كاركنان  درمان</x:t>
  </x:si>
  <x:si>
    <x:t>tahator</x:t>
  </x:si>
  <x:si>
    <x:t>ماليات ارزش افزوده اموال اداري</x:t>
  </x:si>
  <x:si>
    <x:t>هزينه هاي  معوق</x:t>
  </x:si>
  <x:si>
    <x:t>شركت مهندسي تاسيسات تامين و ساير</x:t>
  </x:si>
  <x:si>
    <x:t>سايراشخاص(بستانکاران)-اعلاميه هاي ثبت نشده</x:t>
  </x:si>
  <x:si>
    <x:t>بابت اعلاميه ناشناس  براي شخص با شماره بيمه  1234567895 از شعبه 9516 با شماره ملي 1452374525</x:t>
  </x:si>
  <x:si>
    <x:t>ذخيره  سنوات  خدمت  كاركنان</x:t>
  </x:si>
  <x:si>
    <x:t>94</x:t>
  </x:si>
  <x:si>
    <x:t>ذخيره بازخريد مرخصي</x:t>
  </x:si>
  <x:si>
    <x:t>تست</x:t>
  </x:si>
  <x:si>
    <x:t>كمك  وهداياي  ساير اشخاص</x:t>
  </x:si>
  <x:si>
    <x:t>25</x:t>
  </x:si>
  <x:si>
    <x:t>درآمد اختصاصي  مراكز درماني  سازمان</x:t>
  </x:si>
  <x:si>
    <x:t>درآمدهاي  متفرقه</x:t>
  </x:si>
  <x:si>
    <x:t>درآمد حاصل  از فروش  اموال  منقول</x:t>
  </x:si>
  <x:si>
    <x:t>كمك  هزينه  فوت</x:t>
  </x:si>
  <x:si>
    <x:t>خدمات  پزشكي  و تاسيسات  و 0000</x:t>
  </x:si>
  <x:si>
    <x:t>02</x:t>
  </x:si>
  <x:si>
    <x:t>هزينه  هاي  خدمات  درماني</x:t>
  </x:si>
  <x:si>
    <x:t>05</x:t>
  </x:si>
  <x:si>
    <x:t>هزينه  اورژانس</x:t>
  </x:si>
  <x:si>
    <x:t>07</x:t>
  </x:si>
  <x:si>
    <x:t>دارو و لوازم  مصرفي  پزشكي</x:t>
  </x:si>
  <x:si>
    <x:t>حقوق  كاركنان  رسمي</x:t>
  </x:si>
  <x:si>
    <x:t>حق الزحمه  كاركنان  موقت</x:t>
  </x:si>
  <x:si>
    <x:t>فوق العاده  شغل</x:t>
  </x:si>
  <x:si>
    <x:t>اضافه کار</x:t>
  </x:si>
  <x:si>
    <x:t>حق  بيمه  كاركنان - سهم  سازمان</x:t>
  </x:si>
  <x:si>
    <x:t>06</x:t>
  </x:si>
  <x:si>
    <x:t>پاداش</x:t>
  </x:si>
  <x:si>
    <x:t>كمكهاي  غير نقدي</x:t>
  </x:si>
  <x:si>
    <x:t>فوق العاده  ايام  تعطيل  و حق  كشيك</x:t>
  </x:si>
  <x:si>
    <x:t>كمك  هزينه  اولاد</x:t>
  </x:si>
  <x:si>
    <x:t>كمك  مسكن</x:t>
  </x:si>
  <x:si>
    <x:t>سنوات وساير مزاياي کارکنان موقت ( اضافه کار</x:t>
  </x:si>
  <x:si>
    <x:t>19</x:t>
  </x:si>
  <x:si>
    <x:t>كمك  هزينه  عائله  مندي</x:t>
  </x:si>
  <x:si>
    <x:t>50% حق  بيمه  عمر و حوادث  سهم  سازمان</x:t>
  </x:si>
  <x:si>
    <x:t>8% كمك به صندوق پس اندازوكارگشائي</x:t>
  </x:si>
  <x:si>
    <x:t>26</x:t>
  </x:si>
  <x:si>
    <x:t>فوق العاده جذب</x:t>
  </x:si>
  <x:si>
    <x:t>29</x:t>
  </x:si>
  <x:si>
    <x:t>مزاياي  پركيس  پزشكان</x:t>
  </x:si>
  <x:si>
    <x:t>هزينه  مزاياي  سنوات  خدمت  كاركنان</x:t>
  </x:si>
  <x:si>
    <x:t>مزاياي  ايام  مرخصي  كاركنان  سازمان</x:t>
  </x:si>
  <x:si>
    <x:t>مزاياي انگيزشي كاركنان</x:t>
  </x:si>
  <x:si>
    <x:t>ساير كمكها</x:t>
  </x:si>
  <x:si>
    <x:t>هزينه سفر وحمل ونقل اثاثيه ونقل وانتقال  پرسنل</x:t>
  </x:si>
  <x:si>
    <x:t>اجاره  و كرايه</x:t>
  </x:si>
  <x:si>
    <x:t>03</x:t>
  </x:si>
  <x:si>
    <x:t>ارتباطات</x:t>
  </x:si>
  <x:si>
    <x:t>تلفن</x:t>
  </x:si>
  <x:si>
    <x:t>نگهداري  و تعميرات  دارائي  هاي  ثابت</x:t>
  </x:si>
  <x:si>
    <x:t>حق  بيمه  دارائي  هاي  ثابت  و جاري</x:t>
  </x:si>
  <x:si>
    <x:t>08</x:t>
  </x:si>
  <x:si>
    <x:t>هزينه  چاپ  و صحافي  مطبوعات</x:t>
  </x:si>
  <x:si>
    <x:t>خدمات  تبليغاتي  و فعاليتهاي  ارتباطي</x:t>
  </x:si>
  <x:si>
    <x:t>هزينه ايام  خاص</x:t>
  </x:si>
  <x:si>
    <x:t>هزينه  مطالعه , تحقيق  و بررسي</x:t>
  </x:si>
  <x:si>
    <x:t>هزينه هاي  مالي</x:t>
  </x:si>
  <x:si>
    <x:t>هزينه  امور نظافت</x:t>
  </x:si>
  <x:si>
    <x:t>سوخت  حرارتي</x:t>
  </x:si>
  <x:si>
    <x:t>برق</x:t>
  </x:si>
  <x:si>
    <x:t>آب</x:t>
  </x:si>
  <x:si>
    <x:t>17</x:t>
  </x:si>
  <x:si>
    <x:t>سوخت  وسائط نقليه</x:t>
  </x:si>
  <x:si>
    <x:t>ملبوس  كاركنان</x:t>
  </x:si>
  <x:si>
    <x:t>حق  عضويت  درجلسات  و مجامع</x:t>
  </x:si>
  <x:si>
    <x:t>هزينه استاندارد مديريت کيفيت</x:t>
  </x:si>
  <x:si>
    <x:t>حق  بيمه  ومسئوليت  مدني</x:t>
  </x:si>
  <x:si>
    <x:t>27</x:t>
  </x:si>
  <x:si>
    <x:t>حق  الزحمه  خدمات</x:t>
  </x:si>
  <x:si>
    <x:t>28</x:t>
  </x:si>
  <x:si>
    <x:t>هزينه  پذيرايي</x:t>
  </x:si>
  <x:si>
    <x:t>خدمات  ورزشي</x:t>
  </x:si>
  <x:si>
    <x:t>يارانه  مهد كودك</x:t>
  </x:si>
  <x:si>
    <x:t>39</x:t>
  </x:si>
  <x:si>
    <x:t>ساير مواد و كالاي  مصرف  شدني</x:t>
  </x:si>
  <x:si>
    <x:t>هزينه  سوخت  مامورين  ابلاغ  ونامه  رسان</x:t>
  </x:si>
  <x:si>
    <x:t>44</x:t>
  </x:si>
  <x:si>
    <x:t>45</x:t>
  </x:si>
  <x:si>
    <x:t>نيروهاي شركت تاسيسات انرژي تامين</x:t>
  </x:si>
  <x:si>
    <x:t>حساب  افتتاحيه</x:t>
  </x:si>
  <x:si>
    <x:t>3</x:t>
  </x:si>
  <x:si>
    <x:t>اعلاميه صادره  درآمد</x:t>
  </x:si>
  <x:si>
    <x:t>رابط اعلاميه ناشناس حق بيمه</x:t>
  </x:si>
  <x:si>
    <x:t>سايراعلاميه هاي صادره</x:t>
  </x:si>
  <x:si>
    <x:t>سايراعلاميه هاي رسيده</x:t>
  </x:si>
  <x:si>
    <x:t>رابط اداره  ترازنامه  و تهيه  صورتهاي  مالي</x:t>
  </x:si>
  <x:si>
    <x:t>اعتبارات انتقالي درون استاني</x:t>
  </x:si>
  <x:si>
    <x:t>حساب رابط</x:t>
  </x:si>
  <x:si>
    <x:t>وجوه  انتقالي  از مديريت  درمان  به  واحد</x:t>
  </x:si>
  <x:si>
    <x:t>وجوه انتقالي ازمديريت  به واحد-درامداختصاصي</x:t>
  </x:si>
  <x:si>
    <x:t>52</x:t>
  </x:si>
  <x:si>
    <x:t>وجوه انتقالي ازواحدبه مديريت درمان -بانك درامد</x:t>
  </x:si>
  <x:si>
    <x:t>حساب انتظامي سفته هاي  دريافتي</x:t>
  </x:si>
  <x:si>
    <x:t>حساب  انتظامي  چك  هاي  دريافتي</x:t>
  </x:si>
  <x:si>
    <x:t>طرف  حساب  انتظامي  سفته هاي  دريافتي</x:t>
  </x:si>
  <x:si>
    <x:t>طرف  حساب  انتظامي  چك  هاي  دريافتي</x:t>
  </x:si>
  <x:si>
    <x:t>بانك تنخواه گردان</x:t>
  </x:si>
  <x:si>
    <x:t>خیر</x:t>
  </x:si>
  <x:si>
    <x:t>زمين</x:t>
  </x:si>
  <x:si>
    <x:t>ساختمانهاي  اداري</x:t>
  </x:si>
  <x:si>
    <x:t>ساختمانهاي  در جريان  ساخت  اداري</x:t>
  </x:si>
  <x:si>
    <x:t>ساختمانهاي  در جريان  ساخت  درماني</x:t>
  </x:si>
  <x:si>
    <x:t>پيش  پرداختهاي  سرمايه اي دارائيهاي  غيرمنقول</x:t>
  </x:si>
  <x:si>
    <x:t>پيش  پرداخت  به  شركتها و پيمانكارن</x:t>
  </x:si>
  <x:si>
    <x:t>پيش  پرداخت  سرمايه  اي  دارئيهاي  ثابت  منقول</x:t>
  </x:si>
  <x:si>
    <x:t>وسائط نقليه  قابل  واگذاري</x:t>
  </x:si>
  <x:si>
    <x:t>دستگاههاي  كامپيوتر</x:t>
  </x:si>
  <x:si>
    <x:t>دستگاههاي  كمپ  فلزي</x:t>
  </x:si>
  <x:si>
    <x:t>70</x:t>
  </x:si>
  <x:si>
    <x:t>دستگاههاي  تلفن  همراه</x:t>
  </x:si>
  <x:si>
    <x:t>88</x:t>
  </x:si>
  <x:si>
    <x:t>اموال  و اثاثيه  سازمان  نزد ديگران</x:t>
  </x:si>
  <x:si>
    <x:t>اثاثيه  و لوازم  اداري  اسقاط</x:t>
  </x:si>
  <x:si>
    <x:t>پيش  پرداخت  امتيازات</x:t>
  </x:si>
  <x:si>
    <x:t>امتياز آب</x:t>
  </x:si>
  <x:si>
    <x:t>امتياز تلفن  همراه</x:t>
  </x:si>
  <x:si>
    <x:t>امتياز گاز</x:t>
  </x:si>
  <x:si>
    <x:t>امتياز فاكس</x:t>
  </x:si>
  <x:si>
    <x:t>امتياز فاضلاب</x:t>
  </x:si>
  <x:si>
    <x:t>سايرامتيازات</x:t>
  </x:si>
  <x:si>
    <x:t>امتياز خطوط شبكه گسترده wan</x:t>
  </x:si>
  <x:si>
    <x:t>سرقفلي</x:t>
  </x:si>
  <x:si>
    <x:t>اموال تبصره 82</x:t>
  </x:si>
  <x:si>
    <x:t>اموال تهاتري</x:t>
  </x:si>
  <x:si>
    <x:t>اموال سرمايه گذاري</x:t>
  </x:si>
  <x:si>
    <x:t>سفارشات</x:t>
  </x:si>
  <x:si>
    <x:t>خسارت بيمه عمر و حوادث اوليه كاركنان شاغل</x:t>
  </x:si>
  <x:si>
    <x:t>خسارت  بيمه  عمروحوادث  تكميلي  كاركنان</x:t>
  </x:si>
  <x:si>
    <x:t>پيش  پرداخت  ماليات</x:t>
  </x:si>
  <x:si>
    <x:t>انبار مواد غذائي</x:t>
  </x:si>
  <x:si>
    <x:t>انبار متفرقه</x:t>
  </x:si>
  <x:si>
    <x:t>انباراثاثيه اسقاط</x:t>
  </x:si>
  <x:si>
    <x:t>انبار اماني نزد ديگران</x:t>
  </x:si>
  <x:si>
    <x:t>انبار تجهيزات  پزشكي  اسقاط</x:t>
  </x:si>
  <x:si>
    <x:t>وديعه املاك استيجاري ساختمانهاي اداري</x:t>
  </x:si>
  <x:si>
    <x:t>وزارت  بهداشت  , درمان  و آموزش  پزشكي</x:t>
  </x:si>
  <x:si>
    <x:t>اسناد دريافتني</x:t>
  </x:si>
  <x:si>
    <x:t>شركت سرمايه گذاري خانه سازي ايران مخصوص  واحدها</x:t>
  </x:si>
  <x:si>
    <x:t>چكهاي  برگشتي  در دست  اقدام</x:t>
  </x:si>
  <x:si>
    <x:t>بهروري ماده 20</x:t>
  </x:si>
  <x:si>
    <x:t>بهر هوري ماده 20</x:t>
  </x:si>
  <x:si>
    <x:t>شركت  مشاور مديريت  و خدمات  ماشيني  تامين</x:t>
  </x:si>
  <x:si>
    <x:t>کسورات خدمات درماني</x:t>
  </x:si>
  <x:si>
    <x:t>ارائه خدمات  به موسسات  طرف قرداد,مراكزدرماني</x:t>
  </x:si>
  <x:si>
    <x:t>38</x:t>
  </x:si>
  <x:si>
    <x:t>موسسات طرف قرارداد سازمان خدمات درماني</x:t>
  </x:si>
  <x:si>
    <x:t>دارووتجهيزات  پزشكي  ارسالي  به  مراكزدرماني</x:t>
  </x:si>
  <x:si>
    <x:t>استانداردسازي و کاليبراسيون دستگاهها و تجهيزات پزشکي</x:t>
  </x:si>
  <x:si>
    <x:t>47</x:t>
  </x:si>
  <x:si>
    <x:t>شركت  كار و تامين</x:t>
  </x:si>
  <x:si>
    <x:t>54</x:t>
  </x:si>
  <x:si>
    <x:t>غير شمول</x:t>
  </x:si>
  <x:si>
    <x:t>58</x:t>
  </x:si>
  <x:si>
    <x:t>اقساط تسهيلات پرداختي بانکها به همکاران</x:t>
  </x:si>
  <x:si>
    <x:t>2/12 تنخواه  بودجه  عملكردي</x:t>
  </x:si>
  <x:si>
    <x:t>سايراشخاص(بدهکاران) تامين اعتيار نشده - بانک ها</x:t>
  </x:si>
  <x:si>
    <x:t>حساب صندوق</x:t>
  </x:si>
  <x:si>
    <x:t>موجودي  سكه</x:t>
  </x:si>
  <x:si>
    <x:t>موجودي  بن</x:t>
  </x:si>
  <x:si>
    <x:t>تنخواه سوخت</x:t>
  </x:si>
  <x:si>
    <x:t>موجودي سکه</x:t>
  </x:si>
  <x:si>
    <x:t>تنخواه مازاد وديعه بيماران</x:t>
  </x:si>
  <x:si>
    <x:t>بانك  پرداخت  تعهدات  قانوني</x:t>
  </x:si>
  <x:si>
    <x:t>بانك  پرداخت  سرمايه  گذاري</x:t>
  </x:si>
  <x:si>
    <x:t>وجوه  بين  راه  بانك  درآم-د واحدهاي درماني</x:t>
  </x:si>
  <x:si>
    <x:t>وجوه  بين  راه بانك  پرداخت  مخصوص استان  وواحد</x:t>
  </x:si>
  <x:si>
    <x:t>صندوق  بازنشستگي  كشوري  )21/25%(</x:t>
  </x:si>
  <x:si>
    <x:t>شركت  تعاوني  مصرف  كاركنان</x:t>
  </x:si>
  <x:si>
    <x:t>بانك  رفاه  )وام  مسكن  كاركنان ( ح-------ذف</x:t>
  </x:si>
  <x:si>
    <x:t>جريمه  غيبت</x:t>
  </x:si>
  <x:si>
    <x:t>حق  التضمين  كاركنان  قراردادي</x:t>
  </x:si>
  <x:si>
    <x:t>وزارت  بهداشت  و درمان  و آموزش  پزشكي</x:t>
  </x:si>
  <x:si>
    <x:t>حق  سرانه  درمان</x:t>
  </x:si>
  <x:si>
    <x:t>درصد سهم  صندوق  كارآموزي</x:t>
  </x:si>
  <x:si>
    <x:t>5% سهم  كانون  كارشناسان  دادگستري</x:t>
  </x:si>
  <x:si>
    <x:t>پركيس  سهم  پزشكان</x:t>
  </x:si>
  <x:si>
    <x:t>مازاد پركيس  سهم  كاركنان</x:t>
  </x:si>
  <x:si>
    <x:t>حساب  1% سهم  رياست</x:t>
  </x:si>
  <x:si>
    <x:t>1% پركيس  سهم  معاونت  درمان</x:t>
  </x:si>
  <x:si>
    <x:t>ودايع  دريافتي  از غير بيمه  شدگان</x:t>
  </x:si>
  <x:si>
    <x:t>دارو و تجهيزات  پزشكي  دريافتي  از سازمان</x:t>
  </x:si>
  <x:si>
    <x:t>شرکت سرمايه گذاري داروئي تامين</x:t>
  </x:si>
  <x:si>
    <x:t>وجوه دريافتي بابت استاندارد سازي دستگاهها و تجهيزات پزشکي</x:t>
  </x:si>
  <x:si>
    <x:t>53</x:t>
  </x:si>
  <x:si>
    <x:t>تست تبريز</x:t>
  </x:si>
  <x:si>
    <x:t>هلدينگ داروئي شستا</x:t>
  </x:si>
  <x:si>
    <x:t>تنخواه  بودجه  عملكردي</x:t>
  </x:si>
  <x:si>
    <x:t>صندوق کارگشايي</x:t>
  </x:si>
  <x:si>
    <x:t>21% حق  بيمه  مدت  سربازي  كاركنان</x:t>
  </x:si>
  <x:si>
    <x:t>درآمد حق  بيمه  بند1ماده  38</x:t>
  </x:si>
  <x:si>
    <x:t>درآمد حاصل  از فروش  اموال  منقول  )حذف (</x:t>
  </x:si>
  <x:si>
    <x:t>درآمد حاصل  از فروش  وسائط نقليه )حذف (</x:t>
  </x:si>
  <x:si>
    <x:t>درآمدحاصل ازفروش اقساطي احداث مسكن</x:t>
  </x:si>
  <x:si>
    <x:t>درآمد حاصل  ازاجاره  دريافتي  املاك  ملكي</x:t>
  </x:si>
  <x:si>
    <x:t>درآمدحاصل ازاجاره خانه هاي سازماني</x:t>
  </x:si>
  <x:si>
    <x:t>خسارت  وصولي  ناشي ازسوء استفاده  دفترچه درمان</x:t>
  </x:si>
  <x:si>
    <x:t>خسارت  موضوع  تبصره  3 قانون  بيمه  رانندگان</x:t>
  </x:si>
  <x:si>
    <x:t>كمك  وهداياي  دولت  و موسسات  وابسته</x:t>
  </x:si>
  <x:si>
    <x:t>درآمد حاصل  از اموال  تبصره  82</x:t>
  </x:si>
  <x:si>
    <x:t>درآمد حاصل  ازخدمات  رفاهي</x:t>
  </x:si>
  <x:si>
    <x:t>درآمد حاصل  ازفروش  پساب  و فيلم  راديولوژي</x:t>
  </x:si>
  <x:si>
    <x:t>درآمد حاصل  از طب  كار</x:t>
  </x:si>
  <x:si>
    <x:t>درآمد حاصل  ازآموزش  دانشجويان  دانشگاه آزاد</x:t>
  </x:si>
  <x:si>
    <x:t>درآمد استاندارد سازي و كاليبراسون</x:t>
  </x:si>
  <x:si>
    <x:t>55</x:t>
  </x:si>
  <x:si>
    <x:t>درآمد حاصل  از موسسات  طرف  ق-رارداد</x:t>
  </x:si>
  <x:si>
    <x:t>درآمد حاصل از فروش ساختمانهاي درماني</x:t>
  </x:si>
  <x:si>
    <x:t>سودوزيان  حاصل  از فروش  اموال  منقول</x:t>
  </x:si>
  <x:si>
    <x:t>درآمد حاصل  از فروش  وسائط نقليه</x:t>
  </x:si>
  <x:si>
    <x:t>درآمد حاصل  از اجاره  املاك  ملي</x:t>
  </x:si>
  <x:si>
    <x:t>درآمد حاصل  از اجاره  خانه  هاي  سازماني</x:t>
  </x:si>
  <x:si>
    <x:t>تعديلات  سنواتي</x:t>
  </x:si>
  <x:si>
    <x:t>كمك  ازدواج</x:t>
  </x:si>
  <x:si>
    <x:t>هزينه  كفن  ودفن  كاركنان  وبازنشستگان  همكار</x:t>
  </x:si>
  <x:si>
    <x:t>سايركمكها</x:t>
  </x:si>
  <x:si>
    <x:t>مواد غذائي</x:t>
  </x:si>
  <x:si>
    <x:t>هزينه  هاي  طب  كار</x:t>
  </x:si>
  <x:si>
    <x:t>هزينه خدمات بيمارستان غير دانشگاه سرپايي</x:t>
  </x:si>
  <x:si>
    <x:t>هزينه بهداشت شبكه سرپايي</x:t>
  </x:si>
  <x:si>
    <x:t>هزينه بيمارستان هيئت امناي ارزي سرپايي</x:t>
  </x:si>
  <x:si>
    <x:t>خدمات درماني بيمارستانهاي خصوصي سرپايي</x:t>
  </x:si>
  <x:si>
    <x:t>تفاوت  تطبيق  حقوق</x:t>
  </x:si>
  <x:si>
    <x:t>فوق  العاده  ويژه</x:t>
  </x:si>
  <x:si>
    <x:t>خارج ازمركز, بدي  آب  وهواوسختي  معيشت</x:t>
  </x:si>
  <x:si>
    <x:t>فوق  العاده  تعديل</x:t>
  </x:si>
  <x:si>
    <x:t>كمك  هزينه  تحصيلي  وهزينه آموزش  كاركنان</x:t>
  </x:si>
  <x:si>
    <x:t>كمك  هزينه  غذاي  كاركنان</x:t>
  </x:si>
  <x:si>
    <x:t>كمك به رستوران</x:t>
  </x:si>
  <x:si>
    <x:t>شير كاركنان</x:t>
  </x:si>
  <x:si>
    <x:t>12/75% بازنشستگي سهم سازمان</x:t>
  </x:si>
  <x:si>
    <x:t>بهره وري</x:t>
  </x:si>
  <x:si>
    <x:t>فوق العاده سختي شرائط محيط كارونوبت كاري</x:t>
  </x:si>
  <x:si>
    <x:t>حق بيمه ايام اسارت آزادگان سهم سازمان</x:t>
  </x:si>
  <x:si>
    <x:t>هزينه  حق  محروميت  از مطب</x:t>
  </x:si>
  <x:si>
    <x:t>حق آنكال  پزشكان</x:t>
  </x:si>
  <x:si>
    <x:t>مزاياي  پركيس  كاركنان</x:t>
  </x:si>
  <x:si>
    <x:t>1% پركيس  سهم  مديريت</x:t>
  </x:si>
  <x:si>
    <x:t>حق  اشعه</x:t>
  </x:si>
  <x:si>
    <x:t>حق  الزحمه  پزشكان  مهمان</x:t>
  </x:si>
  <x:si>
    <x:t>حق الزحمه کار اضافي پزشکان اسناد پزشکي</x:t>
  </x:si>
  <x:si>
    <x:t>مرخصي استحقاقي کارکنان مناطق محروم</x:t>
  </x:si>
  <x:si>
    <x:t>فوق العاده خاص کارکنان شعب اقماري</x:t>
  </x:si>
  <x:si>
    <x:t>کارانه موقت</x:t>
  </x:si>
  <x:si>
    <x:t/>
  </x:si>
  <x:si>
    <x:t>بازخريد مرخصي آزادگان</x:t>
  </x:si>
  <x:si>
    <x:t>اثاثيه  خريداري  شده  كمتراز 800000 ريال</x:t>
  </x:si>
  <x:si>
    <x:t>هزينه  هاي  ساماندهي</x:t>
  </x:si>
  <x:si>
    <x:t>امور رفاهي  كاركنان</x:t>
  </x:si>
  <x:si>
    <x:t>هزينه وموادمصرفي طرح اتوماسيون</x:t>
  </x:si>
  <x:si>
    <x:t>داروهاي تاريخ مصرف گذشته</x:t>
  </x:si>
  <x:si>
    <x:t>اعلاميه رسيده  درآمد</x:t>
  </x:si>
  <x:si>
    <x:t>مكسوره  از نسخ  پزشكان</x:t>
  </x:si>
  <x:si>
    <x:t>حساب  تخفييفات</x:t>
  </x:si>
  <x:si>
    <x:t>طرح  كارانه(مازاد وصولي )</x:t>
  </x:si>
  <x:si>
    <x:t>تعديلات سنواتي</x:t>
  </x:si>
  <x:si>
    <x:t>وجوه  انتقالي  از مركزبه استان بابت درمان</x:t>
  </x:si>
  <x:si>
    <x:t>وجوه  انتقالي  از مركزبه واحددرمان</x:t>
  </x:si>
  <x:si>
    <x:t>وجوه انتقالي  ازمركزبه دفاتراسنادپزشكي</x:t>
  </x:si>
  <x:si>
    <x:t>وجوه  انتقالي  - بودجه  عملكردي</x:t>
  </x:si>
  <x:si>
    <x:t>وجوه  انتقالي  ازواحددرمان به مركز-بانك درآمد</x:t>
  </x:si>
  <x:si>
    <x:t>وجوه انتقالي واحدبه مركز-درآمدهاي  متفرقه</x:t>
  </x:si>
  <x:si>
    <x:t>حساب انتظامي لوازم</x:t>
  </x:si>
  <x:si>
    <x:t>حساب  انتظامي  اثاثيه  پزشكي  - خانه  سازي</x:t>
  </x:si>
  <x:si>
    <x:t>حساب  انتظامي  اثاثيه  اداري  - خانه  سازي</x:t>
  </x:si>
  <x:si>
    <x:t>كامپيوترهاي  تحويلي ازمعاونت  ياشركت  مشاور</x:t>
  </x:si>
  <x:si>
    <x:t>حساب انتظامي ضمانتنامه  دريافتي</x:t>
  </x:si>
  <x:si>
    <x:t>حساب انتظامي مزاياي انگيزشي - كاركنان</x:t>
  </x:si>
  <x:si>
    <x:t>بودجه عملكردي  بيمارستانهاي  سازمان )سرپائي (</x:t>
  </x:si>
  <x:si>
    <x:t>بودجه عملكردي  بيمارستانهاي سازمان )بستري (</x:t>
  </x:si>
  <x:si>
    <x:t>46</x:t>
  </x:si>
  <x:si>
    <x:t>حساب انتظامي هزينه درمان مصدومين حوادث ترافيكي</x:t>
  </x:si>
  <x:si>
    <x:t>طرف حساب انتظامي لوازم</x:t>
  </x:si>
  <x:si>
    <x:t>طرف  حساب  انتظامي  اثاثيه  ولوازم  پزشكي</x:t>
  </x:si>
  <x:si>
    <x:t>طرف  حساب  انتظامي  اثاثيه  ولوازم  اداري</x:t>
  </x:si>
  <x:si>
    <x:t>كامپيوترهاي  تحويلي ازمعاونت  يا شركت  مشاور</x:t>
  </x:si>
  <x:si>
    <x:t>طرف  حساب  انتظامي  ضمانتنامه دريافتي</x:t>
  </x:si>
  <x:si>
    <x:t>طرف حساب انتظامي مزاياي انگيزشي - كاركنان</x:t>
  </x:si>
  <x:si>
    <x:t>بودجه عملكردي  بيمارستانهاي سازمان )سرپائي (</x:t>
  </x:si>
  <x:si>
    <x:t>طرف حساب انتظامي هزينه درمان مصدومين  حوادث</x:t>
  </x:si>
  <x:si>
    <x:t>کلید فنی قدیم (HES_SEQ)</x:t>
  </x:si>
  <x:si>
    <x:t>کد تفصیلی قدیم</x:t>
  </x:si>
  <x:si>
    <x:t>نام تفصیلی قدیم</x:t>
  </x:si>
  <x:si>
    <x:t>تعداد هم‌نام</x:t>
  </x:si>
  <x:si>
    <x:t>اقدام پیشنهادی</x:t>
  </x:si>
  <x:si>
    <x:t>ادغام پیشنهادی با کلید</x:t>
  </x:si>
  <x:si>
    <x:t>✎ اقدام نهایی</x:t>
  </x:si>
  <x:si>
    <x:t>✎ ادغام با کلید</x:t>
  </x:si>
  <x:si>
    <x:t>✎ کد تفصیلی جدید (خالی = سیستم بدهد)</x:t>
  </x:si>
  <x:si>
    <x:t>✎ سطح شناور جدید (۱ تا ۷)</x:t>
  </x:si>
  <x:si>
    <x:t>✎ نام تفصیلی جدید (خالی = همان نام قدیم)</x:t>
  </x:si>
  <x:si>
    <x:t>000000</x:t>
  </x:si>
  <x:si>
    <x:t>بدون تفصیلی (ثبت روی خود معین)</x:t>
  </x:si>
  <x:si>
    <x:t>000085</x:t>
  </x:si>
  <x:si>
    <x:t>پيمانكاري صفايي</x:t>
  </x:si>
  <x:si>
    <x:t>ایجاد تفصیلی جدید</x:t>
  </x:si>
  <x:si>
    <x:t>501006</x:t>
  </x:si>
  <x:si>
    <x:t>ادغام با تفصیلی دیگر</x:t>
  </x:si>
  <x:si>
    <x:t>832704</x:t>
  </x:si>
  <x:si>
    <x:t>ماليات بر ارزش افزوده ساير خدمات</x:t>
  </x:si>
  <x:si>
    <x:t>000002</x:t>
  </x:si>
  <x:si>
    <x:t>تعميرات اساسي ساختمان و تاسيسات</x:t>
  </x:si>
  <x:si>
    <x:t>نام تفصیلی در سیستم قدیم خالی/نامعتبر است — نام درست را در ستون نام جدید بنویسید</x:t>
  </x:si>
  <x:si>
    <x:t>008329</x:t>
  </x:si>
  <x:si>
    <x:t>780701</x:t>
  </x:si>
  <x:si>
    <x:t>830703</x:t>
  </x:si>
  <x:si>
    <x:t>پيش پرداخت  بيمه اموال منقول وموجودي انبارها</x:t>
  </x:si>
  <x:si>
    <x:t>830704</x:t>
  </x:si>
  <x:si>
    <x:t>پيش  پرداخت  حق  بيمه  وسائط نقليه</x:t>
  </x:si>
  <x:si>
    <x:t>انباراثاثيه  و لوازم  اداري  غيرمصرفي</x:t>
  </x:si>
  <x:si>
    <x:t>داروخانه  ها</x:t>
  </x:si>
  <x:si>
    <x:t>100003</x:t>
  </x:si>
  <x:si>
    <x:t>جراحي زنان - دارو</x:t>
  </x:si>
  <x:si>
    <x:t>100017</x:t>
  </x:si>
  <x:si>
    <x:t>اورژانس - دارو</x:t>
  </x:si>
  <x:si>
    <x:t>100034</x:t>
  </x:si>
  <x:si>
    <x:t>كودكان - دارو</x:t>
  </x:si>
  <x:si>
    <x:t>100037</x:t>
  </x:si>
  <x:si>
    <x:t>زنان و زايمان - دارو</x:t>
  </x:si>
  <x:si>
    <x:t>100050</x:t>
  </x:si>
  <x:si>
    <x:t>آزمايشگاه - دارو</x:t>
  </x:si>
  <x:si>
    <x:t>100051</x:t>
  </x:si>
  <x:si>
    <x:t>داروخانه - دارو</x:t>
  </x:si>
  <x:si>
    <x:t>100053</x:t>
  </x:si>
  <x:si>
    <x:t>دندانپزشكي - دارو</x:t>
  </x:si>
  <x:si>
    <x:t>100060</x:t>
  </x:si>
  <x:si>
    <x:t>اتاق عمل سرپائي - دارو</x:t>
  </x:si>
  <x:si>
    <x:t>200017</x:t>
  </x:si>
  <x:si>
    <x:t>اورژانس - لوازم مصرفي پزشكي</x:t>
  </x:si>
  <x:si>
    <x:t>200037</x:t>
  </x:si>
  <x:si>
    <x:t>زنان و زايمان - لوازم مصرفي پزشكي</x:t>
  </x:si>
  <x:si>
    <x:t>200050</x:t>
  </x:si>
  <x:si>
    <x:t>آزمايشگاه - لوازم مصرفي پزشكي</x:t>
  </x:si>
  <x:si>
    <x:t>200053</x:t>
  </x:si>
  <x:si>
    <x:t>دندانپزشكي - لوازم مصرفي پزشكي</x:t>
  </x:si>
  <x:si>
    <x:t>200060</x:t>
  </x:si>
  <x:si>
    <x:t>اتاق عمل سرپائي - لوازم مصرفي پزشكي</x:t>
  </x:si>
  <x:si>
    <x:t>انبار لوازم  و تجهيزات  پزشكي (غير مصرفي)</x:t>
  </x:si>
  <x:si>
    <x:t>002220</x:t>
  </x:si>
  <x:si>
    <x:t>ماليات ارزش افزوده كامپيوتر</x:t>
  </x:si>
  <x:si>
    <x:t>002280</x:t>
  </x:si>
  <x:si>
    <x:t>ماليات ارزش افزوده اثاثيه پزشكي</x:t>
  </x:si>
  <x:si>
    <x:t>008339</x:t>
  </x:si>
  <x:si>
    <x:t>ارزش افزوده لوازم وموادمصرفي</x:t>
  </x:si>
  <x:si>
    <x:t>021402</x:t>
  </x:si>
  <x:si>
    <x:t>ماليات بر ارزش افزوده  تعميرات اساسي</x:t>
  </x:si>
  <x:si>
    <x:t>214002</x:t>
  </x:si>
  <x:si>
    <x:t>ماليات بر ارزش افزوده تعميرات اساسي</x:t>
  </x:si>
  <x:si>
    <x:t>221000</x:t>
  </x:si>
  <x:si>
    <x:t>ماليات ارزش افزوده وسائط نقليه</x:t>
  </x:si>
  <x:si>
    <x:t>222000</x:t>
  </x:si>
  <x:si>
    <x:t>ماليات ارزش افزوده مكسوره</x:t>
  </x:si>
  <x:si>
    <x:t>228000</x:t>
  </x:si>
  <x:si>
    <x:t>اليات ارزش افزوده اثاثيه پزشكي</x:t>
  </x:si>
  <x:si>
    <x:t>229000</x:t>
  </x:si>
  <x:si>
    <x:t>780102</x:t>
  </x:si>
  <x:si>
    <x:t>ماليات ارزش افزوده خدمات تاسيساتي وپيمانكاري</x:t>
  </x:si>
  <x:si>
    <x:t>780105</x:t>
  </x:si>
  <x:si>
    <x:t>ماليات ارزش افزوده خدمات قراردادي</x:t>
  </x:si>
  <x:si>
    <x:t>ماليات ارزش افزوده خريددارو</x:t>
  </x:si>
  <x:si>
    <x:t>780708</x:t>
  </x:si>
  <x:si>
    <x:t>ماليات ارزش افزوده لوازم پزشكي مصرفي</x:t>
  </x:si>
  <x:si>
    <x:t>830303</x:t>
  </x:si>
  <x:si>
    <x:t>ماليات ارزش افزوده اشتراك اينترنت</x:t>
  </x:si>
  <x:si>
    <x:t>830401</x:t>
  </x:si>
  <x:si>
    <x:t>830501</x:t>
  </x:si>
  <x:si>
    <x:t>ماليات ارزش افزوده تعميرونگهداري تاسيسات</x:t>
  </x:si>
  <x:si>
    <x:t>830503</x:t>
  </x:si>
  <x:si>
    <x:t>ارزش لفزوده تعميرونگهداري داراييهاي ثابت</x:t>
  </x:si>
  <x:si>
    <x:t>830510</x:t>
  </x:si>
  <x:si>
    <x:t>830601</x:t>
  </x:si>
  <x:si>
    <x:t>830602</x:t>
  </x:si>
  <x:si>
    <x:t>ماليات ارزش افزوده اثاثيه ولوازم پزشكي كم بها</x:t>
  </x:si>
  <x:si>
    <x:t>ماليات ارزش افزوده بيمه آتش سوزي</x:t>
  </x:si>
  <x:si>
    <x:t>بيمه بدنه وثالث اتومبيل</x:t>
  </x:si>
  <x:si>
    <x:t>830802</x:t>
  </x:si>
  <x:si>
    <x:t>ماليات ارزش افزوده چاپ ومطبوعات</x:t>
  </x:si>
  <x:si>
    <x:t>831301</x:t>
  </x:si>
  <x:si>
    <x:t>ماليات ارزش افزوده هزينه امور نظلفت پيمانكاري</x:t>
  </x:si>
  <x:si>
    <x:t>831303</x:t>
  </x:si>
  <x:si>
    <x:t>زباله هاي عفوني و پسماند</x:t>
  </x:si>
  <x:si>
    <x:t>831401</x:t>
  </x:si>
  <x:si>
    <x:t>831501</x:t>
  </x:si>
  <x:si>
    <x:t>ماليات ارزش افزوده مكسوره قبض برق</x:t>
  </x:si>
  <x:si>
    <x:t>831601</x:t>
  </x:si>
  <x:si>
    <x:t>ماليات ارزش افزوده آب</x:t>
  </x:si>
  <x:si>
    <x:t>832401</x:t>
  </x:si>
  <x:si>
    <x:t>ماليات ارزش افزوده حق الزحمه ايزو</x:t>
  </x:si>
  <x:si>
    <x:t>832502</x:t>
  </x:si>
  <x:si>
    <x:t>ماليات بر ارزش افزوده بيمه مسئوليت مدني</x:t>
  </x:si>
  <x:si>
    <x:t>833900</x:t>
  </x:si>
  <x:si>
    <x:t>000001</x:t>
  </x:si>
  <x:si>
    <x:t>جميله اميربيگي</x:t>
  </x:si>
  <x:si>
    <x:t>000004</x:t>
  </x:si>
  <x:si>
    <x:t>عمران ابراهيم زاده</x:t>
  </x:si>
  <x:si>
    <x:t>000005</x:t>
  </x:si>
  <x:si>
    <x:t>زهرا همت</x:t>
  </x:si>
  <x:si>
    <x:t>000006</x:t>
  </x:si>
  <x:si>
    <x:t>كاركنان22بهمن</x:t>
  </x:si>
  <x:si>
    <x:t>000007</x:t>
  </x:si>
  <x:si>
    <x:t>منصورمحمدزاده</x:t>
  </x:si>
  <x:si>
    <x:t>000008</x:t>
  </x:si>
  <x:si>
    <x:t>محمدامين مهردادي</x:t>
  </x:si>
  <x:si>
    <x:t>000009</x:t>
  </x:si>
  <x:si>
    <x:t>ثبت هزينه ابواب جمع</x:t>
  </x:si>
  <x:si>
    <x:t>000022</x:t>
  </x:si>
  <x:si>
    <x:t>محمدمهدي دژبرد</x:t>
  </x:si>
  <x:si>
    <x:t>000032</x:t>
  </x:si>
  <x:si>
    <x:t>هيلا هاشمي وزيري</x:t>
  </x:si>
  <x:si>
    <x:t>000033</x:t>
  </x:si>
  <x:si>
    <x:t>ارزوتبريزي</x:t>
  </x:si>
  <x:si>
    <x:t>000034</x:t>
  </x:si>
  <x:si>
    <x:t>رقيه بدخشان</x:t>
  </x:si>
  <x:si>
    <x:t>000035</x:t>
  </x:si>
  <x:si>
    <x:t>معصومه زيوري</x:t>
  </x:si>
  <x:si>
    <x:t>000036</x:t>
  </x:si>
  <x:si>
    <x:t>معصومه حجتي</x:t>
  </x:si>
  <x:si>
    <x:t>000037</x:t>
  </x:si>
  <x:si>
    <x:t>امام جماعت - امير ملكان</x:t>
  </x:si>
  <x:si>
    <x:t>000038</x:t>
  </x:si>
  <x:si>
    <x:t>كاركنان نيروي انتظامي</x:t>
  </x:si>
  <x:si>
    <x:t>000039</x:t>
  </x:si>
  <x:si>
    <x:t>مهناز بهادري</x:t>
  </x:si>
  <x:si>
    <x:t>نرجس نظري</x:t>
  </x:si>
  <x:si>
    <x:t>000106</x:t>
  </x:si>
  <x:si>
    <x:t>ناهيد کاظميان</x:t>
  </x:si>
  <x:si>
    <x:t>000110</x:t>
  </x:si>
  <x:si>
    <x:t>حساب اشخاص</x:t>
  </x:si>
  <x:si>
    <x:t>000117</x:t>
  </x:si>
  <x:si>
    <x:t>شورا نامدار</x:t>
  </x:si>
  <x:si>
    <x:t>000121</x:t>
  </x:si>
  <x:si>
    <x:t>فاطمه انام نژاد</x:t>
  </x:si>
  <x:si>
    <x:t>009240</x:t>
  </x:si>
  <x:si>
    <x:t>000020</x:t>
  </x:si>
  <x:si>
    <x:t>000021</x:t>
  </x:si>
  <x:si>
    <x:t>دولت  - 20%حق  بيمه  كاركنان  جانباز</x:t>
  </x:si>
  <x:si>
    <x:t>مزاياي ناشي از گروه تشويقي همکاران فرزند شهيد</x:t>
  </x:si>
  <x:si>
    <x:t>000044</x:t>
  </x:si>
  <x:si>
    <x:t>دولت - حق بيمه همكاران معزز فرزند شاهد شاغل در سازمان</x:t>
  </x:si>
  <x:si>
    <x:t>000045</x:t>
  </x:si>
  <x:si>
    <x:t>دولت - 20درصدحق بيمه همكاران معزز فرزند شاهد شاغل در سازمان</x:t>
  </x:si>
  <x:si>
    <x:t>ايران ممكو</x:t>
  </x:si>
  <x:si>
    <x:t>110003</x:t>
  </x:si>
  <x:si>
    <x:t>درامد اختصاصي</x:t>
  </x:si>
  <x:si>
    <x:t>بانک هزينه هاي پرسنلي جاري همراه رفاه</x:t>
  </x:si>
  <x:si>
    <x:t>110001</x:t>
  </x:si>
  <x:si>
    <x:t>ماليات  كاركنان</x:t>
  </x:si>
  <x:si>
    <x:t>اقساط صندوق پس اندازورفاه كاركنان شاغل(كوتاه مدت،بلندمدت)</x:t>
  </x:si>
  <x:si>
    <x:t>حق  اشتراك  كارگشائي  كاركنان  قراردادي</x:t>
  </x:si>
  <x:si>
    <x:t>بيمه  عمر وحوادث  اوليه  كاركنان</x:t>
  </x:si>
  <x:si>
    <x:t>اقساط وام  مسكن</x:t>
  </x:si>
  <x:si>
    <x:t>شركت بنيس فراز</x:t>
  </x:si>
  <x:si>
    <x:t>000003</x:t>
  </x:si>
  <x:si>
    <x:t>افق سيرآريا</x:t>
  </x:si>
  <x:si>
    <x:t>خودرو سرويس شهر</x:t>
  </x:si>
  <x:si>
    <x:t>آسانبر اريا گستر اران</x:t>
  </x:si>
  <x:si>
    <x:t>شركت پنام دژ</x:t>
  </x:si>
  <x:si>
    <x:t>000349</x:t>
  </x:si>
  <x:si>
    <x:t>001710</x:t>
  </x:si>
  <x:si>
    <x:t>شركت  تاسيساتي  تامين</x:t>
  </x:si>
  <x:si>
    <x:t>خودروسرويس شهر</x:t>
  </x:si>
  <x:si>
    <x:t>000053</x:t>
  </x:si>
  <x:si>
    <x:t>بنيس فراز</x:t>
  </x:si>
  <x:si>
    <x:t>بيمه  عمروحوادث  تكميلي كاركنان دربخش  درمان</x:t>
  </x:si>
  <x:si>
    <x:t>006565</x:t>
  </x:si>
  <x:si>
    <x:t>009516</x:t>
  </x:si>
  <x:si>
    <x:t>656000</x:t>
  </x:si>
  <x:si>
    <x:t>ماليات ارزش افزوده درامدهاي متفرقه</x:t>
  </x:si>
  <x:si>
    <x:t>ساي---ر اشخاص</x:t>
  </x:si>
  <x:si>
    <x:t>ساراخوش اقبال</x:t>
  </x:si>
  <x:si>
    <x:t>آزاده الوندي منش</x:t>
  </x:si>
  <x:si>
    <x:t>شركت آرياپيشتازجاويد</x:t>
  </x:si>
  <x:si>
    <x:t>بازرگاني محمودزاده</x:t>
  </x:si>
  <x:si>
    <x:t>طاهره مرادي</x:t>
  </x:si>
  <x:si>
    <x:t>شراره جمشيدي</x:t>
  </x:si>
  <x:si>
    <x:t>موسسه فرهنگي هنري آتيه</x:t>
  </x:si>
  <x:si>
    <x:t>000010</x:t>
  </x:si>
  <x:si>
    <x:t>بيمارستان فياض بخش</x:t>
  </x:si>
  <x:si>
    <x:t>000012</x:t>
  </x:si>
  <x:si>
    <x:t>پيمانكاري كاظميان</x:t>
  </x:si>
  <x:si>
    <x:t>ليداهوشياري</x:t>
  </x:si>
  <x:si>
    <x:t>000054</x:t>
  </x:si>
  <x:si>
    <x:t>مهنازبهادري</x:t>
  </x:si>
  <x:si>
    <x:t>000082</x:t>
  </x:si>
  <x:si>
    <x:t>بازرگاني تهران حساب</x:t>
  </x:si>
  <x:si>
    <x:t>000083</x:t>
  </x:si>
  <x:si>
    <x:t>دنياي پلاستيك</x:t>
  </x:si>
  <x:si>
    <x:t>000084</x:t>
  </x:si>
  <x:si>
    <x:t>زينب خياط زاده</x:t>
  </x:si>
  <x:si>
    <x:t>000086</x:t>
  </x:si>
  <x:si>
    <x:t>محمد مهدي دژبرد</x:t>
  </x:si>
  <x:si>
    <x:t>000087</x:t>
  </x:si>
  <x:si>
    <x:t>گروه تخصصي چينه</x:t>
  </x:si>
  <x:si>
    <x:t>000088</x:t>
  </x:si>
  <x:si>
    <x:t>رقيه بد اخشان</x:t>
  </x:si>
  <x:si>
    <x:t>داود عباسي</x:t>
  </x:si>
  <x:si>
    <x:t>000404</x:t>
  </x:si>
  <x:si>
    <x:t>001136</x:t>
  </x:si>
  <x:si>
    <x:t>فروشگاه جوان پلاستيک</x:t>
  </x:si>
  <x:si>
    <x:t>001539</x:t>
  </x:si>
  <x:si>
    <x:t>حقوق  و مزاياي  معوقه  سال  گذشته</x:t>
  </x:si>
  <x:si>
    <x:t>008241</x:t>
  </x:si>
  <x:si>
    <x:t>مزاياي انگيزشي</x:t>
  </x:si>
  <x:si>
    <x:t>010195</x:t>
  </x:si>
  <x:si>
    <x:t>حق عضويت صندوق تعاوني سازمان</x:t>
  </x:si>
  <x:si>
    <x:t>010447</x:t>
  </x:si>
  <x:si>
    <x:t>اقساط وام بلندمدت سازمان</x:t>
  </x:si>
  <x:si>
    <x:t>010453</x:t>
  </x:si>
  <x:si>
    <x:t>اينترانت</x:t>
  </x:si>
  <x:si>
    <x:t>گاز</x:t>
  </x:si>
  <x:si>
    <x:t>برق مصرفي</x:t>
  </x:si>
  <x:si>
    <x:t>اب مصرفي</x:t>
  </x:si>
  <x:si>
    <x:t>پركيس پزشكان اعلاميه ساير واحدها فروردين ماه</x:t>
  </x:si>
  <x:si>
    <x:t>پركيس پزشكان اعلاميه ساير واحدها ارديبهشت ماه</x:t>
  </x:si>
  <x:si>
    <x:t>پركيس پزشكان اعلاميه ساير واحدها خرداد ماه</x:t>
  </x:si>
  <x:si>
    <x:t>پركيس پزشكان اعلاميه ساير واحدها تير ماه</x:t>
  </x:si>
  <x:si>
    <x:t>پركيس پزشكان اعلاميه ساير واحدها مرداد ماه</x:t>
  </x:si>
  <x:si>
    <x:t>پركيس پزشكان اعلاميه ساير واحدها شهريور ماه</x:t>
  </x:si>
  <x:si>
    <x:t>پركيس پزشكان اعلاميه ساير واحدها مهر ماه</x:t>
  </x:si>
  <x:si>
    <x:t>پركيس پزشكان اعلاميه ساير واحدها آبان ماه</x:t>
  </x:si>
  <x:si>
    <x:t>پركيس پزشكان اعلاميه ساير واحدها آذر ماه</x:t>
  </x:si>
  <x:si>
    <x:t>پركيس پزشكان اعلاميه ساير واحدها دي ماه</x:t>
  </x:si>
  <x:si>
    <x:t>000011</x:t>
  </x:si>
  <x:si>
    <x:t>پركيس پزشكان اعلاميه ساير واحدها بهمن ماه</x:t>
  </x:si>
  <x:si>
    <x:t>پركيس پزشكان اعلاميه ساير واحدها اسفند ماه</x:t>
  </x:si>
  <x:si>
    <x:t>008204</x:t>
  </x:si>
  <x:si>
    <x:t>حق  الزحمه  اضافه  كاري</x:t>
  </x:si>
  <x:si>
    <x:t>008211</x:t>
  </x:si>
  <x:si>
    <x:t>فوق  العاده  ايام  تعطيل  وكشيك</x:t>
  </x:si>
  <x:si>
    <x:t>008229</x:t>
  </x:si>
  <x:si>
    <x:t>مزاياي  پركيس   وكارانه  پزشكان</x:t>
  </x:si>
  <x:si>
    <x:t>اعتبار مزاياي انگيزشي 3 ماهه چهارم</x:t>
  </x:si>
  <x:si>
    <x:t>008303</x:t>
  </x:si>
  <x:si>
    <x:t>اينترنت</x:t>
  </x:si>
  <x:si>
    <x:t>008304</x:t>
  </x:si>
  <x:si>
    <x:t>008314</x:t>
  </x:si>
  <x:si>
    <x:t>008315</x:t>
  </x:si>
  <x:si>
    <x:t>008316</x:t>
  </x:si>
  <x:si>
    <x:t>هزينه ابو يخ</x:t>
  </x:si>
  <x:si>
    <x:t>شركت كار و تامين</x:t>
  </x:si>
  <x:si>
    <x:t>پرداخت پاداش به كاركنان تاسيساتي تامين</x:t>
  </x:si>
  <x:si>
    <x:t>نوين ايده آل طب ايرانيان</x:t>
  </x:si>
  <x:si>
    <x:t>تجهيز پخش هيوا</x:t>
  </x:si>
  <x:si>
    <x:t>000018</x:t>
  </x:si>
  <x:si>
    <x:t>مهندسي تاسيسات وانرژي تامين</x:t>
  </x:si>
  <x:si>
    <x:t>000056</x:t>
  </x:si>
  <x:si>
    <x:t>تبليغات فراهاني</x:t>
  </x:si>
  <x:si>
    <x:t>000057</x:t>
  </x:si>
  <x:si>
    <x:t>پيمانكاري صفائي</x:t>
  </x:si>
  <x:si>
    <x:t>000065</x:t>
  </x:si>
  <x:si>
    <x:t>شركت داروپخش</x:t>
  </x:si>
  <x:si>
    <x:t>000066</x:t>
  </x:si>
  <x:si>
    <x:t>شركت هجرت</x:t>
  </x:si>
  <x:si>
    <x:t>000067</x:t>
  </x:si>
  <x:si>
    <x:t>شركت اكسير</x:t>
  </x:si>
  <x:si>
    <x:t>000069</x:t>
  </x:si>
  <x:si>
    <x:t>000072</x:t>
  </x:si>
  <x:si>
    <x:t>درمان گستر سيب</x:t>
  </x:si>
  <x:si>
    <x:t>000075</x:t>
  </x:si>
  <x:si>
    <x:t>ندا پرداز انفورماتيك</x:t>
  </x:si>
  <x:si>
    <x:t>000077</x:t>
  </x:si>
  <x:si>
    <x:t>000078</x:t>
  </x:si>
  <x:si>
    <x:t>شركت اسانبر اريا گستر اران</x:t>
  </x:si>
  <x:si>
    <x:t>100177</x:t>
  </x:si>
  <x:si>
    <x:t>عباس نوروزي گيلوائي</x:t>
  </x:si>
  <x:si>
    <x:t>100266</x:t>
  </x:si>
  <x:si>
    <x:t>شيروان دارائي</x:t>
  </x:si>
  <x:si>
    <x:t>119690</x:t>
  </x:si>
  <x:si>
    <x:t>حجت اله فخيمي</x:t>
  </x:si>
  <x:si>
    <x:t>528661</x:t>
  </x:si>
  <x:si>
    <x:t>احمد شجاعي</x:t>
  </x:si>
  <x:si>
    <x:t>559860</x:t>
  </x:si>
  <x:si>
    <x:t>توفيق محمدزاده اسكويي</x:t>
  </x:si>
  <x:si>
    <x:t>560295</x:t>
  </x:si>
  <x:si>
    <x:t>فرزانه ملكوتي</x:t>
  </x:si>
  <x:si>
    <x:t>560760</x:t>
  </x:si>
  <x:si>
    <x:t>عاتكه مويد محسني</x:t>
  </x:si>
  <x:si>
    <x:t>560925</x:t>
  </x:si>
  <x:si>
    <x:t>561045</x:t>
  </x:si>
  <x:si>
    <x:t>مريم صيامي</x:t>
  </x:si>
  <x:si>
    <x:t>561086</x:t>
  </x:si>
  <x:si>
    <x:t>561477</x:t>
  </x:si>
  <x:si>
    <x:t>561612</x:t>
  </x:si>
  <x:si>
    <x:t>561845</x:t>
  </x:si>
  <x:si>
    <x:t>561952</x:t>
  </x:si>
  <x:si>
    <x:t>مسعود بهرامي</x:t>
  </x:si>
  <x:si>
    <x:t>562045</x:t>
  </x:si>
  <x:si>
    <x:t>علي رضا عباسي</x:t>
  </x:si>
  <x:si>
    <x:t>562145</x:t>
  </x:si>
  <x:si>
    <x:t>562272</x:t>
  </x:si>
  <x:si>
    <x:t>عليرضا محمدپور</x:t>
  </x:si>
  <x:si>
    <x:t>562629</x:t>
  </x:si>
  <x:si>
    <x:t>محمد مرادي غياث ابادي</x:t>
  </x:si>
  <x:si>
    <x:t>562924</x:t>
  </x:si>
  <x:si>
    <x:t>زهرا پورقربان</x:t>
  </x:si>
  <x:si>
    <x:t>563028</x:t>
  </x:si>
  <x:si>
    <x:t>محمد دادرس</x:t>
  </x:si>
  <x:si>
    <x:t>563445</x:t>
  </x:si>
  <x:si>
    <x:t>نوشين زهدي اقدم</x:t>
  </x:si>
  <x:si>
    <x:t>564307</x:t>
  </x:si>
  <x:si>
    <x:t>ليدا هوشياري</x:t>
  </x:si>
  <x:si>
    <x:t>564424</x:t>
  </x:si>
  <x:si>
    <x:t>كيوانه خواجوي</x:t>
  </x:si>
  <x:si>
    <x:t>564498</x:t>
  </x:si>
  <x:si>
    <x:t>ماشاءاله تشكري زاده</x:t>
  </x:si>
  <x:si>
    <x:t>564549</x:t>
  </x:si>
  <x:si>
    <x:t>564642</x:t>
  </x:si>
  <x:si>
    <x:t>غلامرضا ميرخاني</x:t>
  </x:si>
  <x:si>
    <x:t>564661</x:t>
  </x:si>
  <x:si>
    <x:t>گلناز عبدالهي</x:t>
  </x:si>
  <x:si>
    <x:t>564703</x:t>
  </x:si>
  <x:si>
    <x:t>564732</x:t>
  </x:si>
  <x:si>
    <x:t>محمدحسن اصغري تبريزي</x:t>
  </x:si>
  <x:si>
    <x:t>564834</x:t>
  </x:si>
  <x:si>
    <x:t>حوريه محقق</x:t>
  </x:si>
  <x:si>
    <x:t>564838</x:t>
  </x:si>
  <x:si>
    <x:t>مهناز مهدي نژاد</x:t>
  </x:si>
  <x:si>
    <x:t>565497</x:t>
  </x:si>
  <x:si>
    <x:t>565793</x:t>
  </x:si>
  <x:si>
    <x:t>نسرين صادقپور</x:t>
  </x:si>
  <x:si>
    <x:t>566004</x:t>
  </x:si>
  <x:si>
    <x:t>جعفر خدابخشي</x:t>
  </x:si>
  <x:si>
    <x:t>566014</x:t>
  </x:si>
  <x:si>
    <x:t>ليلا بختياري</x:t>
  </x:si>
  <x:si>
    <x:t>566041</x:t>
  </x:si>
  <x:si>
    <x:t>566099</x:t>
  </x:si>
  <x:si>
    <x:t>رسول خرسندي فرد</x:t>
  </x:si>
  <x:si>
    <x:t>566283</x:t>
  </x:si>
  <x:si>
    <x:t>عذرا بردبار شلماني</x:t>
  </x:si>
  <x:si>
    <x:t>567268</x:t>
  </x:si>
  <x:si>
    <x:t>منصور محمدزاده</x:t>
  </x:si>
  <x:si>
    <x:t>567741</x:t>
  </x:si>
  <x:si>
    <x:t>568505</x:t>
  </x:si>
  <x:si>
    <x:t>توكل احمد حسيني</x:t>
  </x:si>
  <x:si>
    <x:t>569445</x:t>
  </x:si>
  <x:si>
    <x:t>رويا زارع</x:t>
  </x:si>
  <x:si>
    <x:t>569504</x:t>
  </x:si>
  <x:si>
    <x:t>سارا خوش اقبال</x:t>
  </x:si>
  <x:si>
    <x:t>569915</x:t>
  </x:si>
  <x:si>
    <x:t>570373</x:t>
  </x:si>
  <x:si>
    <x:t>فرانك رحيمي قصبه</x:t>
  </x:si>
  <x:si>
    <x:t>570799</x:t>
  </x:si>
  <x:si>
    <x:t>نسيم نوروزي</x:t>
  </x:si>
  <x:si>
    <x:t>570842</x:t>
  </x:si>
  <x:si>
    <x:t>حسن ابراهيميان</x:t>
  </x:si>
  <x:si>
    <x:t>570848</x:t>
  </x:si>
  <x:si>
    <x:t>مژگان ناظريان</x:t>
  </x:si>
  <x:si>
    <x:t>571257</x:t>
  </x:si>
  <x:si>
    <x:t>پروين اميدي</x:t>
  </x:si>
  <x:si>
    <x:t>645647</x:t>
  </x:si>
  <x:si>
    <x:t>مرضيه عصاره</x:t>
  </x:si>
  <x:si>
    <x:t>666393</x:t>
  </x:si>
  <x:si>
    <x:t>مهري قاسميان</x:t>
  </x:si>
  <x:si>
    <x:t>692683</x:t>
  </x:si>
  <x:si>
    <x:t>709731</x:t>
  </x:si>
  <x:si>
    <x:t>حميد رضا ميثمي</x:t>
  </x:si>
  <x:si>
    <x:t>710129</x:t>
  </x:si>
  <x:si>
    <x:t>فاطمه لري گوئيني</x:t>
  </x:si>
  <x:si>
    <x:t>710403</x:t>
  </x:si>
  <x:si>
    <x:t>محسن شمس الديني</x:t>
  </x:si>
  <x:si>
    <x:t>733634</x:t>
  </x:si>
  <x:si>
    <x:t>سهيلا اصلاحي</x:t>
  </x:si>
  <x:si>
    <x:t>توفيق محمدزاده اسكوئي</x:t>
  </x:si>
  <x:si>
    <x:t>ارزو تبريزي</x:t>
  </x:si>
  <x:si>
    <x:t>زبنب خياط زاده</x:t>
  </x:si>
  <x:si>
    <x:t>كمك  و هداياي  ساير اشخاص</x:t>
  </x:si>
  <x:si>
    <x:t>درآمداختصاصي مراكزدرماني سازمان  سرپائي</x:t>
  </x:si>
  <x:si>
    <x:t>درآمد حاصل  ازكمسيون  پزشكي</x:t>
  </x:si>
  <x:si>
    <x:t>100002</x:t>
  </x:si>
  <x:si>
    <x:t>هزينه فوت کارکنان رسمي</x:t>
  </x:si>
  <x:si>
    <x:t>خدمات  تاسيساتي  پيمانكاري</x:t>
  </x:si>
  <x:si>
    <x:t>هزينه  هاي  مامورين  انتظامي</x:t>
  </x:si>
  <x:si>
    <x:t>هزينه  استانداردسازي  وكاليبراسيون</x:t>
  </x:si>
  <x:si>
    <x:t>خدمات دندانپزشكي كاركنان مستقيم  وغيرمستقيم</x:t>
  </x:si>
  <x:si>
    <x:t>100001</x:t>
  </x:si>
  <x:si>
    <x:t>خدمات دندانپزشکي کارکنان رسمي</x:t>
  </x:si>
  <x:si>
    <x:t>200001</x:t>
  </x:si>
  <x:si>
    <x:t>خدمات دندانپزشکي کارکنان قراردادماده</x:t>
  </x:si>
  <x:si>
    <x:t>بابت هزينه اورژانس سي تي</x:t>
  </x:si>
  <x:si>
    <x:t>دارو</x:t>
  </x:si>
  <x:si>
    <x:t>انواع  نخ  جراحي</x:t>
  </x:si>
  <x:si>
    <x:t>انواع  سرنگ</x:t>
  </x:si>
  <x:si>
    <x:t>انواع  دستكش</x:t>
  </x:si>
  <x:si>
    <x:t>هزينه  ساير مواد و لوازم  پزشكي</x:t>
  </x:si>
  <x:si>
    <x:t>لوازم مصرفي تاريخ مصرف گذشته</x:t>
  </x:si>
  <x:si>
    <x:t>000015</x:t>
  </x:si>
  <x:si>
    <x:t>كيت ازمايشگاهي</x:t>
  </x:si>
  <x:si>
    <x:t>test</x:t>
  </x:si>
  <x:si>
    <x:t>فوق العاده شغل کارکنان رسمي</x:t>
  </x:si>
  <x:si>
    <x:t>تحصيلات کارکنان رسمي</x:t>
  </x:si>
  <x:si>
    <x:t>آموزش کارکنان رسمي</x:t>
  </x:si>
  <x:si>
    <x:t>100004</x:t>
  </x:si>
  <x:si>
    <x:t>سنوات تجربه کارکنان رسمي</x:t>
  </x:si>
  <x:si>
    <x:t>100005</x:t>
  </x:si>
  <x:si>
    <x:t>رتبه کارکنان رسمي</x:t>
  </x:si>
  <x:si>
    <x:t>100006</x:t>
  </x:si>
  <x:si>
    <x:t>حق سرپرستي کارکنان رسمي</x:t>
  </x:si>
  <x:si>
    <x:t>100007</x:t>
  </x:si>
  <x:si>
    <x:t>سنوات بسيج کارکنان رسمي</x:t>
  </x:si>
  <x:si>
    <x:t>100014</x:t>
  </x:si>
  <x:si>
    <x:t>مجموع تعديل - كاركنان رسمي</x:t>
  </x:si>
  <x:si>
    <x:t>100015</x:t>
  </x:si>
  <x:si>
    <x:t>ايثارگري - كاركنان رسمي</x:t>
  </x:si>
  <x:si>
    <x:t>100016</x:t>
  </x:si>
  <x:si>
    <x:t>تشويقي - كاركنان رسمي</x:t>
  </x:si>
  <x:si>
    <x:t>فوق العاده شغل کارکنان قرادادي</x:t>
  </x:si>
  <x:si>
    <x:t>200002</x:t>
  </x:si>
  <x:si>
    <x:t>تحصيلات کارکنان قراردادي</x:t>
  </x:si>
  <x:si>
    <x:t>200003</x:t>
  </x:si>
  <x:si>
    <x:t>آموزش کارکنان قراردادي</x:t>
  </x:si>
  <x:si>
    <x:t>200004</x:t>
  </x:si>
  <x:si>
    <x:t>سنوات تجربه کارکنان قراردادي</x:t>
  </x:si>
  <x:si>
    <x:t>200005</x:t>
  </x:si>
  <x:si>
    <x:t>رتبه کارکنان قراردادي</x:t>
  </x:si>
  <x:si>
    <x:t>200006</x:t>
  </x:si>
  <x:si>
    <x:t>حق سرپرستي کارکنان قراردادي</x:t>
  </x:si>
  <x:si>
    <x:t>200014</x:t>
  </x:si>
  <x:si>
    <x:t>مجموع تعديل - كاركنان قراردادي</x:t>
  </x:si>
  <x:si>
    <x:t>200016</x:t>
  </x:si>
  <x:si>
    <x:t>تشويقي - كاركنان قراردادي</x:t>
  </x:si>
  <x:si>
    <x:t>انگيزش خدمت کارکنان رسمي</x:t>
  </x:si>
  <x:si>
    <x:t>ساير فوق العاده ماده 39کارکنان رسمي</x:t>
  </x:si>
  <x:si>
    <x:t>نوبت کاري کارکنان رسمي</x:t>
  </x:si>
  <x:si>
    <x:t>سختي کار کارکنان رسمي</x:t>
  </x:si>
  <x:si>
    <x:t>جذب مديريتي کارکنان رسمي</x:t>
  </x:si>
  <x:si>
    <x:t>بدي آب وهوا کارکنان رسمي</x:t>
  </x:si>
  <x:si>
    <x:t>100008</x:t>
  </x:si>
  <x:si>
    <x:t>فوق العاده ويژه کارکنان رسمي</x:t>
  </x:si>
  <x:si>
    <x:t>انگيزش خدمت کارکنان قراردادي</x:t>
  </x:si>
  <x:si>
    <x:t>سختي کار کارکنان قراردادي</x:t>
  </x:si>
  <x:si>
    <x:t>200008</x:t>
  </x:si>
  <x:si>
    <x:t>فوق العاده ويژه کارکنان قراردادي</x:t>
  </x:si>
  <x:si>
    <x:t>100000</x:t>
  </x:si>
  <x:si>
    <x:t>اضافه کارکنان رسمي</x:t>
  </x:si>
  <x:si>
    <x:t>200000</x:t>
  </x:si>
  <x:si>
    <x:t>اضافه کار کارکنان قرارداد</x:t>
  </x:si>
  <x:si>
    <x:t>20% حق  بيمه  كاركنان  سهم  سازمان</x:t>
  </x:si>
  <x:si>
    <x:t>23% حق بيمه کارکنان قراردادکارمعين ومحدود</x:t>
  </x:si>
  <x:si>
    <x:t>كمك هزينه ارتقاسلامت بيمه تكميلي كاركنان شاغل</x:t>
  </x:si>
  <x:si>
    <x:t>پاداش و تشويق کارکنان رسمي</x:t>
  </x:si>
  <x:si>
    <x:t>عيدي کارکنان رسمي</x:t>
  </x:si>
  <x:si>
    <x:t>پاداش و تشويق کارکنان قراردادماده</x:t>
  </x:si>
  <x:si>
    <x:t>عيدي کارکنان قرارداده ماده 4</x:t>
  </x:si>
  <x:si>
    <x:t>008214</x:t>
  </x:si>
  <x:si>
    <x:t>كمك هاي غيرنقدي كاركنان موقت _ ماده 20</x:t>
  </x:si>
  <x:si>
    <x:t>کمک هاي غيرنقدي کارکنان رسمي</x:t>
  </x:si>
  <x:si>
    <x:t>کمک هاي غيرنقدي کارکنان قرارماده</x:t>
  </x:si>
  <x:si>
    <x:t>501002</x:t>
  </x:si>
  <x:si>
    <x:t>کمکهاي غيرنقدي هفته تامين اجتماعي کارکنان رسمي</x:t>
  </x:si>
  <x:si>
    <x:t>501009</x:t>
  </x:si>
  <x:si>
    <x:t>جوايز فرزندان ممتاز رسمي</x:t>
  </x:si>
  <x:si>
    <x:t>501013</x:t>
  </x:si>
  <x:si>
    <x:t>بن کارت هديه روز کارمند ، رسمي</x:t>
  </x:si>
  <x:si>
    <x:t>501019</x:t>
  </x:si>
  <x:si>
    <x:t>اعياد مذهبي(فطر و قربان)كاركنان- رسمي (غير نقدي)</x:t>
  </x:si>
  <x:si>
    <x:t>501020</x:t>
  </x:si>
  <x:si>
    <x:t>اوقات فراغت كاركنان رسمي</x:t>
  </x:si>
  <x:si>
    <x:t>502002</x:t>
  </x:si>
  <x:si>
    <x:t>کمکهاي غيرنقدي هفته تامين اجتماعي کارکنان قراردادي</x:t>
  </x:si>
  <x:si>
    <x:t>502013</x:t>
  </x:si>
  <x:si>
    <x:t>بن کارت هديه روز کارمند ، قراردادي</x:t>
  </x:si>
  <x:si>
    <x:t>502019</x:t>
  </x:si>
  <x:si>
    <x:t>اعياد مذهبي(فطر و قربان)كاركنان- بند ب ماده 2(غير نقدي)</x:t>
  </x:si>
  <x:si>
    <x:t>502020</x:t>
  </x:si>
  <x:si>
    <x:t>اوقات فراغت كاركنان قراردادي</x:t>
  </x:si>
  <x:si>
    <x:t>821400</x:t>
  </x:si>
  <x:si>
    <x:t>کمکهاي غير نقدي کارکنان موقت - ماده 20</x:t>
  </x:si>
  <x:si>
    <x:t>فوق العاده ايام تعطيل وحق کشيک کارکنان رسمي</x:t>
  </x:si>
  <x:si>
    <x:t>حق اولاد کارکنان رسمي</x:t>
  </x:si>
  <x:si>
    <x:t>حق اولاد کارکنان قرارداد ماده</x:t>
  </x:si>
  <x:si>
    <x:t>حق مسکن کارکنان رسمي</x:t>
  </x:si>
  <x:si>
    <x:t>حق مسکن کارکنان قراردادماده</x:t>
  </x:si>
  <x:si>
    <x:t>سنوات وساير مزاياي کارکنان موقت ( اضافه کارمحدود</x:t>
  </x:si>
  <x:si>
    <x:t>عائله مندي کارکنان رسمي</x:t>
  </x:si>
  <x:si>
    <x:t>عائله مندي کارکنان قراردادماده</x:t>
  </x:si>
  <x:si>
    <x:t>50% حق بيمه عمروحوادث اوليه سهم سازمان رسمي</x:t>
  </x:si>
  <x:si>
    <x:t>50% حق بيمه عمر وحوادث تکميلي  سهم سازمان رسمي</x:t>
  </x:si>
  <x:si>
    <x:t>کمک به صندق پس انداز وکارگشائي کارکنان رسمي</x:t>
  </x:si>
  <x:si>
    <x:t>کمک به صندق پس اندازوکارگشائي قراردادماده</x:t>
  </x:si>
  <x:si>
    <x:t>حق صندوق داري</x:t>
  </x:si>
  <x:si>
    <x:t>مزاياي پرکيس پزشکان رسمي</x:t>
  </x:si>
  <x:si>
    <x:t>مزاياي پرکيس پزشکان قرارداد ماده</x:t>
  </x:si>
  <x:si>
    <x:t>مزاياي سنوات خدمت کارکنان رسمي</x:t>
  </x:si>
  <x:si>
    <x:t>مزاياي سنوات خدمت کارکنان سازمان قراردادماده</x:t>
  </x:si>
  <x:si>
    <x:t>بازخريد مرخصي کارکنان رسمي ( حذف</x:t>
  </x:si>
  <x:si>
    <x:t>بازخريد مرخصي کارکنان رسمي</x:t>
  </x:si>
  <x:si>
    <x:t>بازخريد مرخصي کارکنان قراردادي</x:t>
  </x:si>
  <x:si>
    <x:t>مزاياي انگيزشي كاركنان رسمي</x:t>
  </x:si>
  <x:si>
    <x:t>مزاياي انگيزشي كاركنان بند ب ماده 2</x:t>
  </x:si>
  <x:si>
    <x:t>مزاياي انگيزشي كاركنان قراردادي ماده 20</x:t>
  </x:si>
  <x:si>
    <x:t>كمك  -كارمند نمونه</x:t>
  </x:si>
  <x:si>
    <x:t>كمك  - روز پزشك  وتوديع  همكاران  بازنشسته (حذف</x:t>
  </x:si>
  <x:si>
    <x:t>ساير كمك</x:t>
  </x:si>
  <x:si>
    <x:t>کمک هفته تامين اجتماعي کارکنان رسمي</x:t>
  </x:si>
  <x:si>
    <x:t>کمک - روزپرستار کارکنان رسمي</x:t>
  </x:si>
  <x:si>
    <x:t>کمک - روز زن کارکنان رسمي</x:t>
  </x:si>
  <x:si>
    <x:t>کمک - روز پدر کارکنان رسمي</x:t>
  </x:si>
  <x:si>
    <x:t>کمک - کارمند نمونه کارکنان رسمي</x:t>
  </x:si>
  <x:si>
    <x:t>100011</x:t>
  </x:si>
  <x:si>
    <x:t>کمک - توديع همکاران بازنشسته رسمي</x:t>
  </x:si>
  <x:si>
    <x:t>100013</x:t>
  </x:si>
  <x:si>
    <x:t>کمک روز کارمند کارکنان رسمي</x:t>
  </x:si>
  <x:si>
    <x:t>حق ابواب جمعي کارکنان رسمي</x:t>
  </x:si>
  <x:si>
    <x:t>100018</x:t>
  </x:si>
  <x:si>
    <x:t>ابراز همدردي و تسليت كاركنان - رسمي</x:t>
  </x:si>
  <x:si>
    <x:t>100019</x:t>
  </x:si>
  <x:si>
    <x:t>اعياد مذهبي (فطر و قربان) كاركنان - رسمي</x:t>
  </x:si>
  <x:si>
    <x:t>100020</x:t>
  </x:si>
  <x:si>
    <x:t>اوقات فراغت فرزندان كاركنان - رسمي</x:t>
  </x:si>
  <x:si>
    <x:t>کمک - هفته تامين اجتماعي کارکنان قراردادماده</x:t>
  </x:si>
  <x:si>
    <x:t>کمک - رور زن کارکنان قراردادماده</x:t>
  </x:si>
  <x:si>
    <x:t>کمک - روز پدر کارکنان قراردادماده</x:t>
  </x:si>
  <x:si>
    <x:t>200013</x:t>
  </x:si>
  <x:si>
    <x:t>کمک - روز کارمندکارکنان قراردادماده</x:t>
  </x:si>
  <x:si>
    <x:t>200015</x:t>
  </x:si>
  <x:si>
    <x:t>حق ابواب جمعي کارکنان قراردادماده</x:t>
  </x:si>
  <x:si>
    <x:t>200019</x:t>
  </x:si>
  <x:si>
    <x:t>اعياد مذهبي (فطر و قربان) كاركنان - بند ب ماده 2</x:t>
  </x:si>
  <x:si>
    <x:t>200020</x:t>
  </x:si>
  <x:si>
    <x:t>اوقات فراغت فرزندان كاركنان - بند ب ماده 20</x:t>
  </x:si>
  <x:si>
    <x:t>820911</x:t>
  </x:si>
  <x:si>
    <x:t>كمك هاي غير نقدي كاركنان رسمي</x:t>
  </x:si>
  <x:si>
    <x:t>820912</x:t>
  </x:si>
  <x:si>
    <x:t>كمك لوازم التحرير كاركنان رسمي</x:t>
  </x:si>
  <x:si>
    <x:t>820914</x:t>
  </x:si>
  <x:si>
    <x:t>كمك هاي غير نقدي كاركنان ماده 20</x:t>
  </x:si>
  <x:si>
    <x:t>820921</x:t>
  </x:si>
  <x:si>
    <x:t>كمك هاي غير نقدي كاركنان قراردادي</x:t>
  </x:si>
  <x:si>
    <x:t>820922</x:t>
  </x:si>
  <x:si>
    <x:t>كمك لوازم التحرير كاركنان قراردادي</x:t>
  </x:si>
  <x:si>
    <x:t>هزينه  حمل  ونقل  اشياء  و اثاثيه</x:t>
  </x:si>
  <x:si>
    <x:t>هزينه سفرحمل اثاثيه نقل وانتقال کارکنان رسمي (حذف</x:t>
  </x:si>
  <x:si>
    <x:t>كرايه  وسائط نقليه  (آژانس )</x:t>
  </x:si>
  <x:si>
    <x:t>پست</x:t>
  </x:si>
  <x:si>
    <x:t>اشتراك  اينترنت</x:t>
  </x:si>
  <x:si>
    <x:t>اشتراك  ماهواره - ويست</x:t>
  </x:si>
  <x:si>
    <x:t>تعميرونگهداري وراهبري ساختمانهاوتاسيسات</x:t>
  </x:si>
  <x:si>
    <x:t>نگهداري  و تعميرات  وسائط نقليه</x:t>
  </x:si>
  <x:si>
    <x:t>نگهداري  و تعميرات اموال  منقول</x:t>
  </x:si>
  <x:si>
    <x:t>نگهداري  باغ  و باغباني</x:t>
  </x:si>
  <x:si>
    <x:t>عوارض  نوسازي  ساختمانهاي اداري</x:t>
  </x:si>
  <x:si>
    <x:t>نگهداري  و تعميرات  لوازم  پزشكي</x:t>
  </x:si>
  <x:si>
    <x:t>حق  بيمه  اموال  منقول  و موجودي  انبارها</x:t>
  </x:si>
  <x:si>
    <x:t>حق  بيمه  وسائط  نقليه</x:t>
  </x:si>
  <x:si>
    <x:t>چاپ  و مطبوعات</x:t>
  </x:si>
  <x:si>
    <x:t>هزينه  فعاليتهاي  فرهنگي  واجتماعي</x:t>
  </x:si>
  <x:si>
    <x:t>تبليغات  مذهبي</x:t>
  </x:si>
  <x:si>
    <x:t>دهه  مبارك  فجر</x:t>
  </x:si>
  <x:si>
    <x:t>هزينه  هفته  تامين  اجتماعي</x:t>
  </x:si>
  <x:si>
    <x:t>هزينه  حق التدريس</x:t>
  </x:si>
  <x:si>
    <x:t>هزينه هاي  آموزشي</x:t>
  </x:si>
  <x:si>
    <x:t>هزينه هاي  بانكي</x:t>
  </x:si>
  <x:si>
    <x:t>هزينه امورنظافت  پيمانكاري</x:t>
  </x:si>
  <x:si>
    <x:t>هزينه انتقال زباله هاي عفوني-پسماند</x:t>
  </x:si>
  <x:si>
    <x:t>نيروهاي شركت كار و تامين</x:t>
  </x:si>
  <x:si>
    <x:t>008206</x:t>
  </x:si>
  <x:si>
    <x:t>برق  مصرفي  ساختمانهاي  اداري</x:t>
  </x:si>
  <x:si>
    <x:t>آب  و يخ</x:t>
  </x:si>
  <x:si>
    <x:t>روغن  وسائط نقليه</x:t>
  </x:si>
  <x:si>
    <x:t>هزينه ملبوس کارکنان</x:t>
  </x:si>
  <x:si>
    <x:t>حق  حضوردركميسيونهاي  پزشكي</x:t>
  </x:si>
  <x:si>
    <x:t>ايزو</x:t>
  </x:si>
  <x:si>
    <x:t>حق بيمه مسئوليت مدني رئيس مرکزدرماني ملکي</x:t>
  </x:si>
  <x:si>
    <x:t>ساير خدمات</x:t>
  </x:si>
  <x:si>
    <x:t>حق  الزحمه  پزشك  معتمد</x:t>
  </x:si>
  <x:si>
    <x:t>بابت پنچر گيري و شستشو</x:t>
  </x:si>
  <x:si>
    <x:t>يارانه مهد کودک کارکنان رسمي</x:t>
  </x:si>
  <x:si>
    <x:t>يارانه اياب و ذهاب کارکنان رسمي</x:t>
  </x:si>
  <x:si>
    <x:t>يارانه اياب و ذهاب کارکنان قراردادي بند ب ماده 2</x:t>
  </x:si>
  <x:si>
    <x:t>نيروهاي شركت تاسيساتي تامين</x:t>
  </x:si>
  <x:si>
    <x:t>336220</x:t>
  </x:si>
  <x:si>
    <x:t>كسور حق بيمه كاركنان جانباز</x:t>
  </x:si>
  <x:si>
    <x:t>336221</x:t>
  </x:si>
  <x:si>
    <x:t>20درصد حق بيمه كاركنان جانباز</x:t>
  </x:si>
  <x:si>
    <x:t>336233</x:t>
  </x:si>
  <x:si>
    <x:t>مزاياي ناشي از گروه تشويقي فرزند شهيد</x:t>
  </x:si>
  <x:si>
    <x:t>336244</x:t>
  </x:si>
  <x:si>
    <x:t>حق بيمه فرزندان معزز شاهد</x:t>
  </x:si>
  <x:si>
    <x:t>336245</x:t>
  </x:si>
  <x:si>
    <x:t>20درصد حق بيمه همكاران شاهد</x:t>
  </x:si>
  <x:si>
    <x:t>001135</x:t>
  </x:si>
  <x:si>
    <x:t>شركت  تاسيسات وانرژي  تامين</x:t>
  </x:si>
  <x:si>
    <x:t>مريم صيامي- صندوقدار</x:t>
  </x:si>
  <x:si>
    <x:t>شركت  تاسيسات و انرژي تامين</x:t>
  </x:si>
  <x:si>
    <x:t>نوع</x:t>
  </x:si>
  <x:si>
    <x:t>سطح شناور جدید</x:t>
  </x:si>
  <x:si>
    <x:t>کد جزء</x:t>
  </x:si>
  <x:si>
    <x:t>کد ریز</x:t>
  </x:si>
  <x:si>
    <x:t>نام</x:t>
  </x:si>
  <x:si>
    <x:t>فعالیت والد (جزء همین کد)</x:t>
  </x:si>
  <x:si>
    <x:t>تعداد معین متصل</x:t>
  </x:si>
  <x:si>
    <x:t>متصل به حساب‌های قدیم (کل/معین/تفصیلی)</x:t>
  </x:si>
  <x:si>
    <x:t>✎ نام جدید (خالی = همان نام قدیم)</x:t>
  </x:si>
  <x:si>
    <x:t>فعالیت</x:t>
  </x:si>
  <x:si>
    <x:t>0002</x:t>
  </x:si>
  <x:si>
    <x:t>هزينه ساختمان درمانگاه بهار</x:t>
  </x:si>
  <x:si>
    <x:t>36/11/120001، 36/20/120001، 41/26/000000، 81/01/300002، 83/04/000001، 83/05/000001، 83/05/000002، 83/05/000003، 83/05/000010، 83/10/000003، 83/11/000005، 83/11/000006، 83/14/000001، 83/15/000001، 83/16/000001</x:t>
  </x:si>
  <x:si>
    <x:t>منتقل شود</x:t>
  </x:si>
  <x:si>
    <x:t>0003</x:t>
  </x:si>
  <x:si>
    <x:t>هزينه ساختمان شماره2</x:t>
  </x:si>
  <x:si>
    <x:t>0004</x:t>
  </x:si>
  <x:si>
    <x:t>هزينه ساختماني درمانگاه  فدائيان</x:t>
  </x:si>
  <x:si>
    <x:t>0005</x:t>
  </x:si>
  <x:si>
    <x:t>هزينه ساختماني درمانگاه باقرشهر</x:t>
  </x:si>
  <x:si>
    <x:t>0006</x:t>
  </x:si>
  <x:si>
    <x:t>هزينه ساختماني  درمانگاه دخانيات</x:t>
  </x:si>
  <x:si>
    <x:t>0007</x:t>
  </x:si>
  <x:si>
    <x:t>هزينه ساختماني انبار عراقي</x:t>
  </x:si>
  <x:si>
    <x:t>36/11/120001، 36/20/120001، 41/26/000000، 83/04/000001، 83/05/000001، 83/05/000002، 83/05/000003، 83/11/000005، 83/14/000001، 83/15/000001، 83/16/000001</x:t>
  </x:si>
  <x:si>
    <x:t>0046</x:t>
  </x:si>
  <x:si>
    <x:t>تلفن فدائيان 33740046</x:t>
  </x:si>
  <x:si>
    <x:t>83/04/000001</x:t>
  </x:si>
  <x:si>
    <x:t>0200</x:t>
  </x:si>
  <x:si>
    <x:t>تلفن پذيرش بستري 55060200</x:t>
  </x:si>
  <x:si>
    <x:t>0292</x:t>
  </x:si>
  <x:si>
    <x:t>قبض اب فدائيان</x:t>
  </x:si>
  <x:si>
    <x:t>83/16/000001</x:t>
  </x:si>
  <x:si>
    <x:t>0462</x:t>
  </x:si>
  <x:si>
    <x:t>کنتور اب بيمارستان</x:t>
  </x:si>
  <x:si>
    <x:t>0836</x:t>
  </x:si>
  <x:si>
    <x:t>تلفن رياست بيمارستان</x:t>
  </x:si>
  <x:si>
    <x:t>0837</x:t>
  </x:si>
  <x:si>
    <x:t>رياست بيمارستان 55310837</x:t>
  </x:si>
  <x:si>
    <x:t>0838</x:t>
  </x:si>
  <x:si>
    <x:t>تلفن مرکزتلفن 55310838</x:t>
  </x:si>
  <x:si>
    <x:t>0839</x:t>
  </x:si>
  <x:si>
    <x:t>تلفن رياست اداري 55310839</x:t>
  </x:si>
  <x:si>
    <x:t>1111</x:t>
  </x:si>
  <x:si>
    <x:t>نام واحد</x:t>
  </x:si>
  <x:si>
    <x:t>منتقل نشود</x:t>
  </x:si>
  <x:si>
    <x:t>1133</x:t>
  </x:si>
  <x:si>
    <x:t>مرکز تلفن 55061133</x:t>
  </x:si>
  <x:si>
    <x:t>1134</x:t>
  </x:si>
  <x:si>
    <x:t>مرکز تلفن 5506134</x:t>
  </x:si>
  <x:si>
    <x:t>1135</x:t>
  </x:si>
  <x:si>
    <x:t>مرکز تلفن 55061135</x:t>
  </x:si>
  <x:si>
    <x:t>1136</x:t>
  </x:si>
  <x:si>
    <x:t>مرکز تلفن 55061136</x:t>
  </x:si>
  <x:si>
    <x:t>1137</x:t>
  </x:si>
  <x:si>
    <x:t>فکس رياست 55061137</x:t>
  </x:si>
  <x:si>
    <x:t>1179</x:t>
  </x:si>
  <x:si>
    <x:t>پرايد 61ب179ايران 22 حراست</x:t>
  </x:si>
  <x:si>
    <x:t>83/05/000002، 83/17/000001</x:t>
  </x:si>
  <x:si>
    <x:t>1243</x:t>
  </x:si>
  <x:si>
    <x:t>قبض گاز 5111243</x:t>
  </x:si>
  <x:si>
    <x:t>83/14/000001</x:t>
  </x:si>
  <x:si>
    <x:t>1244</x:t>
  </x:si>
  <x:si>
    <x:t>بدنه کنتور اب انبار عراقي</x:t>
  </x:si>
  <x:si>
    <x:t>1383</x:t>
  </x:si>
  <x:si>
    <x:t>قبض اب بدنه 31383</x:t>
  </x:si>
  <x:si>
    <x:t>1516</x:t>
  </x:si>
  <x:si>
    <x:t>تلفن باقرشهر 55221516</x:t>
  </x:si>
  <x:si>
    <x:t>1525</x:t>
  </x:si>
  <x:si>
    <x:t>تلفن 55421525دخانيات</x:t>
  </x:si>
  <x:si>
    <x:t>1526</x:t>
  </x:si>
  <x:si>
    <x:t>تلفن 55421526دخانيات</x:t>
  </x:si>
  <x:si>
    <x:t>1603</x:t>
  </x:si>
  <x:si>
    <x:t>تلفن اکو تست ورزش 5311603</x:t>
  </x:si>
  <x:si>
    <x:t>1605</x:t>
  </x:si>
  <x:si>
    <x:t>تلفن فدائيان 33761605</x:t>
  </x:si>
  <x:si>
    <x:t>1606</x:t>
  </x:si>
  <x:si>
    <x:t>تلفن فدائيان 33761606</x:t>
  </x:si>
  <x:si>
    <x:t>1833</x:t>
  </x:si>
  <x:si>
    <x:t>تلفن رياست مالي 55311833</x:t>
  </x:si>
  <x:si>
    <x:t>1834</x:t>
  </x:si>
  <x:si>
    <x:t>تلفن حراست 55311834</x:t>
  </x:si>
  <x:si>
    <x:t>1990</x:t>
  </x:si>
  <x:si>
    <x:t>برق درمانگاه بهار 8537981990</x:t>
  </x:si>
  <x:si>
    <x:t>83/15/000001</x:t>
  </x:si>
  <x:si>
    <x:t>2140</x:t>
  </x:si>
  <x:si>
    <x:t>برق درمانگاه بهار 8537982140</x:t>
  </x:si>
  <x:si>
    <x:t>2183</x:t>
  </x:si>
  <x:si>
    <x:t>کنتورگاز مهد8312183</x:t>
  </x:si>
  <x:si>
    <x:t>2210</x:t>
  </x:si>
  <x:si>
    <x:t>اموال</x:t>
  </x:si>
  <x:si>
    <x:t>22/10/000000</x:t>
  </x:si>
  <x:si>
    <x:t>2298</x:t>
  </x:si>
  <x:si>
    <x:t>برق درمانگاه بهار 8537982298</x:t>
  </x:si>
  <x:si>
    <x:t>2299</x:t>
  </x:si>
  <x:si>
    <x:t>برق درمانگاه بهار 8537982299</x:t>
  </x:si>
  <x:si>
    <x:t>2300</x:t>
  </x:si>
  <x:si>
    <x:t>برق درمانگاه بهار 8537982300</x:t>
  </x:si>
  <x:si>
    <x:t>2301</x:t>
  </x:si>
  <x:si>
    <x:t>برق درمانگاه بهار 8537982301</x:t>
  </x:si>
  <x:si>
    <x:t>2304</x:t>
  </x:si>
  <x:si>
    <x:t>برق درمانگاه بهار 8537982304</x:t>
  </x:si>
  <x:si>
    <x:t>2305</x:t>
  </x:si>
  <x:si>
    <x:t>برق درمانگاه بهار 8537982305</x:t>
  </x:si>
  <x:si>
    <x:t>2306</x:t>
  </x:si>
  <x:si>
    <x:t>برق درمانگاه بهار 8537982306</x:t>
  </x:si>
  <x:si>
    <x:t>2307</x:t>
  </x:si>
  <x:si>
    <x:t>قبض برق درمانگاه بهار 8537982307</x:t>
  </x:si>
  <x:si>
    <x:t>2309</x:t>
  </x:si>
  <x:si>
    <x:t>برق درمانگاه بهار 8537982309</x:t>
  </x:si>
  <x:si>
    <x:t>2359</x:t>
  </x:si>
  <x:si>
    <x:t>برق درمانگاه بهار 8537982359</x:t>
  </x:si>
  <x:si>
    <x:t>2400</x:t>
  </x:si>
  <x:si>
    <x:t>تلفن پاويون اقايان 55062400</x:t>
  </x:si>
  <x:si>
    <x:t>2600</x:t>
  </x:si>
  <x:si>
    <x:t>برق کنتور 80622600بيمارستان</x:t>
  </x:si>
  <x:si>
    <x:t>3066</x:t>
  </x:si>
  <x:si>
    <x:t>تلفن فدائيان 33743066</x:t>
  </x:si>
  <x:si>
    <x:t>3451</x:t>
  </x:si>
  <x:si>
    <x:t>پژوسواري 13س451ايران 22</x:t>
  </x:si>
  <x:si>
    <x:t>3464</x:t>
  </x:si>
  <x:si>
    <x:t>تلفن باقرشهر 55203464</x:t>
  </x:si>
  <x:si>
    <x:t>3474</x:t>
  </x:si>
  <x:si>
    <x:t>تلفن باقرشهر</x:t>
  </x:si>
  <x:si>
    <x:t>3484</x:t>
  </x:si>
  <x:si>
    <x:t>تلفن باقرشهر 55203484</x:t>
  </x:si>
  <x:si>
    <x:t>3525</x:t>
  </x:si>
  <x:si>
    <x:t>13س525ايران 22مدير بيمارستان</x:t>
  </x:si>
  <x:si>
    <x:t>3601</x:t>
  </x:si>
  <x:si>
    <x:t>کنتور 23601اب باقرشهر</x:t>
  </x:si>
  <x:si>
    <x:t>3972</x:t>
  </x:si>
  <x:si>
    <x:t>پيکان سواري 43ق972ايران 22</x:t>
  </x:si>
  <x:si>
    <x:t>4034</x:t>
  </x:si>
  <x:si>
    <x:t>گاز فدائيان 5094034</x:t>
  </x:si>
  <x:si>
    <x:t>4121</x:t>
  </x:si>
  <x:si>
    <x:t>وانت نيسان تک کابين 14ن121ايران 22</x:t>
  </x:si>
  <x:si>
    <x:t>4213</x:t>
  </x:si>
  <x:si>
    <x:t>وانت نيسان دوکابين 14ن213ايران 22</x:t>
  </x:si>
  <x:si>
    <x:t>4228</x:t>
  </x:si>
  <x:si>
    <x:t>کنتور گاز بيمارستان 80014228</x:t>
  </x:si>
  <x:si>
    <x:t>4400</x:t>
  </x:si>
  <x:si>
    <x:t>تلفن فدائيان 33374400</x:t>
  </x:si>
  <x:si>
    <x:t>4500</x:t>
  </x:si>
  <x:si>
    <x:t>تالفن فدائيان 33374500</x:t>
  </x:si>
  <x:si>
    <x:t>4532</x:t>
  </x:si>
  <x:si>
    <x:t>برق درمانگاه بهار 8537954532</x:t>
  </x:si>
  <x:si>
    <x:t>4576</x:t>
  </x:si>
  <x:si>
    <x:t>تلفن فدائيان 33754576</x:t>
  </x:si>
  <x:si>
    <x:t>4587</x:t>
  </x:si>
  <x:si>
    <x:t>قبض گاز 14587بهار</x:t>
  </x:si>
  <x:si>
    <x:t>4599</x:t>
  </x:si>
  <x:si>
    <x:t>وانت مزدا 54ق599ايران 22</x:t>
  </x:si>
  <x:si>
    <x:t>4618</x:t>
  </x:si>
  <x:si>
    <x:t>وانت نيسان دوکابين 54ق618ايران 22</x:t>
  </x:si>
  <x:si>
    <x:t>4648</x:t>
  </x:si>
  <x:si>
    <x:t>امبولانس پاترول 34م 648ايران 22</x:t>
  </x:si>
  <x:si>
    <x:t>4684</x:t>
  </x:si>
  <x:si>
    <x:t>برق کنتور 80624684بيمارستان</x:t>
  </x:si>
  <x:si>
    <x:t>4687</x:t>
  </x:si>
  <x:si>
    <x:t>برق 80624687کنتور بيمارستان</x:t>
  </x:si>
  <x:si>
    <x:t>4798</x:t>
  </x:si>
  <x:si>
    <x:t>برق کنتور80624798</x:t>
  </x:si>
  <x:si>
    <x:t>4921</x:t>
  </x:si>
  <x:si>
    <x:t>امبولانس بنز 94ج921ايران 22</x:t>
  </x:si>
  <x:si>
    <x:t>4939</x:t>
  </x:si>
  <x:si>
    <x:t>تلفن دفتر پرستاري 55184939</x:t>
  </x:si>
  <x:si>
    <x:t>5345</x:t>
  </x:si>
  <x:si>
    <x:t>برق کنتور 80625345</x:t>
  </x:si>
  <x:si>
    <x:t>5425</x:t>
  </x:si>
  <x:si>
    <x:t>برق کنتور 80625425بيمارستان</x:t>
  </x:si>
  <x:si>
    <x:t>5428</x:t>
  </x:si>
  <x:si>
    <x:t>برق کنتور 80625428بيمارستان</x:t>
  </x:si>
  <x:si>
    <x:t>5434</x:t>
  </x:si>
  <x:si>
    <x:t>برق کنتور 80625434</x:t>
  </x:si>
  <x:si>
    <x:t>5541</x:t>
  </x:si>
  <x:si>
    <x:t>15ج 541ايران 22رياست مالي</x:t>
  </x:si>
  <x:si>
    <x:t>5553</x:t>
  </x:si>
  <x:si>
    <x:t>تلفن بي سيم</x:t>
  </x:si>
  <x:si>
    <x:t>5663</x:t>
  </x:si>
  <x:si>
    <x:t>برق درمانگاه بهار 8537955663</x:t>
  </x:si>
  <x:si>
    <x:t>5693</x:t>
  </x:si>
  <x:si>
    <x:t>سمند 25ل693ايران 22رياست بيمارستان</x:t>
  </x:si>
  <x:si>
    <x:t>5704</x:t>
  </x:si>
  <x:si>
    <x:t>قبض گاز کنتور5155704 باقرشهر</x:t>
  </x:si>
  <x:si>
    <x:t>5719</x:t>
  </x:si>
  <x:si>
    <x:t>اموبولانس مزدا 15ل719ايران 22</x:t>
  </x:si>
  <x:si>
    <x:t>5867</x:t>
  </x:si>
  <x:si>
    <x:t>وانت پيکان 75م 867ايران 22</x:t>
  </x:si>
  <x:si>
    <x:t>6118</x:t>
  </x:si>
  <x:si>
    <x:t>وانت نيسان دوکابين 66ن 118ايران 22</x:t>
  </x:si>
  <x:si>
    <x:t>6391</x:t>
  </x:si>
  <x:si>
    <x:t>بدنه 746391اب بهار</x:t>
  </x:si>
  <x:si>
    <x:t>6827</x:t>
  </x:si>
  <x:si>
    <x:t>موتورهوندا36-827تهران  يوسفي</x:t>
  </x:si>
  <x:si>
    <x:t>6929</x:t>
  </x:si>
  <x:si>
    <x:t>وانت پيکان 16929تهران</x:t>
  </x:si>
  <x:si>
    <x:t>6935</x:t>
  </x:si>
  <x:si>
    <x:t>برق  فدائيان  کنتور9626935</x:t>
  </x:si>
  <x:si>
    <x:t>6972</x:t>
  </x:si>
  <x:si>
    <x:t>تلفن دخانيات 55416972</x:t>
  </x:si>
  <x:si>
    <x:t>6973</x:t>
  </x:si>
  <x:si>
    <x:t>تلفن دخانيات 55416973</x:t>
  </x:si>
  <x:si>
    <x:t>7003</x:t>
  </x:si>
  <x:si>
    <x:t>تلفن 55077003</x:t>
  </x:si>
  <x:si>
    <x:t>7004</x:t>
  </x:si>
  <x:si>
    <x:t>تلفن 55077004</x:t>
  </x:si>
  <x:si>
    <x:t>7006</x:t>
  </x:si>
  <x:si>
    <x:t>تلفن مرکز کامپيوتر 55077006</x:t>
  </x:si>
  <x:si>
    <x:t>7007</x:t>
  </x:si>
  <x:si>
    <x:t>تلفن 55077007</x:t>
  </x:si>
  <x:si>
    <x:t>7017</x:t>
  </x:si>
  <x:si>
    <x:t>تلفن 55077017</x:t>
  </x:si>
  <x:si>
    <x:t>7022</x:t>
  </x:si>
  <x:si>
    <x:t>تلفن 55077022</x:t>
  </x:si>
  <x:si>
    <x:t>7023</x:t>
  </x:si>
  <x:si>
    <x:t>تلفن 55077023حسابداري</x:t>
  </x:si>
  <x:si>
    <x:t>7026</x:t>
  </x:si>
  <x:si>
    <x:t>تلفن 55077026</x:t>
  </x:si>
  <x:si>
    <x:t>7031</x:t>
  </x:si>
  <x:si>
    <x:t>تلفن 55077031</x:t>
  </x:si>
  <x:si>
    <x:t>7236</x:t>
  </x:si>
  <x:si>
    <x:t>امبولانس مزدا 77ن236ايران 22</x:t>
  </x:si>
  <x:si>
    <x:t>7412</x:t>
  </x:si>
  <x:si>
    <x:t>تلفن 55407412دخانيات</x:t>
  </x:si>
  <x:si>
    <x:t>7593</x:t>
  </x:si>
  <x:si>
    <x:t>امبولانس بنز77و593ايران 22</x:t>
  </x:si>
  <x:si>
    <x:t>7731</x:t>
  </x:si>
  <x:si>
    <x:t>مرکز تلفن بيمارستان 55047731</x:t>
  </x:si>
  <x:si>
    <x:t>8163</x:t>
  </x:si>
  <x:si>
    <x:t>قبض اب مهد وتعاوني</x:t>
  </x:si>
  <x:si>
    <x:t>8235</x:t>
  </x:si>
  <x:si>
    <x:t>تلفن روابط عمومي 55068235</x:t>
  </x:si>
  <x:si>
    <x:t>8236</x:t>
  </x:si>
  <x:si>
    <x:t>تلفن اموزش 55048236</x:t>
  </x:si>
  <x:si>
    <x:t>8237</x:t>
  </x:si>
  <x:si>
    <x:t>تلفن 55068237بيمارستان</x:t>
  </x:si>
  <x:si>
    <x:t>8238</x:t>
  </x:si>
  <x:si>
    <x:t>تلفن داروخانه بستري 55068238</x:t>
  </x:si>
  <x:si>
    <x:t>8342</x:t>
  </x:si>
  <x:si>
    <x:t>تلفن 55048342</x:t>
  </x:si>
  <x:si>
    <x:t>8344</x:t>
  </x:si>
  <x:si>
    <x:t>تلفن 55048344</x:t>
  </x:si>
  <x:si>
    <x:t>8445</x:t>
  </x:si>
  <x:si>
    <x:t>تلفن 55048445</x:t>
  </x:si>
  <x:si>
    <x:t>8518</x:t>
  </x:si>
  <x:si>
    <x:t>تلفن 55048518</x:t>
  </x:si>
  <x:si>
    <x:t>8581</x:t>
  </x:si>
  <x:si>
    <x:t>برق کنتور 18678581</x:t>
  </x:si>
  <x:si>
    <x:t>8582</x:t>
  </x:si>
  <x:si>
    <x:t>برق کنتور 18678582</x:t>
  </x:si>
  <x:si>
    <x:t>8584</x:t>
  </x:si>
  <x:si>
    <x:t>برق کنتور 18678584</x:t>
  </x:si>
  <x:si>
    <x:t>8604</x:t>
  </x:si>
  <x:si>
    <x:t>تلفن اتاق عمل 55048604</x:t>
  </x:si>
  <x:si>
    <x:t>8832</x:t>
  </x:si>
  <x:si>
    <x:t>تلفن 55048832بيمارستان</x:t>
  </x:si>
  <x:si>
    <x:t>8881</x:t>
  </x:si>
  <x:si>
    <x:t>قبض برق 18838881</x:t>
  </x:si>
  <x:si>
    <x:t>9019</x:t>
  </x:si>
  <x:si>
    <x:t>تلفن باقرشهر55209019</x:t>
  </x:si>
  <x:si>
    <x:t>تلفن باقرشهر55209020</x:t>
  </x:si>
  <x:si>
    <x:t>9341</x:t>
  </x:si>
  <x:si>
    <x:t>تلفن 55339341</x:t>
  </x:si>
  <x:si>
    <x:t>9343</x:t>
  </x:si>
  <x:si>
    <x:t>تلفن 55339343</x:t>
  </x:si>
  <x:si>
    <x:t>9346</x:t>
  </x:si>
  <x:si>
    <x:t>تلفن 55339346</x:t>
  </x:si>
  <x:si>
    <x:t>9467</x:t>
  </x:si>
  <x:si>
    <x:t>وانت نيسان دوکابين 99م 467ايران 22</x:t>
  </x:si>
  <x:si>
    <x:t>9515</x:t>
  </x:si>
  <x:si>
    <x:t>درمانگاه آزادي</x:t>
  </x:si>
  <x:si>
    <x:t>32/81/100051</x:t>
  </x:si>
  <x:si>
    <x:t>9516</x:t>
  </x:si>
  <x:si>
    <x:t>درمانگاه 22بهمن</x:t>
  </x:si>
  <x:si>
    <x:t>32/50/000000، 32/60/000000، 32/81/100051</x:t>
  </x:si>
  <x:si>
    <x:t>9953</x:t>
  </x:si>
  <x:si>
    <x:t>قبض برق بيمارستان 1109953</x:t>
  </x:si>
  <x:si>
    <x:t>مرکز هزینه</x:t>
  </x:si>
  <x:si>
    <x:t>00100051</x:t>
  </x:si>
  <x:si>
    <x:t>هزينه ساختمان بيمارستان</x:t>
  </x:si>
  <x:si>
    <x:t>36/11/120001، 36/20/120001، 41/26/000000، 81/01/300002، 83/04/000001، 83/05/000001، 83/05/000002، 83/05/000003، 83/05/000010، 83/10/000003، 83/11/000005، 83/11/000006، 83/12/000001، 83/14/000001، 83/15/000001، 83/16/000001</x:t>
  </x:si>
  <x:si>
    <x:t>00000001</x:t>
  </x:si>
  <x:si>
    <x:t>کارت شماره10</x:t>
  </x:si>
  <x:si>
    <x:t>سرپايي</x:t>
  </x:si>
  <x:si>
    <x:t>00100017</x:t>
  </x:si>
  <x:si>
    <x:t>اورژانش</x:t>
  </x:si>
  <x:si>
    <x:t>کلید فنی (DOC_SEQ)</x:t>
  </x:si>
  <x:si>
    <x:t>شمارهٔ سند</x:t>
  </x:si>
  <x:si>
    <x:t>تاریخ</x:t>
  </x:si>
  <x:si>
    <x:t>وضعیت قدیم</x:t>
  </x:si>
  <x:si>
    <x:t>نوع سیستم</x:t>
  </x:si>
  <x:si>
    <x:t>شرح سند</x:t>
  </x:si>
  <x:si>
    <x:t>تعداد ردیف</x:t>
  </x:si>
  <x:si>
    <x:t>اختلاف (ریال)</x:t>
  </x:si>
  <x:si>
    <x:t>✎ اقدام</x:t>
  </x:si>
  <x:si>
    <x:t>00908</x:t>
  </x:si>
  <x:si>
    <x:t>1400/01/41</x:t>
  </x:si>
  <x:si>
    <x:t>اسناد متمم دو</x:t>
  </x:si>
  <x:si>
    <x:t>00950</x:t>
  </x:si>
  <x:si>
    <x:t>1400/02/32</x:t>
  </x:si>
  <x:si>
    <x:t>ساير اعلاميه صادره به شماره 12345 به واحد بيمارستان شهيد فياض بخش</x:t>
  </x:si>
  <x:si>
    <x:t>00938</x:t>
  </x:si>
  <x:si>
    <x:t>كارو تامين</x:t>
  </x:si>
  <x:si>
    <x:t>00101</x:t>
  </x:si>
  <x:si>
    <x:t>1400/03/01</x:t>
  </x:si>
  <x:si>
    <x:t>تنخواه كارپردازي</x:t>
  </x:si>
  <x:si>
    <x:t>01035</x:t>
  </x:si>
  <x:si>
    <x:t>1400/05/05</x:t>
  </x:si>
  <x:si>
    <x:t>حقوق مرداد ماه</x:t>
  </x:si>
  <x:si>
    <x:t>00913</x:t>
  </x:si>
  <x:si>
    <x:t>1400/11/02</x:t>
  </x:si>
  <x:si>
    <x:t>اسناد متمم سه</x:t>
  </x:si>
  <x:si>
    <x:t>01070</x:t>
  </x:si>
  <x:si>
    <x:t>1400/12/09</x:t>
  </x:si>
  <x:si>
    <x:t>سند معكوس 01035</x:t>
  </x:si>
  <x:si>
    <x:t>01066</x:t>
  </x:si>
  <x:si>
    <x:t>1400/12/22</x:t>
  </x:si>
  <x:si>
    <x:t>ن</x:t>
  </x:si>
  <x:si>
    <x:t>00972</x:t>
  </x:si>
  <x:si>
    <x:t>1400/12/27</x:t>
  </x:si>
  <x:si>
    <x:t>ساير اعلاميه رسيده از شماره 000480 از واحد مديريت درمان تهران</x:t>
  </x:si>
  <x:si>
    <x:t>01099</x:t>
  </x:si>
  <x:si>
    <x:t>1400/12/28</x:t>
  </x:si>
  <x:si>
    <x:t>ت</x:t>
  </x:si>
  <x:si>
    <x:t>01140</x:t>
  </x:si>
  <x:si>
    <x:t>1400/12/29</x:t>
  </x:si>
  <x:si>
    <x:t>تست11</x:t>
  </x:si>
  <x:si>
    <x:t>01151</x:t>
  </x:si>
  <x:si>
    <x:t>ساير اعلاميه رسيده از شماره 163 از واحد پلي کلينيک تخصصي13آبان</x:t>
  </x:si>
  <x:si>
    <x:t>01117</x:t>
  </x:si>
  <x:si>
    <x:t>تست8329-0104</x:t>
  </x:si>
  <x:si>
    <x:t>01192</x:t>
  </x:si>
  <x:si>
    <x:t>لبلا</x:t>
  </x:si>
  <x:si>
    <x:t>01168</x:t>
  </x:si>
  <x:si>
    <x:t>ساير اعلاميه رسيده از شماره 20 از واحد پلي کلينيک شهيد رجائي اهواز</x:t>
  </x:si>
  <x:si>
    <x:t>01126</x:t>
  </x:si>
  <x:si>
    <x:t>01119</x:t>
  </x:si>
  <x:si>
    <x:t>8329</x:t>
  </x:si>
  <x:si>
    <x:t>01152</x:t>
  </x:si>
  <x:si>
    <x:t>ساير اعلاميه رسيده از شماره 951102 از واحد پلي کلينيک 17 - بيمارستان شهيد مهدي شريعت رضوي تهران</x:t>
  </x:si>
  <x:si>
    <x:t>01116</x:t>
  </x:si>
  <x:si>
    <x:t>تست8329</x:t>
  </x:si>
  <x:si>
    <x:t>01191</x:t>
  </x:si>
  <x:si>
    <x:t>ا</x:t>
  </x:si>
  <x:si>
    <x:t>01127</x:t>
  </x:si>
  <x:si>
    <x:t>01167</x:t>
  </x:si>
  <x:si>
    <x:t>01118</x:t>
  </x:si>
  <x:si>
    <x:t>01178</x:t>
  </x:si>
  <x:si>
    <x:t>ااااا</x:t>
  </x:si>
  <x:si>
    <x:t>01131</x:t>
  </x:si>
  <x:si>
    <x:t>01115</x:t>
  </x:si>
  <x:si>
    <x:t>01170</x:t>
  </x:si>
  <x:si>
    <x:t>1400/13/29</x:t>
  </x:si>
  <x:si>
    <x:t>اسناد متمم يک</x:t>
  </x:si>
  <x:si>
    <x:t>01175</x:t>
  </x:si>
  <x:si>
    <x:t>01062</x:t>
  </x:si>
  <x:si>
    <x:t>1401/05/01</x:t>
  </x:si>
  <x:si>
    <x:t>پاس تنخواه</x:t>
  </x:si>
  <x:si>
    <x:t>01087</x:t>
  </x:si>
  <x:si>
    <x:t>1401/05/30</x:t>
  </x:si>
  <x:si>
    <x:t>بابت اعلاميه ناشناس براي 1234567895</x:t>
  </x:si>
  <x:si>
    <x:t>01173</x:t>
  </x:si>
  <x:si>
    <x:t>1401/12/29</x:t>
  </x:si>
  <x:si>
    <x:t>test jani</x:t>
  </x:si>
  <x:si>
    <x:t>01195</x:t>
  </x:si>
  <x:si>
    <x:t>1404/05/28</x:t>
  </x:si>
  <x:si>
    <x:t>بابت:</x:t>
  </x:si>
  <x:si>
    <x:t>01194</x:t>
  </x:si>
  <x:si>
    <x:t>وضعیت قدیم (DOCLIFE)</x:t>
  </x:si>
  <x:si>
    <x:t>تعداد سند</x:t>
  </x:si>
  <x:si>
    <x:t>سال‌ها</x:t>
  </x:si>
  <x:si>
    <x:t>حدس اولیه (تأیید نشده)</x:t>
  </x:si>
  <x:si>
    <x:t>✎ وضعیت در سیستم جدید</x:t>
  </x:si>
  <x:si>
    <x:t>1400 (5 سند)، 1404 (2 سند)</x:t>
  </x:si>
  <x:si>
    <x:t>احتمالاً یادداشت/ناقص (جمع ردیف‌ها ناچیز است)</x:t>
  </x:si>
  <x:si>
    <x:t>1399 (2 سند)، 1400 (705 سند)، 1401 (47 سند)، 1403 (5 سند)، 1404 (5 سند)</x:t>
  </x:si>
  <x:si>
    <x:t>احتمالاً موقت</x:t>
  </x:si>
  <x:si>
    <x:t>1400 (254 سند)</x:t>
  </x:si>
  <x:si>
    <x:t>احتمالاً قطعی/دائم</x:t>
  </x:si>
  <x:si>
    <x:t>سطح</x:t>
  </x:si>
  <x:si>
    <x:t>کد</x:t>
  </x:si>
  <x:si>
    <x:t>کد والد</x:t>
  </x:si>
  <x:si>
    <x:t>گروه</x:t>
  </x:si>
  <x:si>
    <x:t>يصي</x:t>
  </x:si>
  <x:si>
    <x:t>کل</x:t>
  </x:si>
  <x:si>
    <x:t>1032</x:t>
  </x:si>
  <x:si>
    <x:t>للفلقلا</x:t>
  </x:si>
  <x:si>
    <x:t>1075</x:t>
  </x:si>
  <x:si>
    <x:t>ثقلقل</x:t>
  </x:si>
  <x:si>
    <x:t>108888</x:t>
  </x:si>
  <x:si>
    <x:t>1من</x:t>
  </x:si>
  <x:si>
    <x:t>دارايي هاي جاري</x:t>
  </x:si>
  <x:si>
    <x:t>1101</x:t>
  </x:si>
  <x:si>
    <x:t>بانک ها</x:t>
  </x:si>
  <x:si>
    <x:t>معین</x:t>
  </x:si>
  <x:si>
    <x:t>110101</x:t>
  </x:si>
  <x:si>
    <x:t>بانک ملت</x:t>
  </x:si>
  <x:si>
    <x:t>داراريي هاي غير جاري</x:t>
  </x:si>
  <x:si>
    <x:t>دارايي هاي غيرجاري</x:t>
  </x:si>
  <x:si>
    <x:t>201010</x:t>
  </x:si>
  <x:si>
    <x:t>202010</x:t>
  </x:si>
  <x:si>
    <x:t>204010</x:t>
  </x:si>
  <x:si>
    <x:t>204020</x:t>
  </x:si>
  <x:si>
    <x:t>امتيازات</x:t>
  </x:si>
  <x:si>
    <x:t>204030</x:t>
  </x:si>
  <x:si>
    <x:t>بدهي هاي جاري</x:t>
  </x:si>
  <x:si>
    <x:t>2200</x:t>
  </x:si>
  <x:si>
    <x:t>باثصقفا</x:t>
  </x:si>
  <x:si>
    <x:t>2401</x:t>
  </x:si>
  <x:si>
    <x:t>کل نهايي</x:t>
  </x:si>
  <x:si>
    <x:t>240101</x:t>
  </x:si>
  <x:si>
    <x:t>معين نهايي</x:t>
  </x:si>
  <x:si>
    <x:t>301010</x:t>
  </x:si>
  <x:si>
    <x:t>سفارشات  اعتبارات  اسنادي</x:t>
  </x:si>
  <x:si>
    <x:t>301020</x:t>
  </x:si>
  <x:si>
    <x:t>خسارت بيمه عمر و حوادث</x:t>
  </x:si>
  <x:si>
    <x:t>301030</x:t>
  </x:si>
  <x:si>
    <x:t>پيش  پرداختهاي غيرسرمايه اي</x:t>
  </x:si>
  <x:si>
    <x:t>302010</x:t>
  </x:si>
  <x:si>
    <x:t>موجودي انبار</x:t>
  </x:si>
  <x:si>
    <x:t>303002</x:t>
  </x:si>
  <x:si>
    <x:t>كارگاههابدهي حق بيمه قطعي 27%</x:t>
  </x:si>
  <x:si>
    <x:t>303004</x:t>
  </x:si>
  <x:si>
    <x:t>كارگاه ها بدهي قطعي 3% بيمه بيكاري</x:t>
  </x:si>
  <x:si>
    <x:t>303010</x:t>
  </x:si>
  <x:si>
    <x:t>كارمزد وزارت  نفت</x:t>
  </x:si>
  <x:si>
    <x:t>303020</x:t>
  </x:si>
  <x:si>
    <x:t>كارگاه هابدهي  قطعي 3% بيمه بيكاري</x:t>
  </x:si>
  <x:si>
    <x:t>303030</x:t>
  </x:si>
  <x:si>
    <x:t>303062</x:t>
  </x:si>
  <x:si>
    <x:t>حساب دولت</x:t>
  </x:si>
  <x:si>
    <x:t>304010</x:t>
  </x:si>
  <x:si>
    <x:t>304020</x:t>
  </x:si>
  <x:si>
    <x:t>موجودي غيرنقد</x:t>
  </x:si>
  <x:si>
    <x:t>306010</x:t>
  </x:si>
  <x:si>
    <x:t>بانك  درآمد- حق بيمه</x:t>
  </x:si>
  <x:si>
    <x:t>306011</x:t>
  </x:si>
  <x:si>
    <x:t>بانک 1</x:t>
  </x:si>
  <x:si>
    <x:t>306020</x:t>
  </x:si>
  <x:si>
    <x:t>بانکهاي ريالي</x:t>
  </x:si>
  <x:si>
    <x:t>3080</x:t>
  </x:si>
  <x:si>
    <x:t>ساير داراييهاي جاري</x:t>
  </x:si>
  <x:si>
    <x:t>402059</x:t>
  </x:si>
  <x:si>
    <x:t>اشخاص ناشناس بانک درآمد</x:t>
  </x:si>
  <x:si>
    <x:t>4040</x:t>
  </x:si>
  <x:si>
    <x:t>سود دريافتني</x:t>
  </x:si>
  <x:si>
    <x:t>بدهي هاي غيرجاري</x:t>
  </x:si>
  <x:si>
    <x:t>هزينه ها</x:t>
  </x:si>
  <x:si>
    <x:t>5101</x:t>
  </x:si>
  <x:si>
    <x:t>هزينه هاي عمومي</x:t>
  </x:si>
  <x:si>
    <x:t>510101</x:t>
  </x:si>
  <x:si>
    <x:t>هزينه اينترنت</x:t>
  </x:si>
  <x:si>
    <x:t>درآمدها</x:t>
  </x:si>
  <x:si>
    <x:t>601010</x:t>
  </x:si>
  <x:si>
    <x:t>حق بيمه وصولي ازكارگاه ها 27%</x:t>
  </x:si>
  <x:si>
    <x:t>601020</x:t>
  </x:si>
  <x:si>
    <x:t>درآمد حق بيمه اشخاص</x:t>
  </x:si>
  <x:si>
    <x:t>601030</x:t>
  </x:si>
  <x:si>
    <x:t>حق بيمه سهم دولت - 3%</x:t>
  </x:si>
  <x:si>
    <x:t>602010</x:t>
  </x:si>
  <x:si>
    <x:t>درآمدحاصل ازسرمايه گذاري شرکت ها و موسسات</x:t>
  </x:si>
  <x:si>
    <x:t>603010</x:t>
  </x:si>
  <x:si>
    <x:t>خسارت  وصولي ازشركتهاي  خارجي  قبل از73/5/9</x:t>
  </x:si>
  <x:si>
    <x:t>603020</x:t>
  </x:si>
  <x:si>
    <x:t>خسارت وصولي كارگاه ماده 66قانون تامين اجتماعي</x:t>
  </x:si>
  <x:si>
    <x:t>603030</x:t>
  </x:si>
  <x:si>
    <x:t>خسارت  ماده 15 آئين نامه اجرائي  سخت  وزيان آور</x:t>
  </x:si>
  <x:si>
    <x:t>603040</x:t>
  </x:si>
  <x:si>
    <x:t>خسارت وصولي حق بيمه بند ب  ماده 39 قانون توسعه</x:t>
  </x:si>
  <x:si>
    <x:t>603050</x:t>
  </x:si>
  <x:si>
    <x:t>خسارت  تاخيرتاديه  حق بيمه</x:t>
  </x:si>
  <x:si>
    <x:t>603060</x:t>
  </x:si>
  <x:si>
    <x:t>خسارت  سوء استفاده دفترچه درماني</x:t>
  </x:si>
  <x:si>
    <x:t>603070</x:t>
  </x:si>
  <x:si>
    <x:t>خسارت  ديركرداقساط تسهيلات</x:t>
  </x:si>
  <x:si>
    <x:t>603080</x:t>
  </x:si>
  <x:si>
    <x:t>خسارت  موضوع  تبصره 3 قانون بيمه</x:t>
  </x:si>
  <x:si>
    <x:t>604010</x:t>
  </x:si>
  <x:si>
    <x:t>كمك  وهداياي  دولت  وموسسات  وابسته</x:t>
  </x:si>
  <x:si>
    <x:t>605020</x:t>
  </x:si>
  <x:si>
    <x:t>درآمد حاصل ازآموزش  دانشجويان  دانشگاه آزاد</x:t>
  </x:si>
  <x:si>
    <x:t>605030</x:t>
  </x:si>
  <x:si>
    <x:t>درآمدحاصل ازدفترچه مفقودي</x:t>
  </x:si>
  <x:si>
    <x:t>605040</x:t>
  </x:si>
  <x:si>
    <x:t>كارمزد وصولي  از وزارت  نفت</x:t>
  </x:si>
  <x:si>
    <x:t>605050</x:t>
  </x:si>
  <x:si>
    <x:t>درآمدحاصل ازاموال  تبصره 82</x:t>
  </x:si>
  <x:si>
    <x:t>605060</x:t>
  </x:si>
  <x:si>
    <x:t>درآمدحاصل از50 درصد حق الاجراء</x:t>
  </x:si>
  <x:si>
    <x:t>605070</x:t>
  </x:si>
  <x:si>
    <x:t>درآمدحاصل  از خدمات  رفاهي</x:t>
  </x:si>
  <x:si>
    <x:t>605080</x:t>
  </x:si>
  <x:si>
    <x:t>درآمدحاصل  ازصدورمجدددفترچه  درمان</x:t>
  </x:si>
  <x:si>
    <x:t>605090</x:t>
  </x:si>
  <x:si>
    <x:t>درآمد حاصل  ازسپرده  شركتها</x:t>
  </x:si>
  <x:si>
    <x:t>607010</x:t>
  </x:si>
  <x:si>
    <x:t>3% حق بيمه بيكاري</x:t>
  </x:si>
  <x:si>
    <x:t>607020</x:t>
  </x:si>
  <x:si>
    <x:t>كمك  دولت  به  صندوق  بيمه  بيكاري</x:t>
  </x:si>
  <x:si>
    <x:t>تعهدات قانوني و هزينه هاي درمان</x:t>
  </x:si>
  <x:si>
    <x:t>701010</x:t>
  </x:si>
  <x:si>
    <x:t>702010</x:t>
  </x:si>
  <x:si>
    <x:t>كمك  ازدواج کارکنان</x:t>
  </x:si>
  <x:si>
    <x:t>702020</x:t>
  </x:si>
  <x:si>
    <x:t>كمك  هزينه اولاد</x:t>
  </x:si>
  <x:si>
    <x:t>702030</x:t>
  </x:si>
  <x:si>
    <x:t>كمك  هزينه عائله مندي</x:t>
  </x:si>
  <x:si>
    <x:t>7040</x:t>
  </x:si>
  <x:si>
    <x:t>بازنشستگي</x:t>
  </x:si>
  <x:si>
    <x:t>7050</x:t>
  </x:si>
  <x:si>
    <x:t>بازماندگان</x:t>
  </x:si>
  <x:si>
    <x:t>7070</x:t>
  </x:si>
  <x:si>
    <x:t>هزينه هاي بيمه بيکاري</x:t>
  </x:si>
  <x:si>
    <x:t>8040</x:t>
  </x:si>
  <x:si>
    <x:t>هزينه هاي کارگزاري</x:t>
  </x:si>
  <x:si>
    <x:t>89</x:t>
  </x:si>
  <x:si>
    <x:t>فثسف</x:t>
  </x:si>
  <x:si>
    <x:t>رابط و حسابهاي آماري</x:t>
  </x:si>
  <x:si>
    <x:t>9040</x:t>
  </x:si>
  <x:si>
    <x:t>حساب نتيجه</x:t>
  </x:si>
  <x:si>
    <x:t>رابط اعلاميه</x:t>
  </x:si>
  <x:si>
    <x:t>9210</x:t>
  </x:si>
  <x:si>
    <x:t>اعلاميه درآمد</x:t>
  </x:si>
  <x:si>
    <x:t>921001</x:t>
  </x:si>
  <x:si>
    <x:t>اعلاميه صادره درآمد</x:t>
  </x:si>
  <x:si>
    <x:t>تطبیق کدینگ سیستم قدیم با کدینگ شناور جدید</x:t>
  </x:si>
  <x:si>
    <x:t>منبع</x:t>
  </x:si>
  <x:si>
    <x:t>اسکیمای قدیم acc951600 — واحد ۹۵۱۶ — استخراج ۱۴۰۵/۰۷/۲۱</x:t>
  </x:si>
  <x:si>
    <x:t>مقصد</x:t>
  </x:si>
  <x:si>
    <x:t>اسکیمای AICENTRALACCOUNT (دیتابیس آزمایشی). 36 ردیف دادهٔ تستی درخت جدید (مثل test و تست) کنار گذاشته شده و در تطبیق حساب نمی‌شود.</x:t>
  </x:si>
  <x:si>
    <x:t>راهنمای رنگ‌ها</x:t>
  </x:si>
  <x:si>
    <x:t>ستون زرد (✎)</x:t>
  </x:si>
  <x:si>
    <x:t>فقط این ستون‌ها را پر یا اصلاح کنید</x:t>
  </x:si>
  <x:si>
    <x:t>ستون آبی کم‌رنگ</x:t>
  </x:si>
  <x:si>
    <x:t>پیشنهاد خودکار سیستم — فقط برای راهنمایی، تغییر ندهید</x:t>
  </x:si>
  <x:si>
    <x:t>کنترل: OK</x:t>
  </x:si>
  <x:si>
    <x:t>ردیف کامل و درست است</x:t>
  </x:si>
  <x:si>
    <x:t>کنترل: متن قرمز</x:t>
  </x:si>
  <x:si>
    <x:t>ردیف نیاز به اقدام دارد (متن، مشکل را می‌گوید)</x:t>
  </x:si>
  <x:si>
    <x:t>قواعد تبدیل (تأییدشده)</x:t>
  </x:si>
  <x:si>
    <x:t>کل و معین</x:t>
  </x:si>
  <x:si>
    <x:t>کل جدید = X0Y0 از کل قدیم XY؛ معین جدید = کل جدید + دو رقم معین قدیم. کد ناموجود با نام قدیم ساخته می‌شود.</x:t>
  </x:si>
  <x:si>
    <x:t>تفصیلی 000000</x:t>
  </x:si>
  <x:si>
    <x:t>در سیستم جدید یعنی «معین بدون تفصیلی»؛ ردیف سند مستقیم روی معین ثبت می‌شود.</x:t>
  </x:si>
  <x:si>
    <x:t>جزء (LOWLEVELCODES بدون ریز)</x:t>
  </x:si>
  <x:si>
    <x:t>= فعالیت ← سطح شناور ۱ در سیستم جدید (گروه تفصیلی «فعالیت»).</x:t>
  </x:si>
  <x:si>
    <x:t>ریز (LOWLEVELCODES با ریز)</x:t>
  </x:si>
  <x:si>
    <x:t>= مرکز هزینه ← سطح شناور ۲ در سیستم جدید (گروه تفصیلی «مرکز هزینه»).</x:t>
  </x:si>
  <x:si>
    <x:t>تفصیلی قدیم غیر از 000000</x:t>
  </x:si>
  <x:si>
    <x:t>به سطح ۱ می‌رود؛ اگر معین فعالیت/مرکز هزینه دارد، به سطح ۳ (سطح ۱ و ۲ برای آن‌ها رزرو است). قابل اصلاح در برگهٔ تفصیلی‌ها.</x:t>
  </x:si>
  <x:si>
    <x:t>ترتیب کار</x:t>
  </x:si>
  <x:si>
    <x:t>۱. تطبیق کل</x:t>
  </x:si>
  <x:si>
    <x:t>کل جدید از قبل با قاعدهٔ XY ← X0Y0 پر شده (مثلاً ۳۳ ← ۳۰۳۰). کدی که در درخت جدید نیست با نام قدیم ساخته می‌شود. اگر کنترل «تداخل» گفت، یعنی این کد در درخت جدید با نام دیگری هست: کد را عوض کنید یا در توضیح بنویسید که تأیید است.</x:t>
  </x:si>
  <x:si>
    <x:t>۲. تطبیق معین</x:t>
  </x:si>
  <x:si>
    <x:t>معین جدید از قبل با قاعدهٔ «کل جدید + دو رقم معین قدیم» پر شده (مثلاً ۳۳/۱۰ ← ۳۰۳۰۱۰) و اگر کل را عوض کنید خودش به‌روز می‌شود. کدی که در درخت نیست با نام قدیم ساخته می‌شود. فقط ردیف‌هایی که کنترل‌شان «تداخل» است بررسی لازم دارند: کد را عوض کنید یا در توضیح بنویسید که تأیید است.</x:t>
  </x:si>
  <x:si>
    <x:t>۳. تفصیلی‌ها</x:t>
  </x:si>
  <x:si>
    <x:t>فقط تفصیلی‌هایی که سند دارند آمده‌اند. کد تفصیلی قدیم فقط زیر معین خودش معنا دارد، پس هر ردیف با «کلید فنی» شناخته می‌شود. اقدام نهایی از قبل با پیشنهاد سیستم پر شده؛ بازبینی و در صورت نیاز اصلاح کنید. برای ادغام، کلید فنی تفصیلی مقصد را بنویسید.</x:t>
  </x:si>
  <x:si>
    <x:t>۴. فعالیت و مرکز هزینه</x:t>
  </x:si>
  <x:si>
    <x:t>فهرست فعالیت‌ها (سطح ۱) و مراکز هزینه (سطح ۲) از جدول LOWLEVELCODES. هرکدام که به معینی وصل است یا در سند آمده، پیش‌فرض «منتقل شود» است. نام و کد جدید را در صورت نیاز اصلاح کنید.</x:t>
  </x:si>
  <x:si>
    <x:t>۵. اسناد ناتراز</x:t>
  </x:si>
  <x:si>
    <x:t>سیستم جدید سند ناتراز را جز در حالت یادداشت نمی‌پذیرد. برای هر سند یک اقدام انتخاب کنید.</x:t>
  </x:si>
  <x:si>
    <x:t>۶. وضعیت سند</x:t>
  </x:si>
  <x:si>
    <x:t>معنی وضعیت‌های ۰، ۲ و ۳ سیستم قدیم را مشخص و معادل جدیدش را انتخاب کنید.</x:t>
  </x:si>
  <x:si>
    <x:t>نمونهٔ پرشده (برگهٔ تطبیق معین)</x:t>
  </x:si>
  <x:si>
    <x:t>کل ۳۳ / معین ۱۰ — «شرکت سرمایه‌گذاری خانه‌سازی»</x:t>
  </x:si>
  <x:si>
    <x:t>پیش‌فرض ۳۰۳۰۱۰؛ در درخت جدید این کد «کارمزد وزارت نفت» است ← کنترل: تداخل. کد دیگری بنویسید (مثلاً ۳۰۳۰۹۱) با نام برای تعریف.</x:t>
  </x:si>
  <x:si>
    <x:t>کل ۳۲ / معین ۸۱ (موجودی دارو)</x:t>
  </x:si>
  <x:si>
    <x:t>پیش‌فرض ۳۰۲۰۸۱؛ در درخت نیست ← با نام قدیم ساخته می‌شود ← کنترل: OK</x:t>
  </x:si>
  <x:si>
    <x:t>پیشرفت کار</x:t>
  </x:si>
  <x:si>
    <x:t>کل — ردیف OK</x:t>
  </x:si>
  <x:si>
    <x:t>کل — الزامیِ تکمیل‌نشده</x:t>
  </x:si>
  <x:si>
    <x:t>معین الزامی — OK</x:t>
  </x:si>
  <x:si>
    <x:t>معین — ردیف‌های دارای مشکل</x:t>
  </x:si>
  <x:si>
    <x:t>تفصیلی — OK</x:t>
  </x:si>
  <x:si>
    <x:t>فعالیت و مرکز هزینه — OK</x:t>
  </x:si>
  <x:si>
    <x:t>اسناد ناتراز — تعیین‌تکلیف‌شده</x:t>
  </x:si>
  <x:si>
    <x:t>وضعیت سند — تعیین‌شده</x:t>
  </x:si>
</x:sst>
</file>

<file path=xl/styles.xml><?xml version="1.0" encoding="utf-8"?>
<x:styleSheet xmlns:x="http://schemas.openxmlformats.org/spreadsheetml/2006/main">
  <x:numFmts count="4">
    <x:numFmt numFmtId="0" formatCode=""/>
    <x:numFmt numFmtId="164" formatCode="#,##0;(#,##0);-"/>
    <x:numFmt numFmtId="165" formatCode="0%"/>
    <x:numFmt numFmtId="166" formatCode="@"/>
  </x:numFmts>
  <x:fonts count="6">
    <x:font>
      <x:vertAlign val="baseline"/>
      <x:sz val="11"/>
      <x:color rgb="FF000000"/>
      <x:name val="Calibri"/>
      <x:family val="2"/>
    </x:font>
    <x:font>
      <x:vertAlign val="baseline"/>
      <x:sz val="10"/>
      <x:color rgb="FF000000"/>
      <x:name val="Tahoma"/>
      <x:family val="2"/>
    </x:font>
    <x:font>
      <x:b/>
      <x:vertAlign val="baseline"/>
      <x:sz val="14"/>
      <x:color rgb="FF000000"/>
      <x:name val="Tahoma"/>
      <x:family val="2"/>
    </x:font>
    <x:font>
      <x:b/>
      <x:vertAlign val="baseline"/>
      <x:sz val="11"/>
      <x:color rgb="FF000000"/>
      <x:name val="Tahoma"/>
      <x:family val="2"/>
    </x:font>
    <x:font>
      <x:b/>
      <x:vertAlign val="baseline"/>
      <x:sz val="10"/>
      <x:color rgb="FF000000"/>
      <x:name val="Tahoma"/>
      <x:family val="2"/>
    </x:font>
    <x:font>
      <x:b/>
      <x:vertAlign val="baseline"/>
      <x:sz val="10"/>
      <x:color rgb="FFFFFFFF"/>
      <x:name val="Tahoma"/>
      <x:family val="2"/>
    </x:font>
  </x:fonts>
  <x:fills count="8">
    <x:fill>
      <x:patternFill patternType="none"/>
    </x:fill>
    <x:fill>
      <x:patternFill patternType="gray125"/>
    </x:fill>
    <x:fill>
      <x:patternFill patternType="solid">
        <x:fgColor rgb="FFFFF2CC"/>
      </x:patternFill>
    </x:fill>
    <x:fill>
      <x:patternFill patternType="solid">
        <x:fgColor rgb="FFEAF1F8"/>
      </x:patternFill>
    </x:fill>
    <x:fill>
      <x:patternFill patternType="solid">
        <x:fgColor rgb="FFC6EFCE"/>
      </x:patternFill>
    </x:fill>
    <x:fill>
      <x:patternFill patternType="solid">
        <x:fgColor rgb="FFFFC7CE"/>
      </x:patternFill>
    </x:fill>
    <x:fill>
      <x:patternFill patternType="solid">
        <x:fgColor rgb="FF1F4E78"/>
      </x:patternFill>
    </x:fill>
    <x:fill>
      <x:patternFill patternType="solid">
        <x:fgColor rgb="FFBF8F00"/>
      </x:patternFill>
    </x:fill>
  </x:fills>
  <x:borders count="10">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thin">
        <x:color rgb="FF000000"/>
      </x:right>
      <x:top style="hair">
        <x:color rgb="FF000000"/>
      </x:top>
      <x:bottom style="thin">
        <x:color rgb="FF000000"/>
      </x:bottom>
      <x:diagonal style="none">
        <x:color rgb="FF000000"/>
      </x:diagonal>
    </x:border>
  </x:borders>
  <x:cellStyleXfs count="38">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0" fontId="1" fillId="3" borderId="0" applyNumberFormat="1" applyFill="0" applyBorder="0" applyAlignment="1" applyProtection="1">
      <x:protection locked="1" hidden="0"/>
    </x:xf>
    <x:xf numFmtId="0" fontId="1" fillId="4" borderId="0" applyNumberFormat="1" applyFill="0" applyBorder="0" applyAlignment="1" applyProtection="1">
      <x:protection locked="1" hidden="0"/>
    </x:xf>
    <x:xf numFmtId="0" fontId="1" fillId="5" borderId="0" applyNumberFormat="1" applyFill="0" applyBorder="0" applyAlignment="1" applyProtection="1">
      <x:protection locked="1" hidden="0"/>
    </x:xf>
    <x:xf numFmtId="0" fontId="4" fillId="0" borderId="0" applyNumberFormat="1" applyFill="1" applyBorder="0" applyAlignment="1" applyProtection="1">
      <x:protection locked="1" hidden="0"/>
    </x:xf>
    <x:xf numFmtId="0" fontId="5" fillId="6" borderId="0" applyNumberFormat="1" applyFill="0" applyBorder="0" applyAlignment="1" applyProtection="1">
      <x:protection locked="1" hidden="0"/>
    </x:xf>
    <x:xf numFmtId="0" fontId="5" fillId="7" borderId="0" applyNumberFormat="1" applyFill="0" applyBorder="0" applyAlignment="1" applyProtection="1">
      <x:protection locked="1" hidden="0"/>
    </x:xf>
    <x:xf numFmtId="0" fontId="1" fillId="0" borderId="1" applyNumberFormat="1" applyFill="1" applyBorder="1" applyAlignment="1" applyProtection="1">
      <x:protection locked="1" hidden="0"/>
    </x:xf>
    <x:xf numFmtId="0" fontId="1" fillId="0" borderId="2" applyNumberFormat="1" applyFill="1" applyBorder="1" applyAlignment="1" applyProtection="1">
      <x:protection locked="1" hidden="0"/>
    </x:xf>
    <x:xf numFmtId="164" fontId="1" fillId="0" borderId="2" applyNumberFormat="1" applyFill="1" applyBorder="1" applyAlignment="1" applyProtection="1">
      <x:protection locked="1" hidden="0"/>
    </x:xf>
    <x:xf numFmtId="0" fontId="1" fillId="3" borderId="2" applyNumberFormat="1" applyFill="0" applyBorder="1" applyAlignment="1" applyProtection="1">
      <x:protection locked="1" hidden="0"/>
    </x:xf>
    <x:xf numFmtId="165" fontId="1" fillId="3" borderId="2" applyNumberFormat="1" applyFill="0" applyBorder="1" applyAlignment="1" applyProtection="1">
      <x:protection locked="1" hidden="0"/>
    </x:xf>
    <x:xf numFmtId="166" fontId="1" fillId="2" borderId="2" applyNumberFormat="1" applyFill="0" applyBorder="1" applyAlignment="1" applyProtection="1">
      <x:protection locked="1" hidden="0"/>
    </x:xf>
    <x:xf numFmtId="0" fontId="1" fillId="2" borderId="2" applyNumberFormat="1" applyFill="0" applyBorder="1" applyAlignment="1" applyProtection="1">
      <x:protection locked="1" hidden="0"/>
    </x:xf>
    <x:xf numFmtId="0" fontId="1" fillId="2" borderId="3" applyNumberFormat="1" applyFill="0" applyBorder="1" applyAlignment="1" applyProtection="1">
      <x:protection locked="1" hidden="0"/>
    </x:xf>
    <x:xf numFmtId="0" fontId="1" fillId="0" borderId="4" applyNumberFormat="1" applyFill="1" applyBorder="1" applyAlignment="1" applyProtection="1">
      <x:protection locked="1" hidden="0"/>
    </x:xf>
    <x:xf numFmtId="0" fontId="1" fillId="0" borderId="5" applyNumberFormat="1" applyFill="1" applyBorder="1" applyAlignment="1" applyProtection="1">
      <x:protection locked="1" hidden="0"/>
    </x:xf>
    <x:xf numFmtId="164" fontId="1" fillId="0" borderId="5" applyNumberFormat="1" applyFill="1" applyBorder="1" applyAlignment="1" applyProtection="1">
      <x:protection locked="1" hidden="0"/>
    </x:xf>
    <x:xf numFmtId="0" fontId="1" fillId="3" borderId="5" applyNumberFormat="1" applyFill="0" applyBorder="1" applyAlignment="1" applyProtection="1">
      <x:protection locked="1" hidden="0"/>
    </x:xf>
    <x:xf numFmtId="165" fontId="1" fillId="3" borderId="5" applyNumberFormat="1" applyFill="0" applyBorder="1" applyAlignment="1" applyProtection="1">
      <x:protection locked="1" hidden="0"/>
    </x:xf>
    <x:xf numFmtId="166" fontId="1" fillId="2" borderId="5" applyNumberFormat="1" applyFill="0" applyBorder="1" applyAlignment="1" applyProtection="1">
      <x:protection locked="1" hidden="0"/>
    </x:xf>
    <x:xf numFmtId="0" fontId="1" fillId="2" borderId="5" applyNumberFormat="1" applyFill="0" applyBorder="1" applyAlignment="1" applyProtection="1">
      <x:protection locked="1" hidden="0"/>
    </x:xf>
    <x:xf numFmtId="0" fontId="1" fillId="2" borderId="6" applyNumberFormat="1" applyFill="0" applyBorder="1" applyAlignment="1" applyProtection="1">
      <x:protection locked="1" hidden="0"/>
    </x:xf>
    <x:xf numFmtId="0" fontId="1" fillId="0" borderId="7" applyNumberFormat="1" applyFill="1" applyBorder="1" applyAlignment="1" applyProtection="1">
      <x:protection locked="1" hidden="0"/>
    </x:xf>
    <x:xf numFmtId="0" fontId="1" fillId="0" borderId="8" applyNumberFormat="1" applyFill="1" applyBorder="1" applyAlignment="1" applyProtection="1">
      <x:protection locked="1" hidden="0"/>
    </x:xf>
    <x:xf numFmtId="164" fontId="1" fillId="0" borderId="8" applyNumberFormat="1" applyFill="1" applyBorder="1" applyAlignment="1" applyProtection="1">
      <x:protection locked="1" hidden="0"/>
    </x:xf>
    <x:xf numFmtId="0" fontId="1" fillId="3" borderId="8" applyNumberFormat="1" applyFill="0" applyBorder="1" applyAlignment="1" applyProtection="1">
      <x:protection locked="1" hidden="0"/>
    </x:xf>
    <x:xf numFmtId="165" fontId="1" fillId="3" borderId="8" applyNumberFormat="1" applyFill="0" applyBorder="1" applyAlignment="1" applyProtection="1">
      <x:protection locked="1" hidden="0"/>
    </x:xf>
    <x:xf numFmtId="166" fontId="1" fillId="2" borderId="8" applyNumberFormat="1" applyFill="0" applyBorder="1" applyAlignment="1" applyProtection="1">
      <x:protection locked="1" hidden="0"/>
    </x:xf>
    <x:xf numFmtId="0" fontId="1" fillId="2" borderId="8" applyNumberFormat="1" applyFill="0" applyBorder="1" applyAlignment="1" applyProtection="1">
      <x:protection locked="1" hidden="0"/>
    </x:xf>
    <x:xf numFmtId="0" fontId="1" fillId="2" borderId="9" applyNumberFormat="1" applyFill="0" applyBorder="1" applyAlignment="1" applyProtection="1">
      <x:protection locked="1" hidden="0"/>
    </x:xf>
    <x:xf numFmtId="0" fontId="1" fillId="0" borderId="3" applyNumberFormat="1" applyFill="1" applyBorder="1" applyAlignment="1" applyProtection="1">
      <x:protection locked="1" hidden="0"/>
    </x:xf>
    <x:xf numFmtId="0" fontId="1" fillId="0" borderId="6" applyNumberFormat="1" applyFill="1" applyBorder="1" applyAlignment="1" applyProtection="1">
      <x:protection locked="1" hidden="0"/>
    </x:xf>
    <x:xf numFmtId="0" fontId="1" fillId="0" borderId="9" applyNumberFormat="1" applyFill="1" applyBorder="1" applyAlignment="1" applyProtection="1">
      <x:protection locked="1" hidden="0"/>
    </x:xf>
  </x:cellStyleXfs>
  <x:cellXfs count="40">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top"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top"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top" textRotation="0" wrapText="1" indent="0" relativeIndent="0" justifyLastLine="0" shrinkToFit="0" readingOrder="0"/>
      <x:protection locked="1" hidden="0"/>
    </x:xf>
    <x:xf numFmtId="0" fontId="3" fillId="0" borderId="0" xfId="0" applyNumberFormat="1" applyFill="1" applyBorder="0" applyAlignment="1" applyProtection="1">
      <x:alignment horizontal="general" vertical="top"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top" textRotation="0" wrapText="0" indent="0" relativeIndent="0" justifyLastLine="0" shrinkToFit="0" readingOrder="0"/>
      <x:protection locked="1" hidden="0"/>
    </x:xf>
    <x:xf numFmtId="0" fontId="1" fillId="3" borderId="0" xfId="0" applyNumberFormat="1" applyFill="0" applyBorder="0" applyAlignment="1" applyProtection="1">
      <x:alignment horizontal="general" vertical="top" textRotation="0" wrapText="0" indent="0" relativeIndent="0" justifyLastLine="0" shrinkToFit="0" readingOrder="0"/>
      <x:protection locked="1" hidden="0"/>
    </x:xf>
    <x:xf numFmtId="0" fontId="1" fillId="4" borderId="0" xfId="0" applyNumberFormat="1" applyFill="0" applyBorder="0" applyAlignment="1" applyProtection="1">
      <x:alignment horizontal="general" vertical="top" textRotation="0" wrapText="0" indent="0" relativeIndent="0" justifyLastLine="0" shrinkToFit="0" readingOrder="0"/>
      <x:protection locked="1" hidden="0"/>
    </x:xf>
    <x:xf numFmtId="0" fontId="1" fillId="5" borderId="0" xfId="0" applyNumberFormat="1" applyFill="0" applyBorder="0" applyAlignment="1" applyProtection="1">
      <x:alignment horizontal="general" vertical="top"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top" textRotation="0" wrapText="0" indent="0" relativeIndent="0" justifyLastLine="0" shrinkToFit="0" readingOrder="0"/>
      <x:protection locked="1" hidden="0"/>
    </x:xf>
    <x:xf numFmtId="0" fontId="5" fillId="6" borderId="0" xfId="0" applyNumberFormat="1" applyFill="0" applyBorder="0" applyAlignment="1" applyProtection="1">
      <x:alignment horizontal="center" vertical="center" textRotation="0" wrapText="1" indent="0" relativeIndent="0" justifyLastLine="0" shrinkToFit="0" readingOrder="0"/>
      <x:protection locked="1" hidden="0"/>
    </x:xf>
    <x:xf numFmtId="0" fontId="5" fillId="7" borderId="0" xfId="0" applyNumberFormat="1" applyFill="0" applyBorder="0" applyAlignment="1" applyProtection="1">
      <x:alignment horizontal="center" vertical="center" textRotation="0" wrapText="1" indent="0" relativeIndent="0" justifyLastLine="0" shrinkToFit="0" readingOrder="0"/>
      <x:protection locked="1" hidden="0"/>
    </x:xf>
    <x:xf numFmtId="0" fontId="1"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0" fontId="1" fillId="0" borderId="2" xfId="0" applyNumberFormat="1" applyFill="1" applyBorder="1" applyAlignment="1" applyProtection="1">
      <x:alignment horizontal="general" vertical="bottom" textRotation="0" wrapText="0" indent="0" relativeIndent="0" justifyLastLine="0" shrinkToFit="0" readingOrder="0"/>
      <x:protection locked="1" hidden="0"/>
    </x:xf>
    <x:xf numFmtId="164" fontId="1" fillId="0" borderId="2" xfId="0" applyNumberFormat="1" applyFill="1" applyBorder="1" applyAlignment="1" applyProtection="1">
      <x:alignment horizontal="general" vertical="bottom" textRotation="0" wrapText="0" indent="0" relativeIndent="0" justifyLastLine="0" shrinkToFit="0" readingOrder="0"/>
      <x:protection locked="1" hidden="0"/>
    </x:xf>
    <x:xf numFmtId="0" fontId="1" fillId="3" borderId="2" xfId="0" applyNumberFormat="1" applyFill="0" applyBorder="1" applyAlignment="1" applyProtection="1">
      <x:alignment horizontal="general" vertical="bottom" textRotation="0" wrapText="0" indent="0" relativeIndent="0" justifyLastLine="0" shrinkToFit="0" readingOrder="0"/>
      <x:protection locked="1" hidden="0"/>
    </x:xf>
    <x:xf numFmtId="165" fontId="1" fillId="3" borderId="2" xfId="0" applyNumberFormat="1" applyFill="0" applyBorder="1" applyAlignment="1" applyProtection="1">
      <x:alignment horizontal="general" vertical="bottom" textRotation="0" wrapText="0" indent="0" relativeIndent="0" justifyLastLine="0" shrinkToFit="0" readingOrder="0"/>
      <x:protection locked="1" hidden="0"/>
    </x:xf>
    <x:xf numFmtId="166" fontId="1" fillId="2" borderId="2" xfId="0" applyNumberFormat="1" applyFill="0" applyBorder="1" applyAlignment="1" applyProtection="1">
      <x:alignment horizontal="general" vertical="bottom" textRotation="0" wrapText="0" indent="0" relativeIndent="0" justifyLastLine="0" shrinkToFit="0" readingOrder="0"/>
      <x:protection locked="1" hidden="0"/>
    </x:xf>
    <x:xf numFmtId="0" fontId="1" fillId="2" borderId="2" xfId="0" applyNumberFormat="1" applyFill="0" applyBorder="1" applyAlignment="1" applyProtection="1">
      <x:alignment horizontal="general" vertical="bottom" textRotation="0" wrapText="0" indent="0" relativeIndent="0" justifyLastLine="0" shrinkToFit="0" readingOrder="0"/>
      <x:protection locked="1" hidden="0"/>
    </x:xf>
    <x:xf numFmtId="0" fontId="1" fillId="2" borderId="3" xfId="0" applyNumberFormat="1" applyFill="0" applyBorder="1" applyAlignment="1" applyProtection="1">
      <x:alignment horizontal="general" vertical="bottom" textRotation="0" wrapText="0" indent="0" relativeIndent="0" justifyLastLine="0" shrinkToFit="0" readingOrder="0"/>
      <x:protection locked="1" hidden="0"/>
    </x:xf>
    <x:xf numFmtId="0" fontId="1" fillId="0" borderId="4" xfId="0" applyNumberFormat="1" applyFill="1" applyBorder="1" applyAlignment="1" applyProtection="1">
      <x:alignment horizontal="general" vertical="bottom" textRotation="0" wrapText="0" indent="0" relativeIndent="0" justifyLastLine="0" shrinkToFit="0" readingOrder="0"/>
      <x:protection locked="1" hidden="0"/>
    </x:xf>
    <x:xf numFmtId="0" fontId="1" fillId="0" borderId="5" xfId="0" applyNumberFormat="1" applyFill="1" applyBorder="1" applyAlignment="1" applyProtection="1">
      <x:alignment horizontal="general" vertical="bottom" textRotation="0" wrapText="0" indent="0" relativeIndent="0" justifyLastLine="0" shrinkToFit="0" readingOrder="0"/>
      <x:protection locked="1" hidden="0"/>
    </x:xf>
    <x:xf numFmtId="164" fontId="1" fillId="0" borderId="5" xfId="0" applyNumberFormat="1" applyFill="1" applyBorder="1" applyAlignment="1" applyProtection="1">
      <x:alignment horizontal="general" vertical="bottom" textRotation="0" wrapText="0" indent="0" relativeIndent="0" justifyLastLine="0" shrinkToFit="0" readingOrder="0"/>
      <x:protection locked="1" hidden="0"/>
    </x:xf>
    <x:xf numFmtId="0" fontId="1" fillId="3" borderId="5" xfId="0" applyNumberFormat="1" applyFill="0" applyBorder="1" applyAlignment="1" applyProtection="1">
      <x:alignment horizontal="general" vertical="bottom" textRotation="0" wrapText="0" indent="0" relativeIndent="0" justifyLastLine="0" shrinkToFit="0" readingOrder="0"/>
      <x:protection locked="1" hidden="0"/>
    </x:xf>
    <x:xf numFmtId="165" fontId="1" fillId="3" borderId="5" xfId="0" applyNumberFormat="1" applyFill="0" applyBorder="1" applyAlignment="1" applyProtection="1">
      <x:alignment horizontal="general" vertical="bottom" textRotation="0" wrapText="0" indent="0" relativeIndent="0" justifyLastLine="0" shrinkToFit="0" readingOrder="0"/>
      <x:protection locked="1" hidden="0"/>
    </x:xf>
    <x:xf numFmtId="166" fontId="1" fillId="2" borderId="5" xfId="0" applyNumberFormat="1" applyFill="0" applyBorder="1" applyAlignment="1" applyProtection="1">
      <x:alignment horizontal="general" vertical="bottom" textRotation="0" wrapText="0" indent="0" relativeIndent="0" justifyLastLine="0" shrinkToFit="0" readingOrder="0"/>
      <x:protection locked="1" hidden="0"/>
    </x:xf>
    <x:xf numFmtId="0" fontId="1" fillId="2" borderId="5" xfId="0" applyNumberFormat="1" applyFill="0" applyBorder="1" applyAlignment="1" applyProtection="1">
      <x:alignment horizontal="general" vertical="bottom" textRotation="0" wrapText="0" indent="0" relativeIndent="0" justifyLastLine="0" shrinkToFit="0" readingOrder="0"/>
      <x:protection locked="1" hidden="0"/>
    </x:xf>
    <x:xf numFmtId="0" fontId="1" fillId="2" borderId="6" xfId="0" applyNumberFormat="1" applyFill="0" applyBorder="1" applyAlignment="1" applyProtection="1">
      <x:alignment horizontal="general" vertical="bottom" textRotation="0" wrapText="0" indent="0" relativeIndent="0" justifyLastLine="0" shrinkToFit="0" readingOrder="0"/>
      <x:protection locked="1" hidden="0"/>
    </x:xf>
    <x:xf numFmtId="0" fontId="1" fillId="0" borderId="7" xfId="0" applyNumberFormat="1" applyFill="1" applyBorder="1" applyAlignment="1" applyProtection="1">
      <x:alignment horizontal="general" vertical="bottom" textRotation="0" wrapText="0" indent="0" relativeIndent="0" justifyLastLine="0" shrinkToFit="0" readingOrder="0"/>
      <x:protection locked="1" hidden="0"/>
    </x:xf>
    <x:xf numFmtId="0" fontId="1" fillId="0" borderId="8" xfId="0" applyNumberFormat="1" applyFill="1" applyBorder="1" applyAlignment="1" applyProtection="1">
      <x:alignment horizontal="general" vertical="bottom" textRotation="0" wrapText="0" indent="0" relativeIndent="0" justifyLastLine="0" shrinkToFit="0" readingOrder="0"/>
      <x:protection locked="1" hidden="0"/>
    </x:xf>
    <x:xf numFmtId="164" fontId="1" fillId="0" borderId="8" xfId="0" applyNumberFormat="1" applyFill="1" applyBorder="1" applyAlignment="1" applyProtection="1">
      <x:alignment horizontal="general" vertical="bottom" textRotation="0" wrapText="0" indent="0" relativeIndent="0" justifyLastLine="0" shrinkToFit="0" readingOrder="0"/>
      <x:protection locked="1" hidden="0"/>
    </x:xf>
    <x:xf numFmtId="0" fontId="1" fillId="3" borderId="8" xfId="0" applyNumberFormat="1" applyFill="0" applyBorder="1" applyAlignment="1" applyProtection="1">
      <x:alignment horizontal="general" vertical="bottom" textRotation="0" wrapText="0" indent="0" relativeIndent="0" justifyLastLine="0" shrinkToFit="0" readingOrder="0"/>
      <x:protection locked="1" hidden="0"/>
    </x:xf>
    <x:xf numFmtId="165" fontId="1" fillId="3" borderId="8" xfId="0" applyNumberFormat="1" applyFill="0" applyBorder="1" applyAlignment="1" applyProtection="1">
      <x:alignment horizontal="general" vertical="bottom" textRotation="0" wrapText="0" indent="0" relativeIndent="0" justifyLastLine="0" shrinkToFit="0" readingOrder="0"/>
      <x:protection locked="1" hidden="0"/>
    </x:xf>
    <x:xf numFmtId="166" fontId="1" fillId="2" borderId="8" xfId="0" applyNumberFormat="1" applyFill="0" applyBorder="1" applyAlignment="1" applyProtection="1">
      <x:alignment horizontal="general" vertical="bottom" textRotation="0" wrapText="0" indent="0" relativeIndent="0" justifyLastLine="0" shrinkToFit="0" readingOrder="0"/>
      <x:protection locked="1" hidden="0"/>
    </x:xf>
    <x:xf numFmtId="0" fontId="1" fillId="2" borderId="8" xfId="0" applyNumberFormat="1" applyFill="0" applyBorder="1" applyAlignment="1" applyProtection="1">
      <x:alignment horizontal="general" vertical="bottom" textRotation="0" wrapText="0" indent="0" relativeIndent="0" justifyLastLine="0" shrinkToFit="0" readingOrder="0"/>
      <x:protection locked="1" hidden="0"/>
    </x:xf>
    <x:xf numFmtId="0" fontId="1" fillId="2" borderId="9" xfId="0" applyNumberFormat="1" applyFill="0" applyBorder="1" applyAlignment="1" applyProtection="1">
      <x:alignment horizontal="general" vertical="bottom" textRotation="0" wrapText="0" indent="0" relativeIndent="0" justifyLastLine="0" shrinkToFit="0" readingOrder="0"/>
      <x:protection locked="1" hidden="0"/>
    </x:xf>
    <x:xf numFmtId="0" fontId="1" fillId="0" borderId="3" xfId="0" applyNumberFormat="1" applyFill="1" applyBorder="1" applyAlignment="1" applyProtection="1">
      <x:alignment horizontal="general" vertical="bottom" textRotation="0" wrapText="0" indent="0" relativeIndent="0" justifyLastLine="0" shrinkToFit="0" readingOrder="0"/>
      <x:protection locked="1" hidden="0"/>
    </x:xf>
    <x:xf numFmtId="0" fontId="1" fillId="0" borderId="6" xfId="0" applyNumberFormat="1" applyFill="1" applyBorder="1" applyAlignment="1" applyProtection="1">
      <x:alignment horizontal="general" vertical="bottom" textRotation="0" wrapText="0" indent="0" relativeIndent="0" justifyLastLine="0" shrinkToFit="0" readingOrder="0"/>
      <x:protection locked="1" hidden="0"/>
    </x:xf>
    <x:xf numFmtId="0" fontId="1" fillId="0" borderId="9" xfId="0" applyNumberFormat="1" applyFill="1" applyBorder="1"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font>
        <x:color rgb="FF006100"/>
      </x:font>
      <x:fill>
        <x:patternFill patternType="solid">
          <x:fgColor auto="1"/>
          <x:bgColor rgb="FFC6EFCE"/>
        </x:patternFill>
      </x:fill>
    </x:dxf>
    <x:dxf>
      <x:font>
        <x:color rgb="FF9C0006"/>
      </x:font>
      <x:fill>
        <x:patternFill patternType="solid">
          <x:fgColor auto="1"/>
          <x:bgColor rgb="FFFFC7CE"/>
        </x:patternFill>
      </x:fill>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10" /><Relationship Type="http://schemas.openxmlformats.org/officeDocument/2006/relationships/styles" Target="/xl/styles.xml" Id="rId11"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calcChain" Target="/xl/calcChain.xml" Id="rId12" /><Relationship Type="http://schemas.openxmlformats.org/officeDocument/2006/relationships/theme" Target="/xl/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39"/>
  <x:sheetViews>
    <x:sheetView rightToLeft="1" workbookViewId="0"/>
  </x:sheetViews>
  <x:sheetFormatPr defaultRowHeight="15"/>
  <x:cols>
    <x:col min="5" max="16384" width="9.140625" style="1" customWidth="1"/>
    <x:col min="1" max="1" width="34.710625" style="1" customWidth="1"/>
    <x:col min="2" max="3" width="22.710625" style="1" customWidth="1"/>
    <x:col min="4" max="4" width="60.710625" style="1" customWidth="1"/>
  </x:cols>
  <x:sheetData>
    <x:row r="1" spans="1:4">
      <x:c r="A1" s="2" t="s">
        <x:v>1662</x:v>
      </x:c>
      <x:c r="B1" s="3"/>
      <x:c r="C1" s="3"/>
      <x:c r="D1" s="3"/>
    </x:row>
    <x:row r="2" spans="1:4">
      <x:c r="A2" s="3" t="s">
        <x:v>1663</x:v>
      </x:c>
      <x:c r="B2" s="4" t="s">
        <x:v>1664</x:v>
      </x:c>
      <x:c r="C2" s="4"/>
      <x:c r="D2" s="4"/>
    </x:row>
    <x:row r="3" spans="1:4" ht="30" customHeight="1">
      <x:c r="A3" s="3" t="s">
        <x:v>1665</x:v>
      </x:c>
      <x:c r="B3" s="4" t="s">
        <x:v>1666</x:v>
      </x:c>
      <x:c r="C3" s="4"/>
      <x:c r="D3" s="4"/>
    </x:row>
    <x:row r="4" spans="1:4">
      <x:c r="A4" s="3"/>
      <x:c r="B4" s="3"/>
      <x:c r="C4" s="3"/>
      <x:c r="D4" s="3"/>
    </x:row>
    <x:row r="5" spans="1:4">
      <x:c r="A5" s="5" t="s">
        <x:v>1667</x:v>
      </x:c>
      <x:c r="B5" s="3"/>
      <x:c r="C5" s="3"/>
      <x:c r="D5" s="3"/>
    </x:row>
    <x:row r="6" spans="1:4">
      <x:c r="A6" s="6" t="s">
        <x:v>1668</x:v>
      </x:c>
      <x:c r="B6" s="3" t="s">
        <x:v>1669</x:v>
      </x:c>
      <x:c r="C6" s="3"/>
      <x:c r="D6" s="3"/>
    </x:row>
    <x:row r="7" spans="1:4">
      <x:c r="A7" s="7" t="s">
        <x:v>1670</x:v>
      </x:c>
      <x:c r="B7" s="3" t="s">
        <x:v>1671</x:v>
      </x:c>
      <x:c r="C7" s="3"/>
      <x:c r="D7" s="3"/>
    </x:row>
    <x:row r="8" spans="1:4">
      <x:c r="A8" s="8" t="s">
        <x:v>1672</x:v>
      </x:c>
      <x:c r="B8" s="3" t="s">
        <x:v>1673</x:v>
      </x:c>
      <x:c r="C8" s="3"/>
      <x:c r="D8" s="3"/>
    </x:row>
    <x:row r="9" spans="1:4">
      <x:c r="A9" s="9" t="s">
        <x:v>1674</x:v>
      </x:c>
      <x:c r="B9" s="3" t="s">
        <x:v>1675</x:v>
      </x:c>
      <x:c r="C9" s="3"/>
      <x:c r="D9" s="3"/>
    </x:row>
    <x:row r="10" spans="1:4">
      <x:c r="A10" s="3"/>
      <x:c r="B10" s="3"/>
      <x:c r="C10" s="3"/>
      <x:c r="D10" s="3"/>
    </x:row>
    <x:row r="11" spans="1:4">
      <x:c r="A11" s="5" t="s">
        <x:v>1676</x:v>
      </x:c>
      <x:c r="B11" s="3"/>
      <x:c r="C11" s="3"/>
      <x:c r="D11" s="3"/>
    </x:row>
    <x:row r="12" spans="1:4" ht="30" customHeight="1">
      <x:c r="A12" s="3" t="s">
        <x:v>1677</x:v>
      </x:c>
      <x:c r="B12" s="4" t="s">
        <x:v>1678</x:v>
      </x:c>
      <x:c r="C12" s="4"/>
      <x:c r="D12" s="4"/>
    </x:row>
    <x:row r="13" spans="1:4" ht="15" customHeight="1">
      <x:c r="A13" s="3" t="s">
        <x:v>1679</x:v>
      </x:c>
      <x:c r="B13" s="4" t="s">
        <x:v>1680</x:v>
      </x:c>
      <x:c r="C13" s="4"/>
      <x:c r="D13" s="4"/>
    </x:row>
    <x:row r="14" spans="1:4">
      <x:c r="A14" s="3" t="s">
        <x:v>1681</x:v>
      </x:c>
      <x:c r="B14" s="4" t="s">
        <x:v>1682</x:v>
      </x:c>
      <x:c r="C14" s="4"/>
      <x:c r="D14" s="4"/>
    </x:row>
    <x:row r="15" spans="1:4">
      <x:c r="A15" s="3" t="s">
        <x:v>1683</x:v>
      </x:c>
      <x:c r="B15" s="4" t="s">
        <x:v>1684</x:v>
      </x:c>
      <x:c r="C15" s="4"/>
      <x:c r="D15" s="4"/>
    </x:row>
    <x:row r="16" spans="1:4" ht="30" customHeight="1">
      <x:c r="A16" s="3" t="s">
        <x:v>1685</x:v>
      </x:c>
      <x:c r="B16" s="4" t="s">
        <x:v>1686</x:v>
      </x:c>
      <x:c r="C16" s="4"/>
      <x:c r="D16" s="4"/>
    </x:row>
    <x:row r="17" spans="1:4">
      <x:c r="A17" s="3"/>
      <x:c r="B17" s="3"/>
      <x:c r="C17" s="3"/>
      <x:c r="D17" s="3"/>
    </x:row>
    <x:row r="18" spans="1:4">
      <x:c r="A18" s="5" t="s">
        <x:v>1687</x:v>
      </x:c>
      <x:c r="B18" s="3"/>
      <x:c r="C18" s="3"/>
      <x:c r="D18" s="3"/>
    </x:row>
    <x:row r="19" spans="1:4" ht="45" customHeight="1">
      <x:c r="A19" s="3" t="s">
        <x:v>1688</x:v>
      </x:c>
      <x:c r="B19" s="4" t="s">
        <x:v>1689</x:v>
      </x:c>
      <x:c r="C19" s="4"/>
      <x:c r="D19" s="4"/>
    </x:row>
    <x:row r="20" spans="1:4" ht="45" customHeight="1">
      <x:c r="A20" s="3" t="s">
        <x:v>1690</x:v>
      </x:c>
      <x:c r="B20" s="4" t="s">
        <x:v>1691</x:v>
      </x:c>
      <x:c r="C20" s="4"/>
      <x:c r="D20" s="4"/>
    </x:row>
    <x:row r="21" spans="1:4" ht="45" customHeight="1">
      <x:c r="A21" s="3" t="s">
        <x:v>1692</x:v>
      </x:c>
      <x:c r="B21" s="4" t="s">
        <x:v>1693</x:v>
      </x:c>
      <x:c r="C21" s="4"/>
      <x:c r="D21" s="4"/>
    </x:row>
    <x:row r="22" spans="1:4" ht="30" customHeight="1">
      <x:c r="A22" s="3" t="s">
        <x:v>1694</x:v>
      </x:c>
      <x:c r="B22" s="4" t="s">
        <x:v>1695</x:v>
      </x:c>
      <x:c r="C22" s="4"/>
      <x:c r="D22" s="4"/>
    </x:row>
    <x:row r="23" spans="1:4" ht="15" customHeight="1">
      <x:c r="A23" s="3" t="s">
        <x:v>1696</x:v>
      </x:c>
      <x:c r="B23" s="4" t="s">
        <x:v>1697</x:v>
      </x:c>
      <x:c r="C23" s="4"/>
      <x:c r="D23" s="4"/>
    </x:row>
    <x:row r="24" spans="1:4" ht="15" customHeight="1">
      <x:c r="A24" s="3" t="s">
        <x:v>1698</x:v>
      </x:c>
      <x:c r="B24" s="4" t="s">
        <x:v>1699</x:v>
      </x:c>
      <x:c r="C24" s="4"/>
      <x:c r="D24" s="4"/>
    </x:row>
    <x:row r="25" spans="1:4">
      <x:c r="A25" s="3"/>
      <x:c r="B25" s="3"/>
      <x:c r="C25" s="3"/>
      <x:c r="D25" s="3"/>
    </x:row>
    <x:row r="26" spans="1:4">
      <x:c r="A26" s="5" t="s">
        <x:v>1700</x:v>
      </x:c>
      <x:c r="B26" s="3"/>
      <x:c r="C26" s="3"/>
      <x:c r="D26" s="3"/>
    </x:row>
    <x:row r="27" spans="1:4" ht="30" customHeight="1">
      <x:c r="A27" s="3" t="s">
        <x:v>1701</x:v>
      </x:c>
      <x:c r="B27" s="4" t="s">
        <x:v>1702</x:v>
      </x:c>
      <x:c r="C27" s="4"/>
      <x:c r="D27" s="4"/>
    </x:row>
    <x:row r="28" spans="1:4">
      <x:c r="A28" s="3" t="s">
        <x:v>1703</x:v>
      </x:c>
      <x:c r="B28" s="4" t="s">
        <x:v>1704</x:v>
      </x:c>
      <x:c r="C28" s="4"/>
      <x:c r="D28" s="4"/>
    </x:row>
    <x:row r="29" spans="1:4">
      <x:c r="A29" s="3"/>
      <x:c r="B29" s="3"/>
      <x:c r="C29" s="3"/>
      <x:c r="D29" s="3"/>
    </x:row>
    <x:row r="30" spans="1:4">
      <x:c r="A30" s="5" t="s">
        <x:v>1705</x:v>
      </x:c>
      <x:c r="B30" s="3"/>
      <x:c r="C30" s="3"/>
      <x:c r="D30" s="3"/>
    </x:row>
    <x:row r="31" spans="1:4">
      <x:c r="A31" s="3" t="s">
        <x:v>1706</x:v>
      </x:c>
      <x:c r="B31" s="10">
        <x:f>COUNTIF('تطبیق کل'!$L$2:$L$46,"OK")&amp;" از "&amp;COUNTA('تطبیق کل'!$A$2:$A$46)</x:f>
      </x:c>
      <x:c r="C31" s="3"/>
      <x:c r="D31" s="3"/>
    </x:row>
    <x:row r="32" spans="1:4">
      <x:c r="A32" s="3" t="s">
        <x:v>1707</x:v>
      </x:c>
      <x:c r="B32" s="10">
        <x:f>COUNTIF('تطبیق کل'!$L$2:$L$46,"الزامی*")</x:f>
      </x:c>
      <x:c r="C32" s="3"/>
      <x:c r="D32" s="3"/>
    </x:row>
    <x:row r="33" spans="1:4">
      <x:c r="A33" s="3" t="s">
        <x:v>1708</x:v>
      </x:c>
      <x:c r="B33" s="10">
        <x:f>COUNTIFS('تطبیق معین'!$N$2:$N$313,"بله",'تطبیق معین'!$U$2:$U$313,"OK")&amp;" از "&amp;COUNTIF('تطبیق معین'!$N$2:$N$313,"بله")</x:f>
      </x:c>
      <x:c r="C33" s="3"/>
      <x:c r="D33" s="3"/>
    </x:row>
    <x:row r="34" spans="1:4">
      <x:c r="A34" s="3" t="s">
        <x:v>1709</x:v>
      </x:c>
      <x:c r="B34" s="10">
        <x:f>COUNTIFS('تطبیق معین'!$U$2:$U$313,"&lt;&gt;OK",'تطبیق معین'!$U$2:$U$313,"?*")</x:f>
      </x:c>
      <x:c r="C34" s="3"/>
      <x:c r="D34" s="3"/>
    </x:row>
    <x:row r="35" spans="1:4">
      <x:c r="A35" s="3" t="s">
        <x:v>1710</x:v>
      </x:c>
      <x:c r="B35" s="10">
        <x:f>COUNTIF('تفصیلی‌ها'!$S$2:$S$514,"OK")&amp;" از "&amp;COUNTA('تفصیلی‌ها'!$A$2:$A$514)</x:f>
      </x:c>
      <x:c r="C35" s="3"/>
      <x:c r="D35" s="3"/>
    </x:row>
    <x:row r="36" spans="1:4">
      <x:c r="A36" s="3" t="s">
        <x:v>1711</x:v>
      </x:c>
      <x:c r="B36" s="10">
        <x:f>COUNTIF('فعالیت و مرکز هزینه'!$N$2:$N$134,"OK")&amp;" از "&amp;COUNTA('فعالیت و مرکز هزینه'!$A$2:$A$134)</x:f>
      </x:c>
      <x:c r="C36" s="3"/>
      <x:c r="D36" s="3"/>
    </x:row>
    <x:row r="37" spans="1:4">
      <x:c r="A37" s="3" t="s">
        <x:v>1712</x:v>
      </x:c>
      <x:c r="B37" s="10">
        <x:f>COUNTIF('اسناد ناتراز'!$L:$L,"OK")&amp;" از "&amp;(COUNTA('اسناد ناتراز'!$A:$A)-1)</x:f>
      </x:c>
      <x:c r="C37" s="3"/>
      <x:c r="D37" s="3"/>
    </x:row>
    <x:row r="38" spans="1:4">
      <x:c r="A38" s="3" t="s">
        <x:v>1713</x:v>
      </x:c>
      <x:c r="B38" s="10">
        <x:f>COUNTIF('وضعیت سند'!$G:$G,"OK")&amp;" از "&amp;(COUNTA('وضعیت سند'!$A:$A)-1)</x:f>
      </x:c>
      <x:c r="C38" s="3"/>
      <x:c r="D38" s="3"/>
    </x:row>
    <x:row r="39" spans="1:4">
      <x:c r="A39" s="3"/>
      <x:c r="B39" s="3"/>
      <x:c r="C39" s="3"/>
      <x:c r="D39" s="3"/>
    </x:row>
  </x:sheetData>
  <x:mergeCells count="19">
    <x:mergeCell ref="B2:D2"/>
    <x:mergeCell ref="B3:D3"/>
    <x:mergeCell ref="B6:D6"/>
    <x:mergeCell ref="B7:D7"/>
    <x:mergeCell ref="B8:D8"/>
    <x:mergeCell ref="B9:D9"/>
    <x:mergeCell ref="B12:D12"/>
    <x:mergeCell ref="B13:D13"/>
    <x:mergeCell ref="B14:D14"/>
    <x:mergeCell ref="B15:D15"/>
    <x:mergeCell ref="B16:D16"/>
    <x:mergeCell ref="B19:D19"/>
    <x:mergeCell ref="B20:D20"/>
    <x:mergeCell ref="B21:D21"/>
    <x:mergeCell ref="B22:D22"/>
    <x:mergeCell ref="B23:D23"/>
    <x:mergeCell ref="B24:D24"/>
    <x:mergeCell ref="B27:D27"/>
    <x:mergeCell ref="B28:D28"/>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46"/>
  <x:sheetViews>
    <x:sheetView rightToLeft="1" workbookViewId="0">
      <x:pane xSplit="0" ySplit="1" topLeftCell="A2" activePane="bottomLeft" state="frozenSplit"/>
    </x:sheetView>
  </x:sheetViews>
  <x:sheetFormatPr defaultRowHeight="15"/>
  <x:cols>
    <x:col min="15" max="16384" width="9.140625" style="1" customWidth="1"/>
    <x:col min="1" max="1" width="8.710625" style="1" customWidth="1"/>
    <x:col min="2" max="2" width="34.710625" style="1" customWidth="1"/>
    <x:col min="3" max="3" width="9.710625" style="1" customWidth="1"/>
    <x:col min="4" max="4" width="10.710625" style="1" customWidth="1"/>
    <x:col min="5" max="6" width="18.710625" style="1" customWidth="1"/>
    <x:col min="7" max="7" width="14.710625" style="1" customWidth="1"/>
    <x:col min="8" max="8" width="30.710625" style="1" customWidth="1"/>
    <x:col min="9" max="9" width="8.710625" style="1" customWidth="1"/>
    <x:col min="10" max="10" width="12.710625" style="1" customWidth="1"/>
    <x:col min="11" max="12" width="30.710625" style="1" customWidth="1"/>
    <x:col min="13" max="13" width="26.710625" style="1" customWidth="1"/>
    <x:col min="14" max="14" width="30.710625" style="1" customWidth="1"/>
  </x:cols>
  <x:sheetData>
    <x:row r="1" spans="1:14" ht="45" customHeight="1">
      <x:c r="A1" s="11" t="s">
        <x:v>0</x:v>
      </x:c>
      <x:c r="B1" s="11" t="s">
        <x:v>1</x:v>
      </x:c>
      <x:c r="C1" s="11" t="s">
        <x:v>2</x:v>
      </x:c>
      <x:c r="D1" s="11" t="s">
        <x:v>3</x:v>
      </x:c>
      <x:c r="E1" s="11" t="s">
        <x:v>4</x:v>
      </x:c>
      <x:c r="F1" s="11" t="s">
        <x:v>5</x:v>
      </x:c>
      <x:c r="G1" s="11" t="s">
        <x:v>6</x:v>
      </x:c>
      <x:c r="H1" s="11" t="s">
        <x:v>7</x:v>
      </x:c>
      <x:c r="I1" s="11" t="s">
        <x:v>8</x:v>
      </x:c>
      <x:c r="J1" s="12" t="s">
        <x:v>9</x:v>
      </x:c>
      <x:c r="K1" s="11" t="s">
        <x:v>10</x:v>
      </x:c>
      <x:c r="L1" s="11" t="s">
        <x:v>11</x:v>
      </x:c>
      <x:c r="M1" s="12" t="s">
        <x:v>12</x:v>
      </x:c>
      <x:c r="N1" s="12" t="s">
        <x:v>13</x:v>
      </x:c>
    </x:row>
    <x:row r="2" spans="1:14">
      <x:c r="A2" s="13" t="s">
        <x:v>14</x:v>
      </x:c>
      <x:c r="B2" s="14" t="s">
        <x:v>15</x:v>
      </x:c>
      <x:c r="C2" s="14">
        <x:v>2</x:v>
      </x:c>
      <x:c r="D2" s="14">
        <x:v>20</x:v>
      </x:c>
      <x:c r="E2" s="15">
        <x:v>10041</x:v>
      </x:c>
      <x:c r="F2" s="15">
        <x:v>100000210462270</x:v>
      </x:c>
      <x:c r="G2" s="16" t="s">
        <x:v>16</x:v>
      </x:c>
      <x:c r="H2" s="16" t="s">
        <x:v>17</x:v>
      </x:c>
      <x:c r="I2" s="17"/>
      <x:c r="J2" s="18" t="s">
        <x:v>16</x:v>
      </x:c>
      <x:c r="K2" s="14">
        <x:f>IF(J2="","",IFERROR(INDEX('درخت جدید'!$C:$C,MATCH(J2&amp;"",'درخت جدید'!$B:$B,0)),"(ساخته می‌شود) "&amp;M2))</x:f>
      </x:c>
      <x:c r="L2" s="14">
        <x:f>IF(J2="",IF(D2&gt;0,"الزامی — تکمیل نشده",""),IF(AND(J2=G2,FALSE,N2=""),"تداخل: کد "&amp;J2&amp;" در برگهٔ درخت جدید با نام «"&amp;K2&amp;"» از قبل تعریف شده",IF(COUNTIFS('درخت جدید'!$B:$B,J2&amp;"",'درخت جدید'!$A:$A,"کل")=0,IF(M2="","کد در درخت نیست — نام برای تعریف را بنویسید","OK"),"OK")))</x:f>
      </x:c>
      <x:c r="M2" s="19">
        <x:f>IF(J2="","",IF(COUNTIFS('درخت جدید'!$B:$B,J2&amp;"",'درخت جدید'!$A:$A,"کل")=0,B2,""))</x:f>
      </x:c>
      <x:c r="N2" s="20"/>
    </x:row>
    <x:row r="3" spans="1:14">
      <x:c r="A3" s="21" t="s">
        <x:v>18</x:v>
      </x:c>
      <x:c r="B3" s="22" t="s">
        <x:v>19</x:v>
      </x:c>
      <x:c r="C3" s="22">
        <x:v>0</x:v>
      </x:c>
      <x:c r="D3" s="22">
        <x:v>0</x:v>
      </x:c>
      <x:c r="E3" s="23">
        <x:v>0</x:v>
      </x:c>
      <x:c r="F3" s="23">
        <x:v>0</x:v>
      </x:c>
      <x:c r="G3" s="24" t="s">
        <x:v>20</x:v>
      </x:c>
      <x:c r="H3" s="24" t="s">
        <x:v>17</x:v>
      </x:c>
      <x:c r="I3" s="25"/>
      <x:c r="J3" s="26" t="s">
        <x:v>20</x:v>
      </x:c>
      <x:c r="K3" s="22">
        <x:f>IF(J3="","",IFERROR(INDEX('درخت جدید'!$C:$C,MATCH(J3&amp;"",'درخت جدید'!$B:$B,0)),"(ساخته می‌شود) "&amp;M3))</x:f>
      </x:c>
      <x:c r="L3" s="22">
        <x:f>IF(J3="",IF(D3&gt;0,"الزامی — تکمیل نشده",""),IF(AND(J3=G3,FALSE,N3=""),"تداخل: کد "&amp;J3&amp;" در برگهٔ درخت جدید با نام «"&amp;K3&amp;"» از قبل تعریف شده",IF(COUNTIFS('درخت جدید'!$B:$B,J3&amp;"",'درخت جدید'!$A:$A,"کل")=0,IF(M3="","کد در درخت نیست — نام برای تعریف را بنویسید","OK"),"OK")))</x:f>
      </x:c>
      <x:c r="M3" s="27">
        <x:f>IF(J3="","",IF(COUNTIFS('درخت جدید'!$B:$B,J3&amp;"",'درخت جدید'!$A:$A,"کل")=0,B3,""))</x:f>
      </x:c>
      <x:c r="N3" s="28"/>
    </x:row>
    <x:row r="4" spans="1:14">
      <x:c r="A4" s="21" t="s">
        <x:v>21</x:v>
      </x:c>
      <x:c r="B4" s="22" t="s">
        <x:v>22</x:v>
      </x:c>
      <x:c r="C4" s="22">
        <x:v>0</x:v>
      </x:c>
      <x:c r="D4" s="22">
        <x:v>0</x:v>
      </x:c>
      <x:c r="E4" s="23">
        <x:v>0</x:v>
      </x:c>
      <x:c r="F4" s="23">
        <x:v>0</x:v>
      </x:c>
      <x:c r="G4" s="24" t="s">
        <x:v>23</x:v>
      </x:c>
      <x:c r="H4" s="24" t="s">
        <x:v>17</x:v>
      </x:c>
      <x:c r="I4" s="25"/>
      <x:c r="J4" s="26" t="s">
        <x:v>23</x:v>
      </x:c>
      <x:c r="K4" s="22">
        <x:f>IF(J4="","",IFERROR(INDEX('درخت جدید'!$C:$C,MATCH(J4&amp;"",'درخت جدید'!$B:$B,0)),"(ساخته می‌شود) "&amp;M4))</x:f>
      </x:c>
      <x:c r="L4" s="22">
        <x:f>IF(J4="",IF(D4&gt;0,"الزامی — تکمیل نشده",""),IF(AND(J4=G4,FALSE,N4=""),"تداخل: کد "&amp;J4&amp;" در برگهٔ درخت جدید با نام «"&amp;K4&amp;"» از قبل تعریف شده",IF(COUNTIFS('درخت جدید'!$B:$B,J4&amp;"",'درخت جدید'!$A:$A,"کل")=0,IF(M4="","کد در درخت نیست — نام برای تعریف را بنویسید","OK"),"OK")))</x:f>
      </x:c>
      <x:c r="M4" s="27">
        <x:f>IF(J4="","",IF(COUNTIFS('درخت جدید'!$B:$B,J4&amp;"",'درخت جدید'!$A:$A,"کل")=0,B4,""))</x:f>
      </x:c>
      <x:c r="N4" s="28"/>
    </x:row>
    <x:row r="5" spans="1:14">
      <x:c r="A5" s="21" t="s">
        <x:v>24</x:v>
      </x:c>
      <x:c r="B5" s="22" t="s">
        <x:v>25</x:v>
      </x:c>
      <x:c r="C5" s="22">
        <x:v>1</x:v>
      </x:c>
      <x:c r="D5" s="22">
        <x:v>1</x:v>
      </x:c>
      <x:c r="E5" s="23">
        <x:v>0</x:v>
      </x:c>
      <x:c r="F5" s="23">
        <x:v>10</x:v>
      </x:c>
      <x:c r="G5" s="24" t="s">
        <x:v>26</x:v>
      </x:c>
      <x:c r="H5" s="24" t="s">
        <x:v>17</x:v>
      </x:c>
      <x:c r="I5" s="25"/>
      <x:c r="J5" s="26" t="s">
        <x:v>26</x:v>
      </x:c>
      <x:c r="K5" s="22">
        <x:f>IF(J5="","",IFERROR(INDEX('درخت جدید'!$C:$C,MATCH(J5&amp;"",'درخت جدید'!$B:$B,0)),"(ساخته می‌شود) "&amp;M5))</x:f>
      </x:c>
      <x:c r="L5" s="22">
        <x:f>IF(J5="",IF(D5&gt;0,"الزامی — تکمیل نشده",""),IF(AND(J5=G5,FALSE,N5=""),"تداخل: کد "&amp;J5&amp;" در برگهٔ درخت جدید با نام «"&amp;K5&amp;"» از قبل تعریف شده",IF(COUNTIFS('درخت جدید'!$B:$B,J5&amp;"",'درخت جدید'!$A:$A,"کل")=0,IF(M5="","کد در درخت نیست — نام برای تعریف را بنویسید","OK"),"OK")))</x:f>
      </x:c>
      <x:c r="M5" s="27">
        <x:f>IF(J5="","",IF(COUNTIFS('درخت جدید'!$B:$B,J5&amp;"",'درخت جدید'!$A:$A,"کل")=0,B5,""))</x:f>
      </x:c>
      <x:c r="N5" s="28"/>
    </x:row>
    <x:row r="6" spans="1:14">
      <x:c r="A6" s="21" t="s">
        <x:v>27</x:v>
      </x:c>
      <x:c r="B6" s="22" t="s">
        <x:v>28</x:v>
      </x:c>
      <x:c r="C6" s="22">
        <x:v>0</x:v>
      </x:c>
      <x:c r="D6" s="22">
        <x:v>0</x:v>
      </x:c>
      <x:c r="E6" s="23">
        <x:v>0</x:v>
      </x:c>
      <x:c r="F6" s="23">
        <x:v>0</x:v>
      </x:c>
      <x:c r="G6" s="24" t="s">
        <x:v>29</x:v>
      </x:c>
      <x:c r="H6" s="24" t="s">
        <x:v>17</x:v>
      </x:c>
      <x:c r="I6" s="25"/>
      <x:c r="J6" s="26" t="s">
        <x:v>29</x:v>
      </x:c>
      <x:c r="K6" s="22">
        <x:f>IF(J6="","",IFERROR(INDEX('درخت جدید'!$C:$C,MATCH(J6&amp;"",'درخت جدید'!$B:$B,0)),"(ساخته می‌شود) "&amp;M6))</x:f>
      </x:c>
      <x:c r="L6" s="22">
        <x:f>IF(J6="",IF(D6&gt;0,"الزامی — تکمیل نشده",""),IF(AND(J6=G6,FALSE,N6=""),"تداخل: کد "&amp;J6&amp;" در برگهٔ درخت جدید با نام «"&amp;K6&amp;"» از قبل تعریف شده",IF(COUNTIFS('درخت جدید'!$B:$B,J6&amp;"",'درخت جدید'!$A:$A,"کل")=0,IF(M6="","کد در درخت نیست — نام برای تعریف را بنویسید","OK"),"OK")))</x:f>
      </x:c>
      <x:c r="M6" s="27">
        <x:f>IF(J6="","",IF(COUNTIFS('درخت جدید'!$B:$B,J6&amp;"",'درخت جدید'!$A:$A,"کل")=0,B6,""))</x:f>
      </x:c>
      <x:c r="N6" s="28"/>
    </x:row>
    <x:row r="7" spans="1:14">
      <x:c r="A7" s="21" t="s">
        <x:v>30</x:v>
      </x:c>
      <x:c r="B7" s="22" t="s">
        <x:v>31</x:v>
      </x:c>
      <x:c r="C7" s="22">
        <x:v>7</x:v>
      </x:c>
      <x:c r="D7" s="22">
        <x:v>129</x:v>
      </x:c>
      <x:c r="E7" s="23">
        <x:v>15454464736</x:v>
      </x:c>
      <x:c r="F7" s="23">
        <x:v>34561474393</x:v>
      </x:c>
      <x:c r="G7" s="24" t="s">
        <x:v>32</x:v>
      </x:c>
      <x:c r="H7" s="24" t="s">
        <x:v>33</x:v>
      </x:c>
      <x:c r="I7" s="25">
        <x:v>0.92</x:v>
      </x:c>
      <x:c r="J7" s="26" t="s">
        <x:v>32</x:v>
      </x:c>
      <x:c r="K7" s="22">
        <x:f>IF(J7="","",IFERROR(INDEX('درخت جدید'!$C:$C,MATCH(J7&amp;"",'درخت جدید'!$B:$B,0)),"(ساخته می‌شود) "&amp;M7))</x:f>
      </x:c>
      <x:c r="L7" s="22">
        <x:f>IF(J7="",IF(D7&gt;0,"الزامی — تکمیل نشده",""),IF(AND(J7=G7,FALSE,N7=""),"تداخل: کد "&amp;J7&amp;" در برگهٔ درخت جدید با نام «"&amp;K7&amp;"» از قبل تعریف شده",IF(COUNTIFS('درخت جدید'!$B:$B,J7&amp;"",'درخت جدید'!$A:$A,"کل")=0,IF(M7="","کد در درخت نیست — نام برای تعریف را بنویسید","OK"),"OK")))</x:f>
      </x:c>
      <x:c r="M7" s="27">
        <x:f>IF(J7="","",IF(COUNTIFS('درخت جدید'!$B:$B,J7&amp;"",'درخت جدید'!$A:$A,"کل")=0,B7,""))</x:f>
      </x:c>
      <x:c r="N7" s="28"/>
    </x:row>
    <x:row r="8" spans="1:14">
      <x:c r="A8" s="21" t="s">
        <x:v>34</x:v>
      </x:c>
      <x:c r="B8" s="22" t="s">
        <x:v>35</x:v>
      </x:c>
      <x:c r="C8" s="22">
        <x:v>14</x:v>
      </x:c>
      <x:c r="D8" s="22">
        <x:v>42</x:v>
      </x:c>
      <x:c r="E8" s="23">
        <x:v>4669938244</x:v>
      </x:c>
      <x:c r="F8" s="23">
        <x:v>18404507636</x:v>
      </x:c>
      <x:c r="G8" s="24" t="s">
        <x:v>36</x:v>
      </x:c>
      <x:c r="H8" s="24" t="s">
        <x:v>37</x:v>
      </x:c>
      <x:c r="I8" s="25">
        <x:v>0.91</x:v>
      </x:c>
      <x:c r="J8" s="26" t="s">
        <x:v>36</x:v>
      </x:c>
      <x:c r="K8" s="22">
        <x:f>IF(J8="","",IFERROR(INDEX('درخت جدید'!$C:$C,MATCH(J8&amp;"",'درخت جدید'!$B:$B,0)),"(ساخته می‌شود) "&amp;M8))</x:f>
      </x:c>
      <x:c r="L8" s="22">
        <x:f>IF(J8="",IF(D8&gt;0,"الزامی — تکمیل نشده",""),IF(AND(J8=G8,FALSE,N8=""),"تداخل: کد "&amp;J8&amp;" در برگهٔ درخت جدید با نام «"&amp;K8&amp;"» از قبل تعریف شده",IF(COUNTIFS('درخت جدید'!$B:$B,J8&amp;"",'درخت جدید'!$A:$A,"کل")=0,IF(M8="","کد در درخت نیست — نام برای تعریف را بنویسید","OK"),"OK")))</x:f>
      </x:c>
      <x:c r="M8" s="27">
        <x:f>IF(J8="","",IF(COUNTIFS('درخت جدید'!$B:$B,J8&amp;"",'درخت جدید'!$A:$A,"کل")=0,B8,""))</x:f>
      </x:c>
      <x:c r="N8" s="28"/>
    </x:row>
    <x:row r="9" spans="1:14">
      <x:c r="A9" s="21" t="s">
        <x:v>38</x:v>
      </x:c>
      <x:c r="B9" s="22" t="s">
        <x:v>39</x:v>
      </x:c>
      <x:c r="C9" s="22">
        <x:v>0</x:v>
      </x:c>
      <x:c r="D9" s="22">
        <x:v>0</x:v>
      </x:c>
      <x:c r="E9" s="23">
        <x:v>0</x:v>
      </x:c>
      <x:c r="F9" s="23">
        <x:v>0</x:v>
      </x:c>
      <x:c r="G9" s="24" t="s">
        <x:v>40</x:v>
      </x:c>
      <x:c r="H9" s="24" t="s">
        <x:v>17</x:v>
      </x:c>
      <x:c r="I9" s="25"/>
      <x:c r="J9" s="26" t="s">
        <x:v>40</x:v>
      </x:c>
      <x:c r="K9" s="22">
        <x:f>IF(J9="","",IFERROR(INDEX('درخت جدید'!$C:$C,MATCH(J9&amp;"",'درخت جدید'!$B:$B,0)),"(ساخته می‌شود) "&amp;M9))</x:f>
      </x:c>
      <x:c r="L9" s="22">
        <x:f>IF(J9="",IF(D9&gt;0,"الزامی — تکمیل نشده",""),IF(AND(J9=G9,FALSE,N9=""),"تداخل: کد "&amp;J9&amp;" در برگهٔ درخت جدید با نام «"&amp;K9&amp;"» از قبل تعریف شده",IF(COUNTIFS('درخت جدید'!$B:$B,J9&amp;"",'درخت جدید'!$A:$A,"کل")=0,IF(M9="","کد در درخت نیست — نام برای تعریف را بنویسید","OK"),"OK")))</x:f>
      </x:c>
      <x:c r="M9" s="27">
        <x:f>IF(J9="","",IF(COUNTIFS('درخت جدید'!$B:$B,J9&amp;"",'درخت جدید'!$A:$A,"کل")=0,B9,""))</x:f>
      </x:c>
      <x:c r="N9" s="28"/>
    </x:row>
    <x:row r="10" spans="1:14">
      <x:c r="A10" s="21" t="s">
        <x:v>41</x:v>
      </x:c>
      <x:c r="B10" s="22" t="s">
        <x:v>42</x:v>
      </x:c>
      <x:c r="C10" s="22">
        <x:v>14</x:v>
      </x:c>
      <x:c r="D10" s="22">
        <x:v>10</x:v>
      </x:c>
      <x:c r="E10" s="23">
        <x:v>43955000</x:v>
      </x:c>
      <x:c r="F10" s="23">
        <x:v>175820000</x:v>
      </x:c>
      <x:c r="G10" s="24" t="s">
        <x:v>43</x:v>
      </x:c>
      <x:c r="H10" s="24" t="s">
        <x:v>44</x:v>
      </x:c>
      <x:c r="I10" s="25">
        <x:v>0.82</x:v>
      </x:c>
      <x:c r="J10" s="26" t="s">
        <x:v>43</x:v>
      </x:c>
      <x:c r="K10" s="22">
        <x:f>IF(J10="","",IFERROR(INDEX('درخت جدید'!$C:$C,MATCH(J10&amp;"",'درخت جدید'!$B:$B,0)),"(ساخته می‌شود) "&amp;M10))</x:f>
      </x:c>
      <x:c r="L10" s="22">
        <x:f>IF(J10="",IF(D10&gt;0,"الزامی — تکمیل نشده",""),IF(AND(J10=G10,FALSE,N10=""),"تداخل: کد "&amp;J10&amp;" در برگهٔ درخت جدید با نام «"&amp;K10&amp;"» از قبل تعریف شده",IF(COUNTIFS('درخت جدید'!$B:$B,J10&amp;"",'درخت جدید'!$A:$A,"کل")=0,IF(M10="","کد در درخت نیست — نام برای تعریف را بنویسید","OK"),"OK")))</x:f>
      </x:c>
      <x:c r="M10" s="27">
        <x:f>IF(J10="","",IF(COUNTIFS('درخت جدید'!$B:$B,J10&amp;"",'درخت جدید'!$A:$A,"کل")=0,B10,""))</x:f>
      </x:c>
      <x:c r="N10" s="28"/>
    </x:row>
    <x:row r="11" spans="1:14">
      <x:c r="A11" s="21" t="s">
        <x:v>45</x:v>
      </x:c>
      <x:c r="B11" s="22" t="s">
        <x:v>46</x:v>
      </x:c>
      <x:c r="C11" s="22">
        <x:v>5</x:v>
      </x:c>
      <x:c r="D11" s="22">
        <x:v>13</x:v>
      </x:c>
      <x:c r="E11" s="23">
        <x:v>134489698</x:v>
      </x:c>
      <x:c r="F11" s="23">
        <x:v>93955169</x:v>
      </x:c>
      <x:c r="G11" s="24" t="s">
        <x:v>47</x:v>
      </x:c>
      <x:c r="H11" s="24" t="s">
        <x:v>48</x:v>
      </x:c>
      <x:c r="I11" s="25">
        <x:v>1</x:v>
      </x:c>
      <x:c r="J11" s="26" t="s">
        <x:v>47</x:v>
      </x:c>
      <x:c r="K11" s="22">
        <x:f>IF(J11="","",IFERROR(INDEX('درخت جدید'!$C:$C,MATCH(J11&amp;"",'درخت جدید'!$B:$B,0)),"(ساخته می‌شود) "&amp;M11))</x:f>
      </x:c>
      <x:c r="L11" s="22">
        <x:f>IF(J11="",IF(D11&gt;0,"الزامی — تکمیل نشده",""),IF(AND(J11=G11,FALSE,N11=""),"تداخل: کد "&amp;J11&amp;" در برگهٔ درخت جدید با نام «"&amp;K11&amp;"» از قبل تعریف شده",IF(COUNTIFS('درخت جدید'!$B:$B,J11&amp;"",'درخت جدید'!$A:$A,"کل")=0,IF(M11="","کد در درخت نیست — نام برای تعریف را بنویسید","OK"),"OK")))</x:f>
      </x:c>
      <x:c r="M11" s="27">
        <x:f>IF(J11="","",IF(COUNTIFS('درخت جدید'!$B:$B,J11&amp;"",'درخت جدید'!$A:$A,"کل")=0,B11,""))</x:f>
      </x:c>
      <x:c r="N11" s="28"/>
    </x:row>
    <x:row r="12" spans="1:14">
      <x:c r="A12" s="21" t="s">
        <x:v>49</x:v>
      </x:c>
      <x:c r="B12" s="22" t="s">
        <x:v>50</x:v>
      </x:c>
      <x:c r="C12" s="22">
        <x:v>14</x:v>
      </x:c>
      <x:c r="D12" s="22">
        <x:v>809</x:v>
      </x:c>
      <x:c r="E12" s="23">
        <x:v>65261064200</x:v>
      </x:c>
      <x:c r="F12" s="23">
        <x:v>87394171586</x:v>
      </x:c>
      <x:c r="G12" s="24" t="s">
        <x:v>51</x:v>
      </x:c>
      <x:c r="H12" s="24" t="s">
        <x:v>17</x:v>
      </x:c>
      <x:c r="I12" s="25"/>
      <x:c r="J12" s="26" t="s">
        <x:v>51</x:v>
      </x:c>
      <x:c r="K12" s="22">
        <x:f>IF(J12="","",IFERROR(INDEX('درخت جدید'!$C:$C,MATCH(J12&amp;"",'درخت جدید'!$B:$B,0)),"(ساخته می‌شود) "&amp;M12))</x:f>
      </x:c>
      <x:c r="L12" s="22">
        <x:f>IF(J12="",IF(D12&gt;0,"الزامی — تکمیل نشده",""),IF(AND(J12=G12,FALSE,N12=""),"تداخل: کد "&amp;J12&amp;" در برگهٔ درخت جدید با نام «"&amp;K12&amp;"» از قبل تعریف شده",IF(COUNTIFS('درخت جدید'!$B:$B,J12&amp;"",'درخت جدید'!$A:$A,"کل")=0,IF(M12="","کد در درخت نیست — نام برای تعریف را بنویسید","OK"),"OK")))</x:f>
      </x:c>
      <x:c r="M12" s="27">
        <x:f>IF(J12="","",IF(COUNTIFS('درخت جدید'!$B:$B,J12&amp;"",'درخت جدید'!$A:$A,"کل")=0,B12,""))</x:f>
      </x:c>
      <x:c r="N12" s="28"/>
    </x:row>
    <x:row r="13" spans="1:14">
      <x:c r="A13" s="21" t="s">
        <x:v>52</x:v>
      </x:c>
      <x:c r="B13" s="22" t="s">
        <x:v>53</x:v>
      </x:c>
      <x:c r="C13" s="22">
        <x:v>24</x:v>
      </x:c>
      <x:c r="D13" s="22">
        <x:v>1068</x:v>
      </x:c>
      <x:c r="E13" s="23">
        <x:v>40192446003</x:v>
      </x:c>
      <x:c r="F13" s="23">
        <x:v>10438519337</x:v>
      </x:c>
      <x:c r="G13" s="24" t="s">
        <x:v>54</x:v>
      </x:c>
      <x:c r="H13" s="24" t="s">
        <x:v>53</x:v>
      </x:c>
      <x:c r="I13" s="25">
        <x:v>1</x:v>
      </x:c>
      <x:c r="J13" s="26" t="s">
        <x:v>54</x:v>
      </x:c>
      <x:c r="K13" s="22">
        <x:f>IF(J13="","",IFERROR(INDEX('درخت جدید'!$C:$C,MATCH(J13&amp;"",'درخت جدید'!$B:$B,0)),"(ساخته می‌شود) "&amp;M13))</x:f>
      </x:c>
      <x:c r="L13" s="22">
        <x:f>IF(J13="",IF(D13&gt;0,"الزامی — تکمیل نشده",""),IF(AND(J13=G13,FALSE,N13=""),"تداخل: کد "&amp;J13&amp;" در برگهٔ درخت جدید با نام «"&amp;K13&amp;"» از قبل تعریف شده",IF(COUNTIFS('درخت جدید'!$B:$B,J13&amp;"",'درخت جدید'!$A:$A,"کل")=0,IF(M13="","کد در درخت نیست — نام برای تعریف را بنویسید","OK"),"OK")))</x:f>
      </x:c>
      <x:c r="M13" s="27">
        <x:f>IF(J13="","",IF(COUNTIFS('درخت جدید'!$B:$B,J13&amp;"",'درخت جدید'!$A:$A,"کل")=0,B13,""))</x:f>
      </x:c>
      <x:c r="N13" s="28"/>
    </x:row>
    <x:row r="14" spans="1:14">
      <x:c r="A14" s="21" t="s">
        <x:v>55</x:v>
      </x:c>
      <x:c r="B14" s="22" t="s">
        <x:v>56</x:v>
      </x:c>
      <x:c r="C14" s="22">
        <x:v>3</x:v>
      </x:c>
      <x:c r="D14" s="22">
        <x:v>0</x:v>
      </x:c>
      <x:c r="E14" s="23">
        <x:v>0</x:v>
      </x:c>
      <x:c r="F14" s="23">
        <x:v>0</x:v>
      </x:c>
      <x:c r="G14" s="24" t="s">
        <x:v>57</x:v>
      </x:c>
      <x:c r="H14" s="24" t="s">
        <x:v>58</x:v>
      </x:c>
      <x:c r="I14" s="25">
        <x:v>0.7</x:v>
      </x:c>
      <x:c r="J14" s="26" t="s">
        <x:v>57</x:v>
      </x:c>
      <x:c r="K14" s="22">
        <x:f>IF(J14="","",IFERROR(INDEX('درخت جدید'!$C:$C,MATCH(J14&amp;"",'درخت جدید'!$B:$B,0)),"(ساخته می‌شود) "&amp;M14))</x:f>
      </x:c>
      <x:c r="L14" s="22">
        <x:f>IF(J14="",IF(D14&gt;0,"الزامی — تکمیل نشده",""),IF(AND(J14=G14,FALSE,N14=""),"تداخل: کد "&amp;J14&amp;" در برگهٔ درخت جدید با نام «"&amp;K14&amp;"» از قبل تعریف شده",IF(COUNTIFS('درخت جدید'!$B:$B,J14&amp;"",'درخت جدید'!$A:$A,"کل")=0,IF(M14="","کد در درخت نیست — نام برای تعریف را بنویسید","OK"),"OK")))</x:f>
      </x:c>
      <x:c r="M14" s="27">
        <x:f>IF(J14="","",IF(COUNTIFS('درخت جدید'!$B:$B,J14&amp;"",'درخت جدید'!$A:$A,"کل")=0,B14,""))</x:f>
      </x:c>
      <x:c r="N14" s="28"/>
    </x:row>
    <x:row r="15" spans="1:14">
      <x:c r="A15" s="21" t="s">
        <x:v>59</x:v>
      </x:c>
      <x:c r="B15" s="22" t="s">
        <x:v>60</x:v>
      </x:c>
      <x:c r="C15" s="22">
        <x:v>5</x:v>
      </x:c>
      <x:c r="D15" s="22">
        <x:v>23</x:v>
      </x:c>
      <x:c r="E15" s="23">
        <x:v>500000000</x:v>
      </x:c>
      <x:c r="F15" s="23">
        <x:v>550000000</x:v>
      </x:c>
      <x:c r="G15" s="24" t="s">
        <x:v>61</x:v>
      </x:c>
      <x:c r="H15" s="24" t="s">
        <x:v>62</x:v>
      </x:c>
      <x:c r="I15" s="25">
        <x:v>1</x:v>
      </x:c>
      <x:c r="J15" s="26" t="s">
        <x:v>61</x:v>
      </x:c>
      <x:c r="K15" s="22">
        <x:f>IF(J15="","",IFERROR(INDEX('درخت جدید'!$C:$C,MATCH(J15&amp;"",'درخت جدید'!$B:$B,0)),"(ساخته می‌شود) "&amp;M15))</x:f>
      </x:c>
      <x:c r="L15" s="22">
        <x:f>IF(J15="",IF(D15&gt;0,"الزامی — تکمیل نشده",""),IF(AND(J15=G15,FALSE,N15=""),"تداخل: کد "&amp;J15&amp;" در برگهٔ درخت جدید با نام «"&amp;K15&amp;"» از قبل تعریف شده",IF(COUNTIFS('درخت جدید'!$B:$B,J15&amp;"",'درخت جدید'!$A:$A,"کل")=0,IF(M15="","کد در درخت نیست — نام برای تعریف را بنویسید","OK"),"OK")))</x:f>
      </x:c>
      <x:c r="M15" s="27">
        <x:f>IF(J15="","",IF(COUNTIFS('درخت جدید'!$B:$B,J15&amp;"",'درخت جدید'!$A:$A,"کل")=0,B15,""))</x:f>
      </x:c>
      <x:c r="N15" s="28"/>
    </x:row>
    <x:row r="16" spans="1:14">
      <x:c r="A16" s="21" t="s">
        <x:v>63</x:v>
      </x:c>
      <x:c r="B16" s="22" t="s">
        <x:v>64</x:v>
      </x:c>
      <x:c r="C16" s="22">
        <x:v>7</x:v>
      </x:c>
      <x:c r="D16" s="22">
        <x:v>1071</x:v>
      </x:c>
      <x:c r="E16" s="23">
        <x:v>158455359153</x:v>
      </x:c>
      <x:c r="F16" s="23">
        <x:v>170428984513</x:v>
      </x:c>
      <x:c r="G16" s="24" t="s">
        <x:v>65</x:v>
      </x:c>
      <x:c r="H16" s="24" t="s">
        <x:v>64</x:v>
      </x:c>
      <x:c r="I16" s="25">
        <x:v>1</x:v>
      </x:c>
      <x:c r="J16" s="26" t="s">
        <x:v>65</x:v>
      </x:c>
      <x:c r="K16" s="22">
        <x:f>IF(J16="","",IFERROR(INDEX('درخت جدید'!$C:$C,MATCH(J16&amp;"",'درخت جدید'!$B:$B,0)),"(ساخته می‌شود) "&amp;M16))</x:f>
      </x:c>
      <x:c r="L16" s="22">
        <x:f>IF(J16="",IF(D16&gt;0,"الزامی — تکمیل نشده",""),IF(AND(J16=G16,FALSE,N16=""),"تداخل: کد "&amp;J16&amp;" در برگهٔ درخت جدید با نام «"&amp;K16&amp;"» از قبل تعریف شده",IF(COUNTIFS('درخت جدید'!$B:$B,J16&amp;"",'درخت جدید'!$A:$A,"کل")=0,IF(M16="","کد در درخت نیست — نام برای تعریف را بنویسید","OK"),"OK")))</x:f>
      </x:c>
      <x:c r="M16" s="27">
        <x:f>IF(J16="","",IF(COUNTIFS('درخت جدید'!$B:$B,J16&amp;"",'درخت جدید'!$A:$A,"کل")=0,B16,""))</x:f>
      </x:c>
      <x:c r="N16" s="28"/>
    </x:row>
    <x:row r="17" spans="1:14">
      <x:c r="A17" s="21" t="s">
        <x:v>66</x:v>
      </x:c>
      <x:c r="B17" s="22" t="s">
        <x:v>67</x:v>
      </x:c>
      <x:c r="C17" s="22">
        <x:v>0</x:v>
      </x:c>
      <x:c r="D17" s="22">
        <x:v>0</x:v>
      </x:c>
      <x:c r="E17" s="23">
        <x:v>0</x:v>
      </x:c>
      <x:c r="F17" s="23">
        <x:v>0</x:v>
      </x:c>
      <x:c r="G17" s="24" t="s">
        <x:v>68</x:v>
      </x:c>
      <x:c r="H17" s="24" t="s">
        <x:v>69</x:v>
      </x:c>
      <x:c r="I17" s="25">
        <x:v>1</x:v>
      </x:c>
      <x:c r="J17" s="26" t="s">
        <x:v>68</x:v>
      </x:c>
      <x:c r="K17" s="22">
        <x:f>IF(J17="","",IFERROR(INDEX('درخت جدید'!$C:$C,MATCH(J17&amp;"",'درخت جدید'!$B:$B,0)),"(ساخته می‌شود) "&amp;M17))</x:f>
      </x:c>
      <x:c r="L17" s="22">
        <x:f>IF(J17="",IF(D17&gt;0,"الزامی — تکمیل نشده",""),IF(AND(J17=G17,FALSE,N17=""),"تداخل: کد "&amp;J17&amp;" در برگهٔ درخت جدید با نام «"&amp;K17&amp;"» از قبل تعریف شده",IF(COUNTIFS('درخت جدید'!$B:$B,J17&amp;"",'درخت جدید'!$A:$A,"کل")=0,IF(M17="","کد در درخت نیست — نام برای تعریف را بنویسید","OK"),"OK")))</x:f>
      </x:c>
      <x:c r="M17" s="27">
        <x:f>IF(J17="","",IF(COUNTIFS('درخت جدید'!$B:$B,J17&amp;"",'درخت جدید'!$A:$A,"کل")=0,B17,""))</x:f>
      </x:c>
      <x:c r="N17" s="28"/>
    </x:row>
    <x:row r="18" spans="1:14">
      <x:c r="A18" s="21" t="s">
        <x:v>70</x:v>
      </x:c>
      <x:c r="B18" s="22" t="s">
        <x:v>71</x:v>
      </x:c>
      <x:c r="C18" s="22">
        <x:v>38</x:v>
      </x:c>
      <x:c r="D18" s="22">
        <x:v>1329</x:v>
      </x:c>
      <x:c r="E18" s="23">
        <x:v>173880819594</x:v>
      </x:c>
      <x:c r="F18" s="23">
        <x:v>208711762819</x:v>
      </x:c>
      <x:c r="G18" s="24" t="s">
        <x:v>72</x:v>
      </x:c>
      <x:c r="H18" s="24" t="s">
        <x:v>71</x:v>
      </x:c>
      <x:c r="I18" s="25">
        <x:v>1</x:v>
      </x:c>
      <x:c r="J18" s="26" t="s">
        <x:v>72</x:v>
      </x:c>
      <x:c r="K18" s="22">
        <x:f>IF(J18="","",IFERROR(INDEX('درخت جدید'!$C:$C,MATCH(J18&amp;"",'درخت جدید'!$B:$B,0)),"(ساخته می‌شود) "&amp;M18))</x:f>
      </x:c>
      <x:c r="L18" s="22">
        <x:f>IF(J18="",IF(D18&gt;0,"الزامی — تکمیل نشده",""),IF(AND(J18=G18,FALSE,N18=""),"تداخل: کد "&amp;J18&amp;" در برگهٔ درخت جدید با نام «"&amp;K18&amp;"» از قبل تعریف شده",IF(COUNTIFS('درخت جدید'!$B:$B,J18&amp;"",'درخت جدید'!$A:$A,"کل")=0,IF(M18="","کد در درخت نیست — نام برای تعریف را بنویسید","OK"),"OK")))</x:f>
      </x:c>
      <x:c r="M18" s="27">
        <x:f>IF(J18="","",IF(COUNTIFS('درخت جدید'!$B:$B,J18&amp;"",'درخت جدید'!$A:$A,"کل")=0,B18,""))</x:f>
      </x:c>
      <x:c r="N18" s="28"/>
    </x:row>
    <x:row r="19" spans="1:14">
      <x:c r="A19" s="21" t="s">
        <x:v>73</x:v>
      </x:c>
      <x:c r="B19" s="22" t="s">
        <x:v>74</x:v>
      </x:c>
      <x:c r="C19" s="22">
        <x:v>1</x:v>
      </x:c>
      <x:c r="D19" s="22">
        <x:v>7</x:v>
      </x:c>
      <x:c r="E19" s="23">
        <x:v>526001</x:v>
      </x:c>
      <x:c r="F19" s="23">
        <x:v>67104000</x:v>
      </x:c>
      <x:c r="G19" s="24" t="s">
        <x:v>75</x:v>
      </x:c>
      <x:c r="H19" s="24" t="s">
        <x:v>76</x:v>
      </x:c>
      <x:c r="I19" s="25">
        <x:v>1</x:v>
      </x:c>
      <x:c r="J19" s="26" t="s">
        <x:v>75</x:v>
      </x:c>
      <x:c r="K19" s="22">
        <x:f>IF(J19="","",IFERROR(INDEX('درخت جدید'!$C:$C,MATCH(J19&amp;"",'درخت جدید'!$B:$B,0)),"(ساخته می‌شود) "&amp;M19))</x:f>
      </x:c>
      <x:c r="L19" s="22">
        <x:f>IF(J19="",IF(D19&gt;0,"الزامی — تکمیل نشده",""),IF(AND(J19=G19,FALSE,N19=""),"تداخل: کد "&amp;J19&amp;" در برگهٔ درخت جدید با نام «"&amp;K19&amp;"» از قبل تعریف شده",IF(COUNTIFS('درخت جدید'!$B:$B,J19&amp;"",'درخت جدید'!$A:$A,"کل")=0,IF(M19="","کد در درخت نیست — نام برای تعریف را بنویسید","OK"),"OK")))</x:f>
      </x:c>
      <x:c r="M19" s="27">
        <x:f>IF(J19="","",IF(COUNTIFS('درخت جدید'!$B:$B,J19&amp;"",'درخت جدید'!$A:$A,"کل")=0,B19,""))</x:f>
      </x:c>
      <x:c r="N19" s="28"/>
    </x:row>
    <x:row r="20" spans="1:14">
      <x:c r="A20" s="21" t="s">
        <x:v>77</x:v>
      </x:c>
      <x:c r="B20" s="22" t="s">
        <x:v>78</x:v>
      </x:c>
      <x:c r="C20" s="22">
        <x:v>0</x:v>
      </x:c>
      <x:c r="D20" s="22">
        <x:v>0</x:v>
      </x:c>
      <x:c r="E20" s="23">
        <x:v>0</x:v>
      </x:c>
      <x:c r="F20" s="23">
        <x:v>0</x:v>
      </x:c>
      <x:c r="G20" s="24" t="s">
        <x:v>79</x:v>
      </x:c>
      <x:c r="H20" s="24" t="s">
        <x:v>80</x:v>
      </x:c>
      <x:c r="I20" s="25">
        <x:v>1</x:v>
      </x:c>
      <x:c r="J20" s="26" t="s">
        <x:v>79</x:v>
      </x:c>
      <x:c r="K20" s="22">
        <x:f>IF(J20="","",IFERROR(INDEX('درخت جدید'!$C:$C,MATCH(J20&amp;"",'درخت جدید'!$B:$B,0)),"(ساخته می‌شود) "&amp;M20))</x:f>
      </x:c>
      <x:c r="L20" s="22">
        <x:f>IF(J20="",IF(D20&gt;0,"الزامی — تکمیل نشده",""),IF(AND(J20=G20,FALSE,N20=""),"تداخل: کد "&amp;J20&amp;" در برگهٔ درخت جدید با نام «"&amp;K20&amp;"» از قبل تعریف شده",IF(COUNTIFS('درخت جدید'!$B:$B,J20&amp;"",'درخت جدید'!$A:$A,"کل")=0,IF(M20="","کد در درخت نیست — نام برای تعریف را بنویسید","OK"),"OK")))</x:f>
      </x:c>
      <x:c r="M20" s="27">
        <x:f>IF(J20="","",IF(COUNTIFS('درخت جدید'!$B:$B,J20&amp;"",'درخت جدید'!$A:$A,"کل")=0,B20,""))</x:f>
      </x:c>
      <x:c r="N20" s="28"/>
    </x:row>
    <x:row r="21" spans="1:14">
      <x:c r="A21" s="21" t="s">
        <x:v>81</x:v>
      </x:c>
      <x:c r="B21" s="22" t="s">
        <x:v>82</x:v>
      </x:c>
      <x:c r="C21" s="22">
        <x:v>3</x:v>
      </x:c>
      <x:c r="D21" s="22">
        <x:v>539</x:v>
      </x:c>
      <x:c r="E21" s="23">
        <x:v>422399126189</x:v>
      </x:c>
      <x:c r="F21" s="23">
        <x:v>164665177292</x:v>
      </x:c>
      <x:c r="G21" s="24" t="s">
        <x:v>83</x:v>
      </x:c>
      <x:c r="H21" s="24" t="s">
        <x:v>84</x:v>
      </x:c>
      <x:c r="I21" s="25">
        <x:v>0.77</x:v>
      </x:c>
      <x:c r="J21" s="26" t="s">
        <x:v>83</x:v>
      </x:c>
      <x:c r="K21" s="22">
        <x:f>IF(J21="","",IFERROR(INDEX('درخت جدید'!$C:$C,MATCH(J21&amp;"",'درخت جدید'!$B:$B,0)),"(ساخته می‌شود) "&amp;M21))</x:f>
      </x:c>
      <x:c r="L21" s="22">
        <x:f>IF(J21="",IF(D21&gt;0,"الزامی — تکمیل نشده",""),IF(AND(J21=G21,FALSE,N21=""),"تداخل: کد "&amp;J21&amp;" در برگهٔ درخت جدید با نام «"&amp;K21&amp;"» از قبل تعریف شده",IF(COUNTIFS('درخت جدید'!$B:$B,J21&amp;"",'درخت جدید'!$A:$A,"کل")=0,IF(M21="","کد در درخت نیست — نام برای تعریف را بنویسید","OK"),"OK")))</x:f>
      </x:c>
      <x:c r="M21" s="27">
        <x:f>IF(J21="","",IF(COUNTIFS('درخت جدید'!$B:$B,J21&amp;"",'درخت جدید'!$A:$A,"کل")=0,B21,""))</x:f>
      </x:c>
      <x:c r="N21" s="28"/>
    </x:row>
    <x:row r="22" spans="1:14">
      <x:c r="A22" s="21" t="s">
        <x:v>85</x:v>
      </x:c>
      <x:c r="B22" s="22" t="s">
        <x:v>86</x:v>
      </x:c>
      <x:c r="C22" s="22">
        <x:v>3</x:v>
      </x:c>
      <x:c r="D22" s="22">
        <x:v>1</x:v>
      </x:c>
      <x:c r="E22" s="23">
        <x:v>0</x:v>
      </x:c>
      <x:c r="F22" s="23">
        <x:v>1</x:v>
      </x:c>
      <x:c r="G22" s="24" t="s">
        <x:v>87</x:v>
      </x:c>
      <x:c r="H22" s="24" t="s">
        <x:v>88</x:v>
      </x:c>
      <x:c r="I22" s="25">
        <x:v>0.67</x:v>
      </x:c>
      <x:c r="J22" s="26" t="s">
        <x:v>87</x:v>
      </x:c>
      <x:c r="K22" s="22">
        <x:f>IF(J22="","",IFERROR(INDEX('درخت جدید'!$C:$C,MATCH(J22&amp;"",'درخت جدید'!$B:$B,0)),"(ساخته می‌شود) "&amp;M22))</x:f>
      </x:c>
      <x:c r="L22" s="22">
        <x:f>IF(J22="",IF(D22&gt;0,"الزامی — تکمیل نشده",""),IF(AND(J22=G22,FALSE,N22=""),"تداخل: کد "&amp;J22&amp;" در برگهٔ درخت جدید با نام «"&amp;K22&amp;"» از قبل تعریف شده",IF(COUNTIFS('درخت جدید'!$B:$B,J22&amp;"",'درخت جدید'!$A:$A,"کل")=0,IF(M22="","کد در درخت نیست — نام برای تعریف را بنویسید","OK"),"OK")))</x:f>
      </x:c>
      <x:c r="M22" s="27">
        <x:f>IF(J22="","",IF(COUNTIFS('درخت جدید'!$B:$B,J22&amp;"",'درخت جدید'!$A:$A,"کل")=0,B22,""))</x:f>
      </x:c>
      <x:c r="N22" s="28"/>
    </x:row>
    <x:row r="23" spans="1:14">
      <x:c r="A23" s="21" t="s">
        <x:v>89</x:v>
      </x:c>
      <x:c r="B23" s="22" t="s">
        <x:v>90</x:v>
      </x:c>
      <x:c r="C23" s="22">
        <x:v>5</x:v>
      </x:c>
      <x:c r="D23" s="22">
        <x:v>0</x:v>
      </x:c>
      <x:c r="E23" s="23">
        <x:v>0</x:v>
      </x:c>
      <x:c r="F23" s="23">
        <x:v>0</x:v>
      </x:c>
      <x:c r="G23" s="24" t="s">
        <x:v>91</x:v>
      </x:c>
      <x:c r="H23" s="24" t="s">
        <x:v>92</x:v>
      </x:c>
      <x:c r="I23" s="25">
        <x:v>1</x:v>
      </x:c>
      <x:c r="J23" s="26" t="s">
        <x:v>91</x:v>
      </x:c>
      <x:c r="K23" s="22">
        <x:f>IF(J23="","",IFERROR(INDEX('درخت جدید'!$C:$C,MATCH(J23&amp;"",'درخت جدید'!$B:$B,0)),"(ساخته می‌شود) "&amp;M23))</x:f>
      </x:c>
      <x:c r="L23" s="22">
        <x:f>IF(J23="",IF(D23&gt;0,"الزامی — تکمیل نشده",""),IF(AND(J23=G23,FALSE,N23=""),"تداخل: کد "&amp;J23&amp;" در برگهٔ درخت جدید با نام «"&amp;K23&amp;"» از قبل تعریف شده",IF(COUNTIFS('درخت جدید'!$B:$B,J23&amp;"",'درخت جدید'!$A:$A,"کل")=0,IF(M23="","کد در درخت نیست — نام برای تعریف را بنویسید","OK"),"OK")))</x:f>
      </x:c>
      <x:c r="M23" s="27">
        <x:f>IF(J23="","",IF(COUNTIFS('درخت جدید'!$B:$B,J23&amp;"",'درخت جدید'!$A:$A,"کل")=0,B23,""))</x:f>
      </x:c>
      <x:c r="N23" s="28"/>
    </x:row>
    <x:row r="24" spans="1:14">
      <x:c r="A24" s="21" t="s">
        <x:v>93</x:v>
      </x:c>
      <x:c r="B24" s="22" t="s">
        <x:v>94</x:v>
      </x:c>
      <x:c r="C24" s="22">
        <x:v>2</x:v>
      </x:c>
      <x:c r="D24" s="22">
        <x:v>0</x:v>
      </x:c>
      <x:c r="E24" s="23">
        <x:v>0</x:v>
      </x:c>
      <x:c r="F24" s="23">
        <x:v>0</x:v>
      </x:c>
      <x:c r="G24" s="24" t="s">
        <x:v>95</x:v>
      </x:c>
      <x:c r="H24" s="24" t="s">
        <x:v>96</x:v>
      </x:c>
      <x:c r="I24" s="25">
        <x:v>0.86</x:v>
      </x:c>
      <x:c r="J24" s="26" t="s">
        <x:v>95</x:v>
      </x:c>
      <x:c r="K24" s="22">
        <x:f>IF(J24="","",IFERROR(INDEX('درخت جدید'!$C:$C,MATCH(J24&amp;"",'درخت جدید'!$B:$B,0)),"(ساخته می‌شود) "&amp;M24))</x:f>
      </x:c>
      <x:c r="L24" s="22">
        <x:f>IF(J24="",IF(D24&gt;0,"الزامی — تکمیل نشده",""),IF(AND(J24=G24,FALSE,N24=""),"تداخل: کد "&amp;J24&amp;" در برگهٔ درخت جدید با نام «"&amp;K24&amp;"» از قبل تعریف شده",IF(COUNTIFS('درخت جدید'!$B:$B,J24&amp;"",'درخت جدید'!$A:$A,"کل")=0,IF(M24="","کد در درخت نیست — نام برای تعریف را بنویسید","OK"),"OK")))</x:f>
      </x:c>
      <x:c r="M24" s="27">
        <x:f>IF(J24="","",IF(COUNTIFS('درخت جدید'!$B:$B,J24&amp;"",'درخت جدید'!$A:$A,"کل")=0,B24,""))</x:f>
      </x:c>
      <x:c r="N24" s="28"/>
    </x:row>
    <x:row r="25" spans="1:14">
      <x:c r="A25" s="21" t="s">
        <x:v>97</x:v>
      </x:c>
      <x:c r="B25" s="22" t="s">
        <x:v>98</x:v>
      </x:c>
      <x:c r="C25" s="22">
        <x:v>2</x:v>
      </x:c>
      <x:c r="D25" s="22">
        <x:v>2</x:v>
      </x:c>
      <x:c r="E25" s="23">
        <x:v>2020000</x:v>
      </x:c>
      <x:c r="F25" s="23">
        <x:v>2020000</x:v>
      </x:c>
      <x:c r="G25" s="24" t="s">
        <x:v>99</x:v>
      </x:c>
      <x:c r="H25" s="24" t="s">
        <x:v>100</x:v>
      </x:c>
      <x:c r="I25" s="25">
        <x:v>0.9</x:v>
      </x:c>
      <x:c r="J25" s="26" t="s">
        <x:v>99</x:v>
      </x:c>
      <x:c r="K25" s="22">
        <x:f>IF(J25="","",IFERROR(INDEX('درخت جدید'!$C:$C,MATCH(J25&amp;"",'درخت جدید'!$B:$B,0)),"(ساخته می‌شود) "&amp;M25))</x:f>
      </x:c>
      <x:c r="L25" s="22">
        <x:f>IF(J25="",IF(D25&gt;0,"الزامی — تکمیل نشده",""),IF(AND(J25=G25,FALSE,N25=""),"تداخل: کد "&amp;J25&amp;" در برگهٔ درخت جدید با نام «"&amp;K25&amp;"» از قبل تعریف شده",IF(COUNTIFS('درخت جدید'!$B:$B,J25&amp;"",'درخت جدید'!$A:$A,"کل")=0,IF(M25="","کد در درخت نیست — نام برای تعریف را بنویسید","OK"),"OK")))</x:f>
      </x:c>
      <x:c r="M25" s="27">
        <x:f>IF(J25="","",IF(COUNTIFS('درخت جدید'!$B:$B,J25&amp;"",'درخت جدید'!$A:$A,"کل")=0,B25,""))</x:f>
      </x:c>
      <x:c r="N25" s="28"/>
    </x:row>
    <x:row r="26" spans="1:14">
      <x:c r="A26" s="21" t="s">
        <x:v>101</x:v>
      </x:c>
      <x:c r="B26" s="22" t="s">
        <x:v>102</x:v>
      </x:c>
      <x:c r="C26" s="22">
        <x:v>16</x:v>
      </x:c>
      <x:c r="D26" s="22">
        <x:v>67</x:v>
      </x:c>
      <x:c r="E26" s="23">
        <x:v>1519259200</x:v>
      </x:c>
      <x:c r="F26" s="23">
        <x:v>1519259200</x:v>
      </x:c>
      <x:c r="G26" s="24" t="s">
        <x:v>103</x:v>
      </x:c>
      <x:c r="H26" s="24" t="s">
        <x:v>102</x:v>
      </x:c>
      <x:c r="I26" s="25">
        <x:v>1</x:v>
      </x:c>
      <x:c r="J26" s="26" t="s">
        <x:v>103</x:v>
      </x:c>
      <x:c r="K26" s="22">
        <x:f>IF(J26="","",IFERROR(INDEX('درخت جدید'!$C:$C,MATCH(J26&amp;"",'درخت جدید'!$B:$B,0)),"(ساخته می‌شود) "&amp;M26))</x:f>
      </x:c>
      <x:c r="L26" s="22">
        <x:f>IF(J26="",IF(D26&gt;0,"الزامی — تکمیل نشده",""),IF(AND(J26=G26,FALSE,N26=""),"تداخل: کد "&amp;J26&amp;" در برگهٔ درخت جدید با نام «"&amp;K26&amp;"» از قبل تعریف شده",IF(COUNTIFS('درخت جدید'!$B:$B,J26&amp;"",'درخت جدید'!$A:$A,"کل")=0,IF(M26="","کد در درخت نیست — نام برای تعریف را بنویسید","OK"),"OK")))</x:f>
      </x:c>
      <x:c r="M26" s="27">
        <x:f>IF(J26="","",IF(COUNTIFS('درخت جدید'!$B:$B,J26&amp;"",'درخت جدید'!$A:$A,"کل")=0,B26,""))</x:f>
      </x:c>
      <x:c r="N26" s="28"/>
    </x:row>
    <x:row r="27" spans="1:14">
      <x:c r="A27" s="21" t="s">
        <x:v>104</x:v>
      </x:c>
      <x:c r="B27" s="22" t="s">
        <x:v>105</x:v>
      </x:c>
      <x:c r="C27" s="22">
        <x:v>1</x:v>
      </x:c>
      <x:c r="D27" s="22">
        <x:v>0</x:v>
      </x:c>
      <x:c r="E27" s="23">
        <x:v>0</x:v>
      </x:c>
      <x:c r="F27" s="23">
        <x:v>0</x:v>
      </x:c>
      <x:c r="G27" s="24" t="s">
        <x:v>106</x:v>
      </x:c>
      <x:c r="H27" s="24" t="s">
        <x:v>17</x:v>
      </x:c>
      <x:c r="I27" s="25"/>
      <x:c r="J27" s="26" t="s">
        <x:v>106</x:v>
      </x:c>
      <x:c r="K27" s="22">
        <x:f>IF(J27="","",IFERROR(INDEX('درخت جدید'!$C:$C,MATCH(J27&amp;"",'درخت جدید'!$B:$B,0)),"(ساخته می‌شود) "&amp;M27))</x:f>
      </x:c>
      <x:c r="L27" s="22">
        <x:f>IF(J27="",IF(D27&gt;0,"الزامی — تکمیل نشده",""),IF(AND(J27=G27,FALSE,N27=""),"تداخل: کد "&amp;J27&amp;" در برگهٔ درخت جدید با نام «"&amp;K27&amp;"» از قبل تعریف شده",IF(COUNTIFS('درخت جدید'!$B:$B,J27&amp;"",'درخت جدید'!$A:$A,"کل")=0,IF(M27="","کد در درخت نیست — نام برای تعریف را بنویسید","OK"),"OK")))</x:f>
      </x:c>
      <x:c r="M27" s="27">
        <x:f>IF(J27="","",IF(COUNTIFS('درخت جدید'!$B:$B,J27&amp;"",'درخت جدید'!$A:$A,"کل")=0,B27,""))</x:f>
      </x:c>
      <x:c r="N27" s="28"/>
    </x:row>
    <x:row r="28" spans="1:14">
      <x:c r="A28" s="21" t="s">
        <x:v>107</x:v>
      </x:c>
      <x:c r="B28" s="22" t="s">
        <x:v>108</x:v>
      </x:c>
      <x:c r="C28" s="22">
        <x:v>0</x:v>
      </x:c>
      <x:c r="D28" s="22">
        <x:v>0</x:v>
      </x:c>
      <x:c r="E28" s="23">
        <x:v>0</x:v>
      </x:c>
      <x:c r="F28" s="23">
        <x:v>0</x:v>
      </x:c>
      <x:c r="G28" s="24" t="s">
        <x:v>109</x:v>
      </x:c>
      <x:c r="H28" s="24" t="s">
        <x:v>110</x:v>
      </x:c>
      <x:c r="I28" s="25">
        <x:v>0.76</x:v>
      </x:c>
      <x:c r="J28" s="26" t="s">
        <x:v>109</x:v>
      </x:c>
      <x:c r="K28" s="22">
        <x:f>IF(J28="","",IFERROR(INDEX('درخت جدید'!$C:$C,MATCH(J28&amp;"",'درخت جدید'!$B:$B,0)),"(ساخته می‌شود) "&amp;M28))</x:f>
      </x:c>
      <x:c r="L28" s="22">
        <x:f>IF(J28="",IF(D28&gt;0,"الزامی — تکمیل نشده",""),IF(AND(J28=G28,FALSE,N28=""),"تداخل: کد "&amp;J28&amp;" در برگهٔ درخت جدید با نام «"&amp;K28&amp;"» از قبل تعریف شده",IF(COUNTIFS('درخت جدید'!$B:$B,J28&amp;"",'درخت جدید'!$A:$A,"کل")=0,IF(M28="","کد در درخت نیست — نام برای تعریف را بنویسید","OK"),"OK")))</x:f>
      </x:c>
      <x:c r="M28" s="27">
        <x:f>IF(J28="","",IF(COUNTIFS('درخت جدید'!$B:$B,J28&amp;"",'درخت جدید'!$A:$A,"کل")=0,B28,""))</x:f>
      </x:c>
      <x:c r="N28" s="28"/>
    </x:row>
    <x:row r="29" spans="1:14">
      <x:c r="A29" s="21" t="s">
        <x:v>111</x:v>
      </x:c>
      <x:c r="B29" s="22" t="s">
        <x:v>112</x:v>
      </x:c>
      <x:c r="C29" s="22">
        <x:v>1</x:v>
      </x:c>
      <x:c r="D29" s="22">
        <x:v>0</x:v>
      </x:c>
      <x:c r="E29" s="23">
        <x:v>0</x:v>
      </x:c>
      <x:c r="F29" s="23">
        <x:v>0</x:v>
      </x:c>
      <x:c r="G29" s="24" t="s">
        <x:v>113</x:v>
      </x:c>
      <x:c r="H29" s="24" t="s">
        <x:v>114</x:v>
      </x:c>
      <x:c r="I29" s="25">
        <x:v>0.93</x:v>
      </x:c>
      <x:c r="J29" s="26" t="s">
        <x:v>113</x:v>
      </x:c>
      <x:c r="K29" s="22">
        <x:f>IF(J29="","",IFERROR(INDEX('درخت جدید'!$C:$C,MATCH(J29&amp;"",'درخت جدید'!$B:$B,0)),"(ساخته می‌شود) "&amp;M29))</x:f>
      </x:c>
      <x:c r="L29" s="22">
        <x:f>IF(J29="",IF(D29&gt;0,"الزامی — تکمیل نشده",""),IF(AND(J29=G29,FALSE,N29=""),"تداخل: کد "&amp;J29&amp;" در برگهٔ درخت جدید با نام «"&amp;K29&amp;"» از قبل تعریف شده",IF(COUNTIFS('درخت جدید'!$B:$B,J29&amp;"",'درخت جدید'!$A:$A,"کل")=0,IF(M29="","کد در درخت نیست — نام برای تعریف را بنویسید","OK"),"OK")))</x:f>
      </x:c>
      <x:c r="M29" s="27">
        <x:f>IF(J29="","",IF(COUNTIFS('درخت جدید'!$B:$B,J29&amp;"",'درخت جدید'!$A:$A,"کل")=0,B29,""))</x:f>
      </x:c>
      <x:c r="N29" s="28"/>
    </x:row>
    <x:row r="30" spans="1:14">
      <x:c r="A30" s="21" t="s">
        <x:v>115</x:v>
      </x:c>
      <x:c r="B30" s="22" t="s">
        <x:v>116</x:v>
      </x:c>
      <x:c r="C30" s="22">
        <x:v>5</x:v>
      </x:c>
      <x:c r="D30" s="22">
        <x:v>2</x:v>
      </x:c>
      <x:c r="E30" s="23">
        <x:v>27604800</x:v>
      </x:c>
      <x:c r="F30" s="23">
        <x:v>27604800</x:v>
      </x:c>
      <x:c r="G30" s="24" t="s">
        <x:v>117</x:v>
      </x:c>
      <x:c r="H30" s="24" t="s">
        <x:v>118</x:v>
      </x:c>
      <x:c r="I30" s="25">
        <x:v>1</x:v>
      </x:c>
      <x:c r="J30" s="26" t="s">
        <x:v>117</x:v>
      </x:c>
      <x:c r="K30" s="22">
        <x:f>IF(J30="","",IFERROR(INDEX('درخت جدید'!$C:$C,MATCH(J30&amp;"",'درخت جدید'!$B:$B,0)),"(ساخته می‌شود) "&amp;M30))</x:f>
      </x:c>
      <x:c r="L30" s="22">
        <x:f>IF(J30="",IF(D30&gt;0,"الزامی — تکمیل نشده",""),IF(AND(J30=G30,FALSE,N30=""),"تداخل: کد "&amp;J30&amp;" در برگهٔ درخت جدید با نام «"&amp;K30&amp;"» از قبل تعریف شده",IF(COUNTIFS('درخت جدید'!$B:$B,J30&amp;"",'درخت جدید'!$A:$A,"کل")=0,IF(M30="","کد در درخت نیست — نام برای تعریف را بنویسید","OK"),"OK")))</x:f>
      </x:c>
      <x:c r="M30" s="27">
        <x:f>IF(J30="","",IF(COUNTIFS('درخت جدید'!$B:$B,J30&amp;"",'درخت جدید'!$A:$A,"کل")=0,B30,""))</x:f>
      </x:c>
      <x:c r="N30" s="28"/>
    </x:row>
    <x:row r="31" spans="1:14">
      <x:c r="A31" s="21" t="s">
        <x:v>119</x:v>
      </x:c>
      <x:c r="B31" s="22" t="s">
        <x:v>120</x:v>
      </x:c>
      <x:c r="C31" s="22">
        <x:v>0</x:v>
      </x:c>
      <x:c r="D31" s="22">
        <x:v>0</x:v>
      </x:c>
      <x:c r="E31" s="23">
        <x:v>0</x:v>
      </x:c>
      <x:c r="F31" s="23">
        <x:v>0</x:v>
      </x:c>
      <x:c r="G31" s="24" t="s">
        <x:v>121</x:v>
      </x:c>
      <x:c r="H31" s="24" t="s">
        <x:v>122</x:v>
      </x:c>
      <x:c r="I31" s="25">
        <x:v>1</x:v>
      </x:c>
      <x:c r="J31" s="26" t="s">
        <x:v>121</x:v>
      </x:c>
      <x:c r="K31" s="22">
        <x:f>IF(J31="","",IFERROR(INDEX('درخت جدید'!$C:$C,MATCH(J31&amp;"",'درخت جدید'!$B:$B,0)),"(ساخته می‌شود) "&amp;M31))</x:f>
      </x:c>
      <x:c r="L31" s="22">
        <x:f>IF(J31="",IF(D31&gt;0,"الزامی — تکمیل نشده",""),IF(AND(J31=G31,FALSE,N31=""),"تداخل: کد "&amp;J31&amp;" در برگهٔ درخت جدید با نام «"&amp;K31&amp;"» از قبل تعریف شده",IF(COUNTIFS('درخت جدید'!$B:$B,J31&amp;"",'درخت جدید'!$A:$A,"کل")=0,IF(M31="","کد در درخت نیست — نام برای تعریف را بنویسید","OK"),"OK")))</x:f>
      </x:c>
      <x:c r="M31" s="27">
        <x:f>IF(J31="","",IF(COUNTIFS('درخت جدید'!$B:$B,J31&amp;"",'درخت جدید'!$A:$A,"کل")=0,B31,""))</x:f>
      </x:c>
      <x:c r="N31" s="28"/>
    </x:row>
    <x:row r="32" spans="1:14">
      <x:c r="A32" s="21" t="s">
        <x:v>123</x:v>
      </x:c>
      <x:c r="B32" s="22" t="s">
        <x:v>124</x:v>
      </x:c>
      <x:c r="C32" s="22">
        <x:v>0</x:v>
      </x:c>
      <x:c r="D32" s="22">
        <x:v>0</x:v>
      </x:c>
      <x:c r="E32" s="23">
        <x:v>0</x:v>
      </x:c>
      <x:c r="F32" s="23">
        <x:v>0</x:v>
      </x:c>
      <x:c r="G32" s="24" t="s">
        <x:v>125</x:v>
      </x:c>
      <x:c r="H32" s="24" t="s">
        <x:v>126</x:v>
      </x:c>
      <x:c r="I32" s="25">
        <x:v>0.07</x:v>
      </x:c>
      <x:c r="J32" s="26" t="s">
        <x:v>125</x:v>
      </x:c>
      <x:c r="K32" s="22">
        <x:f>IF(J32="","",IFERROR(INDEX('درخت جدید'!$C:$C,MATCH(J32&amp;"",'درخت جدید'!$B:$B,0)),"(ساخته می‌شود) "&amp;M32))</x:f>
      </x:c>
      <x:c r="L32" s="22">
        <x:f>IF(J32="",IF(D32&gt;0,"الزامی — تکمیل نشده",""),IF(AND(J32=G32,TRUE,N32=""),"تداخل: کد "&amp;J32&amp;" در برگهٔ درخت جدید با نام «"&amp;K32&amp;"» از قبل تعریف شده",IF(COUNTIFS('درخت جدید'!$B:$B,J32&amp;"",'درخت جدید'!$A:$A,"کل")=0,IF(M32="","کد در درخت نیست — نام برای تعریف را بنویسید","OK"),"OK")))</x:f>
      </x:c>
      <x:c r="M32" s="27">
        <x:f>IF(J32="","",IF(COUNTIFS('درخت جدید'!$B:$B,J32&amp;"",'درخت جدید'!$A:$A,"کل")=0,B32,""))</x:f>
      </x:c>
      <x:c r="N32" s="28"/>
    </x:row>
    <x:row r="33" spans="1:14">
      <x:c r="A33" s="21" t="s">
        <x:v>127</x:v>
      </x:c>
      <x:c r="B33" s="22" t="s">
        <x:v>128</x:v>
      </x:c>
      <x:c r="C33" s="22">
        <x:v>7</x:v>
      </x:c>
      <x:c r="D33" s="22">
        <x:v>253</x:v>
      </x:c>
      <x:c r="E33" s="23">
        <x:v>96753769413</x:v>
      </x:c>
      <x:c r="F33" s="23">
        <x:v>30468212042</x:v>
      </x:c>
      <x:c r="G33" s="24" t="s">
        <x:v>129</x:v>
      </x:c>
      <x:c r="H33" s="24" t="s">
        <x:v>130</x:v>
      </x:c>
      <x:c r="I33" s="25">
        <x:v>0.69</x:v>
      </x:c>
      <x:c r="J33" s="26" t="s">
        <x:v>129</x:v>
      </x:c>
      <x:c r="K33" s="22">
        <x:f>IF(J33="","",IFERROR(INDEX('درخت جدید'!$C:$C,MATCH(J33&amp;"",'درخت جدید'!$B:$B,0)),"(ساخته می‌شود) "&amp;M33))</x:f>
      </x:c>
      <x:c r="L33" s="22">
        <x:f>IF(J33="",IF(D33&gt;0,"الزامی — تکمیل نشده",""),IF(AND(J33=G33,FALSE,N33=""),"تداخل: کد "&amp;J33&amp;" در برگهٔ درخت جدید با نام «"&amp;K33&amp;"» از قبل تعریف شده",IF(COUNTIFS('درخت جدید'!$B:$B,J33&amp;"",'درخت جدید'!$A:$A,"کل")=0,IF(M33="","کد در درخت نیست — نام برای تعریف را بنویسید","OK"),"OK")))</x:f>
      </x:c>
      <x:c r="M33" s="27">
        <x:f>IF(J33="","",IF(COUNTIFS('درخت جدید'!$B:$B,J33&amp;"",'درخت جدید'!$A:$A,"کل")=0,B33,""))</x:f>
      </x:c>
      <x:c r="N33" s="28"/>
    </x:row>
    <x:row r="34" spans="1:14">
      <x:c r="A34" s="21" t="s">
        <x:v>131</x:v>
      </x:c>
      <x:c r="B34" s="22" t="s">
        <x:v>132</x:v>
      </x:c>
      <x:c r="C34" s="22">
        <x:v>5</x:v>
      </x:c>
      <x:c r="D34" s="22">
        <x:v>0</x:v>
      </x:c>
      <x:c r="E34" s="23">
        <x:v>0</x:v>
      </x:c>
      <x:c r="F34" s="23">
        <x:v>0</x:v>
      </x:c>
      <x:c r="G34" s="24" t="s">
        <x:v>133</x:v>
      </x:c>
      <x:c r="H34" s="24" t="s">
        <x:v>134</x:v>
      </x:c>
      <x:c r="I34" s="25">
        <x:v>0.42</x:v>
      </x:c>
      <x:c r="J34" s="26" t="s">
        <x:v>133</x:v>
      </x:c>
      <x:c r="K34" s="22">
        <x:f>IF(J34="","",IFERROR(INDEX('درخت جدید'!$C:$C,MATCH(J34&amp;"",'درخت جدید'!$B:$B,0)),"(ساخته می‌شود) "&amp;M34))</x:f>
      </x:c>
      <x:c r="L34" s="22">
        <x:f>IF(J34="",IF(D34&gt;0,"الزامی — تکمیل نشده",""),IF(AND(J34=G34,TRUE,N34=""),"تداخل: کد "&amp;J34&amp;" در برگهٔ درخت جدید با نام «"&amp;K34&amp;"» از قبل تعریف شده",IF(COUNTIFS('درخت جدید'!$B:$B,J34&amp;"",'درخت جدید'!$A:$A,"کل")=0,IF(M34="","کد در درخت نیست — نام برای تعریف را بنویسید","OK"),"OK")))</x:f>
      </x:c>
      <x:c r="M34" s="27">
        <x:f>IF(J34="","",IF(COUNTIFS('درخت جدید'!$B:$B,J34&amp;"",'درخت جدید'!$A:$A,"کل")=0,B34,""))</x:f>
      </x:c>
      <x:c r="N34" s="28"/>
    </x:row>
    <x:row r="35" spans="1:14">
      <x:c r="A35" s="21" t="s">
        <x:v>135</x:v>
      </x:c>
      <x:c r="B35" s="22" t="s">
        <x:v>136</x:v>
      </x:c>
      <x:c r="C35" s="22">
        <x:v>4</x:v>
      </x:c>
      <x:c r="D35" s="22">
        <x:v>261</x:v>
      </x:c>
      <x:c r="E35" s="23">
        <x:v>100021575864514</x:v>
      </x:c>
      <x:c r="F35" s="23">
        <x:v>27650560337</x:v>
      </x:c>
      <x:c r="G35" s="24" t="s">
        <x:v>137</x:v>
      </x:c>
      <x:c r="H35" s="24" t="s">
        <x:v>136</x:v>
      </x:c>
      <x:c r="I35" s="25">
        <x:v>1</x:v>
      </x:c>
      <x:c r="J35" s="26" t="s">
        <x:v>137</x:v>
      </x:c>
      <x:c r="K35" s="22">
        <x:f>IF(J35="","",IFERROR(INDEX('درخت جدید'!$C:$C,MATCH(J35&amp;"",'درخت جدید'!$B:$B,0)),"(ساخته می‌شود) "&amp;M35))</x:f>
      </x:c>
      <x:c r="L35" s="22">
        <x:f>IF(J35="",IF(D35&gt;0,"الزامی — تکمیل نشده",""),IF(AND(J35=G35,FALSE,N35=""),"تداخل: کد "&amp;J35&amp;" در برگهٔ درخت جدید با نام «"&amp;K35&amp;"» از قبل تعریف شده",IF(COUNTIFS('درخت جدید'!$B:$B,J35&amp;"",'درخت جدید'!$A:$A,"کل")=0,IF(M35="","کد در درخت نیست — نام برای تعریف را بنویسید","OK"),"OK")))</x:f>
      </x:c>
      <x:c r="M35" s="27">
        <x:f>IF(J35="","",IF(COUNTIFS('درخت جدید'!$B:$B,J35&amp;"",'درخت جدید'!$A:$A,"کل")=0,B35,""))</x:f>
      </x:c>
      <x:c r="N35" s="28"/>
    </x:row>
    <x:row r="36" spans="1:14">
      <x:c r="A36" s="21" t="s">
        <x:v>138</x:v>
      </x:c>
      <x:c r="B36" s="22" t="s">
        <x:v>139</x:v>
      </x:c>
      <x:c r="C36" s="22">
        <x:v>43</x:v>
      </x:c>
      <x:c r="D36" s="22">
        <x:v>895</x:v>
      </x:c>
      <x:c r="E36" s="23">
        <x:v>113821287187</x:v>
      </x:c>
      <x:c r="F36" s="23">
        <x:v>130682642561</x:v>
      </x:c>
      <x:c r="G36" s="24" t="s">
        <x:v>140</x:v>
      </x:c>
      <x:c r="H36" s="24" t="s">
        <x:v>141</x:v>
      </x:c>
      <x:c r="I36" s="25">
        <x:v>1</x:v>
      </x:c>
      <x:c r="J36" s="26" t="s">
        <x:v>140</x:v>
      </x:c>
      <x:c r="K36" s="22">
        <x:f>IF(J36="","",IFERROR(INDEX('درخت جدید'!$C:$C,MATCH(J36&amp;"",'درخت جدید'!$B:$B,0)),"(ساخته می‌شود) "&amp;M36))</x:f>
      </x:c>
      <x:c r="L36" s="22">
        <x:f>IF(J36="",IF(D36&gt;0,"الزامی — تکمیل نشده",""),IF(AND(J36=G36,FALSE,N36=""),"تداخل: کد "&amp;J36&amp;" در برگهٔ درخت جدید با نام «"&amp;K36&amp;"» از قبل تعریف شده",IF(COUNTIFS('درخت جدید'!$B:$B,J36&amp;"",'درخت جدید'!$A:$A,"کل")=0,IF(M36="","کد در درخت نیست — نام برای تعریف را بنویسید","OK"),"OK")))</x:f>
      </x:c>
      <x:c r="M36" s="27">
        <x:f>IF(J36="","",IF(COUNTIFS('درخت جدید'!$B:$B,J36&amp;"",'درخت جدید'!$A:$A,"کل")=0,B36,""))</x:f>
      </x:c>
      <x:c r="N36" s="28"/>
    </x:row>
    <x:row r="37" spans="1:14">
      <x:c r="A37" s="21" t="s">
        <x:v>142</x:v>
      </x:c>
      <x:c r="B37" s="22" t="s">
        <x:v>143</x:v>
      </x:c>
      <x:c r="C37" s="22">
        <x:v>33</x:v>
      </x:c>
      <x:c r="D37" s="22">
        <x:v>673</x:v>
      </x:c>
      <x:c r="E37" s="23">
        <x:v>18903956863</x:v>
      </x:c>
      <x:c r="F37" s="23">
        <x:v>21341488084</x:v>
      </x:c>
      <x:c r="G37" s="24" t="s">
        <x:v>144</x:v>
      </x:c>
      <x:c r="H37" s="24" t="s">
        <x:v>145</x:v>
      </x:c>
      <x:c r="I37" s="25">
        <x:v>1</x:v>
      </x:c>
      <x:c r="J37" s="26" t="s">
        <x:v>144</x:v>
      </x:c>
      <x:c r="K37" s="22">
        <x:f>IF(J37="","",IFERROR(INDEX('درخت جدید'!$C:$C,MATCH(J37&amp;"",'درخت جدید'!$B:$B,0)),"(ساخته می‌شود) "&amp;M37))</x:f>
      </x:c>
      <x:c r="L37" s="22">
        <x:f>IF(J37="",IF(D37&gt;0,"الزامی — تکمیل نشده",""),IF(AND(J37=G37,FALSE,N37=""),"تداخل: کد "&amp;J37&amp;" در برگهٔ درخت جدید با نام «"&amp;K37&amp;"» از قبل تعریف شده",IF(COUNTIFS('درخت جدید'!$B:$B,J37&amp;"",'درخت جدید'!$A:$A,"کل")=0,IF(M37="","کد در درخت نیست — نام برای تعریف را بنویسید","OK"),"OK")))</x:f>
      </x:c>
      <x:c r="M37" s="27">
        <x:f>IF(J37="","",IF(COUNTIFS('درخت جدید'!$B:$B,J37&amp;"",'درخت جدید'!$A:$A,"کل")=0,B37,""))</x:f>
      </x:c>
      <x:c r="N37" s="28"/>
    </x:row>
    <x:row r="38" spans="1:14">
      <x:c r="A38" s="21" t="s">
        <x:v>146</x:v>
      </x:c>
      <x:c r="B38" s="22" t="s">
        <x:v>147</x:v>
      </x:c>
      <x:c r="C38" s="22">
        <x:v>1</x:v>
      </x:c>
      <x:c r="D38" s="22">
        <x:v>0</x:v>
      </x:c>
      <x:c r="E38" s="23">
        <x:v>0</x:v>
      </x:c>
      <x:c r="F38" s="23">
        <x:v>0</x:v>
      </x:c>
      <x:c r="G38" s="24" t="s">
        <x:v>148</x:v>
      </x:c>
      <x:c r="H38" s="24" t="s">
        <x:v>17</x:v>
      </x:c>
      <x:c r="I38" s="25"/>
      <x:c r="J38" s="26" t="s">
        <x:v>148</x:v>
      </x:c>
      <x:c r="K38" s="22">
        <x:f>IF(J38="","",IFERROR(INDEX('درخت جدید'!$C:$C,MATCH(J38&amp;"",'درخت جدید'!$B:$B,0)),"(ساخته می‌شود) "&amp;M38))</x:f>
      </x:c>
      <x:c r="L38" s="22">
        <x:f>IF(J38="",IF(D38&gt;0,"الزامی — تکمیل نشده",""),IF(AND(J38=G38,FALSE,N38=""),"تداخل: کد "&amp;J38&amp;" در برگهٔ درخت جدید با نام «"&amp;K38&amp;"» از قبل تعریف شده",IF(COUNTIFS('درخت جدید'!$B:$B,J38&amp;"",'درخت جدید'!$A:$A,"کل")=0,IF(M38="","کد در درخت نیست — نام برای تعریف را بنویسید","OK"),"OK")))</x:f>
      </x:c>
      <x:c r="M38" s="27">
        <x:f>IF(J38="","",IF(COUNTIFS('درخت جدید'!$B:$B,J38&amp;"",'درخت جدید'!$A:$A,"کل")=0,B38,""))</x:f>
      </x:c>
      <x:c r="N38" s="28"/>
    </x:row>
    <x:row r="39" spans="1:14">
      <x:c r="A39" s="21" t="s">
        <x:v>149</x:v>
      </x:c>
      <x:c r="B39" s="22" t="s">
        <x:v>150</x:v>
      </x:c>
      <x:c r="C39" s="22">
        <x:v>1</x:v>
      </x:c>
      <x:c r="D39" s="22">
        <x:v>228</x:v>
      </x:c>
      <x:c r="E39" s="23">
        <x:v>204299612859</x:v>
      </x:c>
      <x:c r="F39" s="23">
        <x:v>430218235810</x:v>
      </x:c>
      <x:c r="G39" s="24" t="s">
        <x:v>151</x:v>
      </x:c>
      <x:c r="H39" s="24" t="s">
        <x:v>150</x:v>
      </x:c>
      <x:c r="I39" s="25">
        <x:v>1</x:v>
      </x:c>
      <x:c r="J39" s="26" t="s">
        <x:v>151</x:v>
      </x:c>
      <x:c r="K39" s="22">
        <x:f>IF(J39="","",IFERROR(INDEX('درخت جدید'!$C:$C,MATCH(J39&amp;"",'درخت جدید'!$B:$B,0)),"(ساخته می‌شود) "&amp;M39))</x:f>
      </x:c>
      <x:c r="L39" s="22">
        <x:f>IF(J39="",IF(D39&gt;0,"الزامی — تکمیل نشده",""),IF(AND(J39=G39,FALSE,N39=""),"تداخل: کد "&amp;J39&amp;" در برگهٔ درخت جدید با نام «"&amp;K39&amp;"» از قبل تعریف شده",IF(COUNTIFS('درخت جدید'!$B:$B,J39&amp;"",'درخت جدید'!$A:$A,"کل")=0,IF(M39="","کد در درخت نیست — نام برای تعریف را بنویسید","OK"),"OK")))</x:f>
      </x:c>
      <x:c r="M39" s="27">
        <x:f>IF(J39="","",IF(COUNTIFS('درخت جدید'!$B:$B,J39&amp;"",'درخت جدید'!$A:$A,"کل")=0,B39,""))</x:f>
      </x:c>
      <x:c r="N39" s="28"/>
    </x:row>
    <x:row r="40" spans="1:14">
      <x:c r="A40" s="21" t="s">
        <x:v>152</x:v>
      </x:c>
      <x:c r="B40" s="22" t="s">
        <x:v>153</x:v>
      </x:c>
      <x:c r="C40" s="22">
        <x:v>8</x:v>
      </x:c>
      <x:c r="D40" s="22">
        <x:v>385</x:v>
      </x:c>
      <x:c r="E40" s="23">
        <x:v>50333346920</x:v>
      </x:c>
      <x:c r="F40" s="23">
        <x:v>68531430419</x:v>
      </x:c>
      <x:c r="G40" s="24" t="s">
        <x:v>154</x:v>
      </x:c>
      <x:c r="H40" s="24" t="s">
        <x:v>153</x:v>
      </x:c>
      <x:c r="I40" s="25">
        <x:v>1</x:v>
      </x:c>
      <x:c r="J40" s="26" t="s">
        <x:v>154</x:v>
      </x:c>
      <x:c r="K40" s="22">
        <x:f>IF(J40="","",IFERROR(INDEX('درخت جدید'!$C:$C,MATCH(J40&amp;"",'درخت جدید'!$B:$B,0)),"(ساخته می‌شود) "&amp;M40))</x:f>
      </x:c>
      <x:c r="L40" s="22">
        <x:f>IF(J40="",IF(D40&gt;0,"الزامی — تکمیل نشده",""),IF(AND(J40=G40,FALSE,N40=""),"تداخل: کد "&amp;J40&amp;" در برگهٔ درخت جدید با نام «"&amp;K40&amp;"» از قبل تعریف شده",IF(COUNTIFS('درخت جدید'!$B:$B,J40&amp;"",'درخت جدید'!$A:$A,"کل")=0,IF(M40="","کد در درخت نیست — نام برای تعریف را بنویسید","OK"),"OK")))</x:f>
      </x:c>
      <x:c r="M40" s="27">
        <x:f>IF(J40="","",IF(COUNTIFS('درخت جدید'!$B:$B,J40&amp;"",'درخت جدید'!$A:$A,"کل")=0,B40,""))</x:f>
      </x:c>
      <x:c r="N40" s="28"/>
    </x:row>
    <x:row r="41" spans="1:14">
      <x:c r="A41" s="21" t="s">
        <x:v>155</x:v>
      </x:c>
      <x:c r="B41" s="22" t="s">
        <x:v>156</x:v>
      </x:c>
      <x:c r="C41" s="22">
        <x:v>6</x:v>
      </x:c>
      <x:c r="D41" s="22">
        <x:v>1</x:v>
      </x:c>
      <x:c r="E41" s="23">
        <x:v>178102618188</x:v>
      </x:c>
      <x:c r="F41" s="23">
        <x:v>0</x:v>
      </x:c>
      <x:c r="G41" s="24" t="s">
        <x:v>157</x:v>
      </x:c>
      <x:c r="H41" s="24" t="s">
        <x:v>156</x:v>
      </x:c>
      <x:c r="I41" s="25">
        <x:v>1</x:v>
      </x:c>
      <x:c r="J41" s="26" t="s">
        <x:v>157</x:v>
      </x:c>
      <x:c r="K41" s="22">
        <x:f>IF(J41="","",IFERROR(INDEX('درخت جدید'!$C:$C,MATCH(J41&amp;"",'درخت جدید'!$B:$B,0)),"(ساخته می‌شود) "&amp;M41))</x:f>
      </x:c>
      <x:c r="L41" s="22">
        <x:f>IF(J41="",IF(D41&gt;0,"الزامی — تکمیل نشده",""),IF(AND(J41=G41,FALSE,N41=""),"تداخل: کد "&amp;J41&amp;" در برگهٔ درخت جدید با نام «"&amp;K41&amp;"» از قبل تعریف شده",IF(COUNTIFS('درخت جدید'!$B:$B,J41&amp;"",'درخت جدید'!$A:$A,"کل")=0,IF(M41="","کد در درخت نیست — نام برای تعریف را بنویسید","OK"),"OK")))</x:f>
      </x:c>
      <x:c r="M41" s="27">
        <x:f>IF(J41="","",IF(COUNTIFS('درخت جدید'!$B:$B,J41&amp;"",'درخت جدید'!$A:$A,"کل")=0,B41,""))</x:f>
      </x:c>
      <x:c r="N41" s="28"/>
    </x:row>
    <x:row r="42" spans="1:14">
      <x:c r="A42" s="21" t="s">
        <x:v>158</x:v>
      </x:c>
      <x:c r="B42" s="22" t="s">
        <x:v>159</x:v>
      </x:c>
      <x:c r="C42" s="22">
        <x:v>9</x:v>
      </x:c>
      <x:c r="D42" s="22">
        <x:v>54</x:v>
      </x:c>
      <x:c r="E42" s="23">
        <x:v>1299160000</x:v>
      </x:c>
      <x:c r="F42" s="23">
        <x:v>151629553395</x:v>
      </x:c>
      <x:c r="G42" s="24" t="s">
        <x:v>160</x:v>
      </x:c>
      <x:c r="H42" s="24" t="s">
        <x:v>161</x:v>
      </x:c>
      <x:c r="I42" s="25">
        <x:v>1</x:v>
      </x:c>
      <x:c r="J42" s="26" t="s">
        <x:v>160</x:v>
      </x:c>
      <x:c r="K42" s="22">
        <x:f>IF(J42="","",IFERROR(INDEX('درخت جدید'!$C:$C,MATCH(J42&amp;"",'درخت جدید'!$B:$B,0)),"(ساخته می‌شود) "&amp;M42))</x:f>
      </x:c>
      <x:c r="L42" s="22">
        <x:f>IF(J42="",IF(D42&gt;0,"الزامی — تکمیل نشده",""),IF(AND(J42=G42,FALSE,N42=""),"تداخل: کد "&amp;J42&amp;" در برگهٔ درخت جدید با نام «"&amp;K42&amp;"» از قبل تعریف شده",IF(COUNTIFS('درخت جدید'!$B:$B,J42&amp;"",'درخت جدید'!$A:$A,"کل")=0,IF(M42="","کد در درخت نیست — نام برای تعریف را بنویسید","OK"),"OK")))</x:f>
      </x:c>
      <x:c r="M42" s="27">
        <x:f>IF(J42="","",IF(COUNTIFS('درخت جدید'!$B:$B,J42&amp;"",'درخت جدید'!$A:$A,"کل")=0,B42,""))</x:f>
      </x:c>
      <x:c r="N42" s="28"/>
    </x:row>
    <x:row r="43" spans="1:14">
      <x:c r="A43" s="21" t="s">
        <x:v>162</x:v>
      </x:c>
      <x:c r="B43" s="22" t="s">
        <x:v>163</x:v>
      </x:c>
      <x:c r="C43" s="22">
        <x:v>11</x:v>
      </x:c>
      <x:c r="D43" s="22">
        <x:v>15</x:v>
      </x:c>
      <x:c r="E43" s="23">
        <x:v>143941133</x:v>
      </x:c>
      <x:c r="F43" s="23">
        <x:v>575764532</x:v>
      </x:c>
      <x:c r="G43" s="24" t="s">
        <x:v>164</x:v>
      </x:c>
      <x:c r="H43" s="24" t="s">
        <x:v>165</x:v>
      </x:c>
      <x:c r="I43" s="25">
        <x:v>0.55</x:v>
      </x:c>
      <x:c r="J43" s="26" t="s">
        <x:v>164</x:v>
      </x:c>
      <x:c r="K43" s="22">
        <x:f>IF(J43="","",IFERROR(INDEX('درخت جدید'!$C:$C,MATCH(J43&amp;"",'درخت جدید'!$B:$B,0)),"(ساخته می‌شود) "&amp;M43))</x:f>
      </x:c>
      <x:c r="L43" s="22">
        <x:f>IF(J43="",IF(D43&gt;0,"الزامی — تکمیل نشده",""),IF(AND(J43=G43,TRUE,N43=""),"تداخل: کد "&amp;J43&amp;" در برگهٔ درخت جدید با نام «"&amp;K43&amp;"» از قبل تعریف شده",IF(COUNTIFS('درخت جدید'!$B:$B,J43&amp;"",'درخت جدید'!$A:$A,"کل")=0,IF(M43="","کد در درخت نیست — نام برای تعریف را بنویسید","OK"),"OK")))</x:f>
      </x:c>
      <x:c r="M43" s="27">
        <x:f>IF(J43="","",IF(COUNTIFS('درخت جدید'!$B:$B,J43&amp;"",'درخت جدید'!$A:$A,"کل")=0,B43,""))</x:f>
      </x:c>
      <x:c r="N43" s="28"/>
    </x:row>
    <x:row r="44" spans="1:14">
      <x:c r="A44" s="21" t="s">
        <x:v>166</x:v>
      </x:c>
      <x:c r="B44" s="22" t="s">
        <x:v>167</x:v>
      </x:c>
      <x:c r="C44" s="22">
        <x:v>11</x:v>
      </x:c>
      <x:c r="D44" s="22">
        <x:v>15</x:v>
      </x:c>
      <x:c r="E44" s="23">
        <x:v>575764532</x:v>
      </x:c>
      <x:c r="F44" s="23">
        <x:v>143941133</x:v>
      </x:c>
      <x:c r="G44" s="24" t="s">
        <x:v>168</x:v>
      </x:c>
      <x:c r="H44" s="24" t="s">
        <x:v>169</x:v>
      </x:c>
      <x:c r="I44" s="25">
        <x:v>0.59</x:v>
      </x:c>
      <x:c r="J44" s="26" t="s">
        <x:v>168</x:v>
      </x:c>
      <x:c r="K44" s="22">
        <x:f>IF(J44="","",IFERROR(INDEX('درخت جدید'!$C:$C,MATCH(J44&amp;"",'درخت جدید'!$B:$B,0)),"(ساخته می‌شود) "&amp;M44))</x:f>
      </x:c>
      <x:c r="L44" s="22">
        <x:f>IF(J44="",IF(D44&gt;0,"الزامی — تکمیل نشده",""),IF(AND(J44=G44,TRUE,N44=""),"تداخل: کد "&amp;J44&amp;" در برگهٔ درخت جدید با نام «"&amp;K44&amp;"» از قبل تعریف شده",IF(COUNTIFS('درخت جدید'!$B:$B,J44&amp;"",'درخت جدید'!$A:$A,"کل")=0,IF(M44="","کد در درخت نیست — نام برای تعریف را بنویسید","OK"),"OK")))</x:f>
      </x:c>
      <x:c r="M44" s="27">
        <x:f>IF(J44="","",IF(COUNTIFS('درخت جدید'!$B:$B,J44&amp;"",'درخت جدید'!$A:$A,"کل")=0,B44,""))</x:f>
      </x:c>
      <x:c r="N44" s="28"/>
    </x:row>
    <x:row r="45" spans="1:14">
      <x:c r="A45" s="21" t="s">
        <x:v>170</x:v>
      </x:c>
      <x:c r="B45" s="22" t="s">
        <x:v>171</x:v>
      </x:c>
      <x:c r="C45" s="22">
        <x:v>0</x:v>
      </x:c>
      <x:c r="D45" s="22">
        <x:v>0</x:v>
      </x:c>
      <x:c r="E45" s="23">
        <x:v>0</x:v>
      </x:c>
      <x:c r="F45" s="23">
        <x:v>0</x:v>
      </x:c>
      <x:c r="G45" s="24" t="s">
        <x:v>172</x:v>
      </x:c>
      <x:c r="H45" s="24" t="s">
        <x:v>173</x:v>
      </x:c>
      <x:c r="I45" s="25">
        <x:v>1</x:v>
      </x:c>
      <x:c r="J45" s="26" t="s">
        <x:v>172</x:v>
      </x:c>
      <x:c r="K45" s="22">
        <x:f>IF(J45="","",IFERROR(INDEX('درخت جدید'!$C:$C,MATCH(J45&amp;"",'درخت جدید'!$B:$B,0)),"(ساخته می‌شود) "&amp;M45))</x:f>
      </x:c>
      <x:c r="L45" s="22">
        <x:f>IF(J45="",IF(D45&gt;0,"الزامی — تکمیل نشده",""),IF(AND(J45=G45,FALSE,N45=""),"تداخل: کد "&amp;J45&amp;" در برگهٔ درخت جدید با نام «"&amp;K45&amp;"» از قبل تعریف شده",IF(COUNTIFS('درخت جدید'!$B:$B,J45&amp;"",'درخت جدید'!$A:$A,"کل")=0,IF(M45="","کد در درخت نیست — نام برای تعریف را بنویسید","OK"),"OK")))</x:f>
      </x:c>
      <x:c r="M45" s="27">
        <x:f>IF(J45="","",IF(COUNTIFS('درخت جدید'!$B:$B,J45&amp;"",'درخت جدید'!$A:$A,"کل")=0,B45,""))</x:f>
      </x:c>
      <x:c r="N45" s="28"/>
    </x:row>
    <x:row r="46" spans="1:14">
      <x:c r="A46" s="29" t="s">
        <x:v>174</x:v>
      </x:c>
      <x:c r="B46" s="30" t="s">
        <x:v>175</x:v>
      </x:c>
      <x:c r="C46" s="30">
        <x:v>0</x:v>
      </x:c>
      <x:c r="D46" s="30">
        <x:v>0</x:v>
      </x:c>
      <x:c r="E46" s="31">
        <x:v>0</x:v>
      </x:c>
      <x:c r="F46" s="31">
        <x:v>0</x:v>
      </x:c>
      <x:c r="G46" s="32" t="s">
        <x:v>176</x:v>
      </x:c>
      <x:c r="H46" s="32" t="s">
        <x:v>177</x:v>
      </x:c>
      <x:c r="I46" s="33">
        <x:v>1</x:v>
      </x:c>
      <x:c r="J46" s="34" t="s">
        <x:v>176</x:v>
      </x:c>
      <x:c r="K46" s="30">
        <x:f>IF(J46="","",IFERROR(INDEX('درخت جدید'!$C:$C,MATCH(J46&amp;"",'درخت جدید'!$B:$B,0)),"(ساخته می‌شود) "&amp;M46))</x:f>
      </x:c>
      <x:c r="L46" s="30">
        <x:f>IF(J46="",IF(D46&gt;0,"الزامی — تکمیل نشده",""),IF(AND(J46=G46,FALSE,N46=""),"تداخل: کد "&amp;J46&amp;" در برگهٔ درخت جدید با نام «"&amp;K46&amp;"» از قبل تعریف شده",IF(COUNTIFS('درخت جدید'!$B:$B,J46&amp;"",'درخت جدید'!$A:$A,"کل")=0,IF(M46="","کد در درخت نیست — نام برای تعریف را بنویسید","OK"),"OK")))</x:f>
      </x:c>
      <x:c r="M46" s="35">
        <x:f>IF(J46="","",IF(COUNTIFS('درخت جدید'!$B:$B,J46&amp;"",'درخت جدید'!$A:$A,"کل")=0,B46,""))</x:f>
      </x:c>
      <x:c r="N46" s="36"/>
    </x:row>
  </x:sheetData>
  <x:autoFilter ref="A1:N46"/>
  <x:conditionalFormatting sqref="L2:L46">
    <x:cfRule type="cellIs" dxfId="0" priority="1" operator="equal">
      <x:formula>"OK"</x:formula>
    </x:cfRule>
    <x:cfRule type="notContainsBlanks" dxfId="1" priority="2">
      <x:formula>LEN(TRIM(L2))&gt;0</x:formula>
    </x:cfRule>
  </x:conditionalFormatting>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313"/>
  <x:sheetViews>
    <x:sheetView rightToLeft="1" workbookViewId="0">
      <x:pane xSplit="0" ySplit="1" topLeftCell="A2" activePane="bottomLeft" state="frozenSplit"/>
    </x:sheetView>
  </x:sheetViews>
  <x:sheetFormatPr defaultRowHeight="15"/>
  <x:cols>
    <x:col min="25" max="16384" width="9.140625" style="1" customWidth="1"/>
    <x:col min="1" max="2" width="7.710625" style="1" customWidth="1"/>
    <x:col min="3" max="3" width="24.710625" style="1" customWidth="1"/>
    <x:col min="4" max="4" width="34.710625" style="1" customWidth="1"/>
    <x:col min="5" max="6" width="8.710625" style="1" customWidth="1"/>
    <x:col min="7" max="7" width="7.710625" style="1" customWidth="1"/>
    <x:col min="8" max="9" width="8.710625" style="1" customWidth="1"/>
    <x:col min="10" max="10" width="9.710625" style="1" customWidth="1"/>
    <x:col min="11" max="13" width="17.710625" style="1" customWidth="1"/>
    <x:col min="14" max="14" width="7.710625" style="1" customWidth="1"/>
    <x:col min="15" max="15" width="10.710625" style="1" customWidth="1"/>
    <x:col min="16" max="16" width="11.710625" style="1" customWidth="1"/>
    <x:col min="17" max="17" width="30.710625" style="1" customWidth="1"/>
    <x:col min="18" max="18" width="8.710625" style="1" customWidth="1"/>
    <x:col min="19" max="19" width="12.710625" style="1" customWidth="1"/>
    <x:col min="20" max="21" width="30.710625" style="1" customWidth="1"/>
    <x:col min="22" max="22" width="26.710625" style="1" customWidth="1"/>
    <x:col min="23" max="23" width="30.710625" style="1" customWidth="1"/>
    <x:col min="24" max="24" width="14.710625" style="1" customWidth="1"/>
  </x:cols>
  <x:sheetData>
    <x:row r="1" spans="1:24" ht="45" customHeight="1">
      <x:c r="A1" s="11" t="s">
        <x:v>0</x:v>
      </x:c>
      <x:c r="B1" s="11" t="s">
        <x:v>178</x:v>
      </x:c>
      <x:c r="C1" s="11" t="s">
        <x:v>1</x:v>
      </x:c>
      <x:c r="D1" s="11" t="s">
        <x:v>179</x:v>
      </x:c>
      <x:c r="E1" s="11" t="s">
        <x:v>180</x:v>
      </x:c>
      <x:c r="F1" s="11" t="s">
        <x:v>181</x:v>
      </x:c>
      <x:c r="G1" s="11" t="s">
        <x:v>182</x:v>
      </x:c>
      <x:c r="H1" s="11" t="s">
        <x:v>183</x:v>
      </x:c>
      <x:c r="I1" s="11" t="s">
        <x:v>184</x:v>
      </x:c>
      <x:c r="J1" s="11" t="s">
        <x:v>3</x:v>
      </x:c>
      <x:c r="K1" s="11" t="s">
        <x:v>4</x:v>
      </x:c>
      <x:c r="L1" s="11" t="s">
        <x:v>5</x:v>
      </x:c>
      <x:c r="M1" s="11" t="s">
        <x:v>185</x:v>
      </x:c>
      <x:c r="N1" s="11" t="s">
        <x:v>186</x:v>
      </x:c>
      <x:c r="O1" s="11" t="s">
        <x:v>187</x:v>
      </x:c>
      <x:c r="P1" s="11" t="s">
        <x:v>188</x:v>
      </x:c>
      <x:c r="Q1" s="11" t="s">
        <x:v>7</x:v>
      </x:c>
      <x:c r="R1" s="11" t="s">
        <x:v>8</x:v>
      </x:c>
      <x:c r="S1" s="12" t="s">
        <x:v>189</x:v>
      </x:c>
      <x:c r="T1" s="11" t="s">
        <x:v>190</x:v>
      </x:c>
      <x:c r="U1" s="11" t="s">
        <x:v>11</x:v>
      </x:c>
      <x:c r="V1" s="12" t="s">
        <x:v>12</x:v>
      </x:c>
      <x:c r="W1" s="12" t="s">
        <x:v>13</x:v>
      </x:c>
      <x:c r="X1" s="11" t="s">
        <x:v>191</x:v>
      </x:c>
    </x:row>
    <x:row r="2" spans="1:24">
      <x:c r="A2" s="13" t="s">
        <x:v>14</x:v>
      </x:c>
      <x:c r="B2" s="14" t="s">
        <x:v>192</x:v>
      </x:c>
      <x:c r="C2" s="14" t="s">
        <x:v>15</x:v>
      </x:c>
      <x:c r="D2" s="14" t="s">
        <x:v>193</x:v>
      </x:c>
      <x:c r="E2" s="14" t="s">
        <x:v>194</x:v>
      </x:c>
      <x:c r="F2" s="14" t="s">
        <x:v>194</x:v>
      </x:c>
      <x:c r="G2" s="14" t="s">
        <x:v>195</x:v>
      </x:c>
      <x:c r="H2" s="14">
        <x:v>4</x:v>
      </x:c>
      <x:c r="I2" s="14">
        <x:v>4</x:v>
      </x:c>
      <x:c r="J2" s="14">
        <x:v>20</x:v>
      </x:c>
      <x:c r="K2" s="15">
        <x:v>10041</x:v>
      </x:c>
      <x:c r="L2" s="15">
        <x:v>100000210462270</x:v>
      </x:c>
      <x:c r="M2" s="15">
        <x:f>K2-L2</x:f>
      </x:c>
      <x:c r="N2" s="14" t="s">
        <x:v>196</x:v>
      </x:c>
      <x:c r="O2" s="16">
        <x:f>IFERROR(INDEX('تطبیق کل'!$J:$J,MATCH(A2&amp;"",'تطبیق کل'!$A:$A,0))&amp;"","")</x:f>
      </x:c>
      <x:c r="P2" s="16">
        <x:f>IF(O2="","",O2&amp;B2)</x:f>
      </x:c>
      <x:c r="Q2" s="16">
        <x:f>IF(P2="","",IFERROR(INDEX('درخت جدید'!$C:$C,MATCH(P2&amp;"",'درخت جدید'!$B:$B,0)),"— در درخت نیست؛ با نام قدیم ساخته می‌شود —"))</x:f>
      </x:c>
      <x:c r="R2" s="17"/>
      <x:c r="S2" s="18">
        <x:f>P2</x:f>
      </x:c>
      <x:c r="T2" s="14">
        <x:f>IF(S2="","",IFERROR(INDEX('درخت جدید'!$C:$C,MATCH(S2&amp;"",'درخت جدید'!$B:$B,0)),"(ساخته می‌شود) "&amp;V2))</x:f>
      </x:c>
      <x:c r="U2" s="14">
        <x:f>IF(S2="",IF(N2="بله","الزامی — تکمیل نشده",""),IF(AND(O2&lt;&gt;"",LEFT(S2&amp;"",4)&lt;&gt;O2),"زیر کل دیگری است — کل یا معین را اصلاح کنید",IF(AND(S2=P2,FALSE,W2=""),"تداخل: کد "&amp;S2&amp;" در برگهٔ درخت جدید با نام «"&amp;T2&amp;"» از قبل تعریف شده",IF(COUNTIFS('درخت جدید'!$B:$B,S2&amp;"",'درخت جدید'!$A:$A,"معین")=0,IF(V2="","کد در درخت نیست — نام برای تعریف را بنویسید","OK"),"OK"))))</x:f>
      </x:c>
      <x:c r="V2" s="19">
        <x:f>IF(S2="","",IF(COUNTIFS('درخت جدید'!$B:$B,S2&amp;"",'درخت جدید'!$A:$A,"معین")=0,D2,""))</x:f>
      </x:c>
      <x:c r="W2" s="19"/>
      <x:c r="X2" s="37"/>
    </x:row>
    <x:row r="3" spans="1:24">
      <x:c r="A3" s="21" t="s">
        <x:v>24</x:v>
      </x:c>
      <x:c r="B3" s="22" t="s">
        <x:v>197</x:v>
      </x:c>
      <x:c r="C3" s="22" t="s">
        <x:v>25</x:v>
      </x:c>
      <x:c r="D3" s="22" t="s">
        <x:v>198</x:v>
      </x:c>
      <x:c r="E3" s="22" t="s">
        <x:v>194</x:v>
      </x:c>
      <x:c r="F3" s="22" t="s">
        <x:v>194</x:v>
      </x:c>
      <x:c r="G3" s="22" t="s">
        <x:v>199</x:v>
      </x:c>
      <x:c r="H3" s="22">
        <x:v>3</x:v>
      </x:c>
      <x:c r="I3" s="22">
        <x:v>1</x:v>
      </x:c>
      <x:c r="J3" s="22">
        <x:v>1</x:v>
      </x:c>
      <x:c r="K3" s="23">
        <x:v>0</x:v>
      </x:c>
      <x:c r="L3" s="23">
        <x:v>10</x:v>
      </x:c>
      <x:c r="M3" s="23">
        <x:f>K3-L3</x:f>
      </x:c>
      <x:c r="N3" s="22" t="s">
        <x:v>196</x:v>
      </x:c>
      <x:c r="O3" s="24">
        <x:f>IFERROR(INDEX('تطبیق کل'!$J:$J,MATCH(A3&amp;"",'تطبیق کل'!$A:$A,0))&amp;"","")</x:f>
      </x:c>
      <x:c r="P3" s="24">
        <x:f>IF(O3="","",O3&amp;B3)</x:f>
      </x:c>
      <x:c r="Q3" s="24">
        <x:f>IF(P3="","",IFERROR(INDEX('درخت جدید'!$C:$C,MATCH(P3&amp;"",'درخت جدید'!$B:$B,0)),"— در درخت نیست؛ با نام قدیم ساخته می‌شود —"))</x:f>
      </x:c>
      <x:c r="R3" s="25"/>
      <x:c r="S3" s="26">
        <x:f>P3</x:f>
      </x:c>
      <x:c r="T3" s="22">
        <x:f>IF(S3="","",IFERROR(INDEX('درخت جدید'!$C:$C,MATCH(S3&amp;"",'درخت جدید'!$B:$B,0)),"(ساخته می‌شود) "&amp;V3))</x:f>
      </x:c>
      <x:c r="U3" s="22">
        <x:f>IF(S3="",IF(N3="بله","الزامی — تکمیل نشده",""),IF(AND(O3&lt;&gt;"",LEFT(S3&amp;"",4)&lt;&gt;O3),"زیر کل دیگری است — کل یا معین را اصلاح کنید",IF(AND(S3=P3,FALSE,W3=""),"تداخل: کد "&amp;S3&amp;" در برگهٔ درخت جدید با نام «"&amp;T3&amp;"» از قبل تعریف شده",IF(COUNTIFS('درخت جدید'!$B:$B,S3&amp;"",'درخت جدید'!$A:$A,"معین")=0,IF(V3="","کد در درخت نیست — نام برای تعریف را بنویسید","OK"),"OK"))))</x:f>
      </x:c>
      <x:c r="V3" s="27">
        <x:f>IF(S3="","",IF(COUNTIFS('درخت جدید'!$B:$B,S3&amp;"",'درخت جدید'!$A:$A,"معین")=0,D3,""))</x:f>
      </x:c>
      <x:c r="W3" s="27"/>
      <x:c r="X3" s="38"/>
    </x:row>
    <x:row r="4" spans="1:24">
      <x:c r="A4" s="21" t="s">
        <x:v>30</x:v>
      </x:c>
      <x:c r="B4" s="22" t="s">
        <x:v>200</x:v>
      </x:c>
      <x:c r="C4" s="22" t="s">
        <x:v>31</x:v>
      </x:c>
      <x:c r="D4" s="22" t="s">
        <x:v>201</x:v>
      </x:c>
      <x:c r="E4" s="22" t="s">
        <x:v>194</x:v>
      </x:c>
      <x:c r="F4" s="22" t="s">
        <x:v>194</x:v>
      </x:c>
      <x:c r="G4" s="22" t="s">
        <x:v>199</x:v>
      </x:c>
      <x:c r="H4" s="22">
        <x:v>3</x:v>
      </x:c>
      <x:c r="I4" s="22">
        <x:v>1</x:v>
      </x:c>
      <x:c r="J4" s="22">
        <x:v>129</x:v>
      </x:c>
      <x:c r="K4" s="23">
        <x:v>15454464736</x:v>
      </x:c>
      <x:c r="L4" s="23">
        <x:v>34561474393</x:v>
      </x:c>
      <x:c r="M4" s="23">
        <x:f>K4-L4</x:f>
      </x:c>
      <x:c r="N4" s="22" t="s">
        <x:v>196</x:v>
      </x:c>
      <x:c r="O4" s="24">
        <x:f>IFERROR(INDEX('تطبیق کل'!$J:$J,MATCH(A4&amp;"",'تطبیق کل'!$A:$A,0))&amp;"","")</x:f>
      </x:c>
      <x:c r="P4" s="24">
        <x:f>IF(O4="","",O4&amp;B4)</x:f>
      </x:c>
      <x:c r="Q4" s="24">
        <x:f>IF(P4="","",IFERROR(INDEX('درخت جدید'!$C:$C,MATCH(P4&amp;"",'درخت جدید'!$B:$B,0)),"— در درخت نیست؛ با نام قدیم ساخته می‌شود —"))</x:f>
      </x:c>
      <x:c r="R4" s="25"/>
      <x:c r="S4" s="26">
        <x:f>P4</x:f>
      </x:c>
      <x:c r="T4" s="22">
        <x:f>IF(S4="","",IFERROR(INDEX('درخت جدید'!$C:$C,MATCH(S4&amp;"",'درخت جدید'!$B:$B,0)),"(ساخته می‌شود) "&amp;V4))</x:f>
      </x:c>
      <x:c r="U4" s="22">
        <x:f>IF(S4="",IF(N4="بله","الزامی — تکمیل نشده",""),IF(AND(O4&lt;&gt;"",LEFT(S4&amp;"",4)&lt;&gt;O4),"زیر کل دیگری است — کل یا معین را اصلاح کنید",IF(AND(S4=P4,FALSE,W4=""),"تداخل: کد "&amp;S4&amp;" در برگهٔ درخت جدید با نام «"&amp;T4&amp;"» از قبل تعریف شده",IF(COUNTIFS('درخت جدید'!$B:$B,S4&amp;"",'درخت جدید'!$A:$A,"معین")=0,IF(V4="","کد در درخت نیست — نام برای تعریف را بنویسید","OK"),"OK"))))</x:f>
      </x:c>
      <x:c r="V4" s="27">
        <x:f>IF(S4="","",IF(COUNTIFS('درخت جدید'!$B:$B,S4&amp;"",'درخت جدید'!$A:$A,"معین")=0,D4,""))</x:f>
      </x:c>
      <x:c r="W4" s="27"/>
      <x:c r="X4" s="38"/>
    </x:row>
    <x:row r="5" spans="1:24">
      <x:c r="A5" s="21" t="s">
        <x:v>34</x:v>
      </x:c>
      <x:c r="B5" s="22" t="s">
        <x:v>202</x:v>
      </x:c>
      <x:c r="C5" s="22" t="s">
        <x:v>35</x:v>
      </x:c>
      <x:c r="D5" s="22" t="s">
        <x:v>203</x:v>
      </x:c>
      <x:c r="E5" s="22" t="s">
        <x:v>194</x:v>
      </x:c>
      <x:c r="F5" s="22" t="s">
        <x:v>194</x:v>
      </x:c>
      <x:c r="G5" s="22" t="s">
        <x:v>199</x:v>
      </x:c>
      <x:c r="H5" s="22">
        <x:v>1</x:v>
      </x:c>
      <x:c r="I5" s="22">
        <x:v>1</x:v>
      </x:c>
      <x:c r="J5" s="22">
        <x:v>2</x:v>
      </x:c>
      <x:c r="K5" s="23">
        <x:v>0</x:v>
      </x:c>
      <x:c r="L5" s="23">
        <x:v>2250</x:v>
      </x:c>
      <x:c r="M5" s="23">
        <x:f>K5-L5</x:f>
      </x:c>
      <x:c r="N5" s="22" t="s">
        <x:v>196</x:v>
      </x:c>
      <x:c r="O5" s="24">
        <x:f>IFERROR(INDEX('تطبیق کل'!$J:$J,MATCH(A5&amp;"",'تطبیق کل'!$A:$A,0))&amp;"","")</x:f>
      </x:c>
      <x:c r="P5" s="24">
        <x:f>IF(O5="","",O5&amp;B5)</x:f>
      </x:c>
      <x:c r="Q5" s="24">
        <x:f>IF(P5="","",IFERROR(INDEX('درخت جدید'!$C:$C,MATCH(P5&amp;"",'درخت جدید'!$B:$B,0)),"— در درخت نیست؛ با نام قدیم ساخته می‌شود —"))</x:f>
      </x:c>
      <x:c r="R5" s="25">
        <x:v>0.13</x:v>
      </x:c>
      <x:c r="S5" s="26">
        <x:f>P5</x:f>
      </x:c>
      <x:c r="T5" s="22">
        <x:f>IF(S5="","",IFERROR(INDEX('درخت جدید'!$C:$C,MATCH(S5&amp;"",'درخت جدید'!$B:$B,0)),"(ساخته می‌شود) "&amp;V5))</x:f>
      </x:c>
      <x:c r="U5" s="22">
        <x:f>IF(S5="",IF(N5="بله","الزامی — تکمیل نشده",""),IF(AND(O5&lt;&gt;"",LEFT(S5&amp;"",4)&lt;&gt;O5),"زیر کل دیگری است — کل یا معین را اصلاح کنید",IF(AND(S5=P5,TRUE,W5=""),"تداخل: کد "&amp;S5&amp;" در برگهٔ درخت جدید با نام «"&amp;T5&amp;"» از قبل تعریف شده",IF(COUNTIFS('درخت جدید'!$B:$B,S5&amp;"",'درخت جدید'!$A:$A,"معین")=0,IF(V5="","کد در درخت نیست — نام برای تعریف را بنویسید","OK"),"OK"))))</x:f>
      </x:c>
      <x:c r="V5" s="27">
        <x:f>IF(S5="","",IF(COUNTIFS('درخت جدید'!$B:$B,S5&amp;"",'درخت جدید'!$A:$A,"معین")=0,D5,""))</x:f>
      </x:c>
      <x:c r="W5" s="27"/>
      <x:c r="X5" s="38">
        <x:v>2</x:v>
      </x:c>
    </x:row>
    <x:row r="6" spans="1:24">
      <x:c r="A6" s="21" t="s">
        <x:v>34</x:v>
      </x:c>
      <x:c r="B6" s="22" t="s">
        <x:v>30</x:v>
      </x:c>
      <x:c r="C6" s="22" t="s">
        <x:v>35</x:v>
      </x:c>
      <x:c r="D6" s="22" t="s">
        <x:v>204</x:v>
      </x:c>
      <x:c r="E6" s="22" t="s">
        <x:v>194</x:v>
      </x:c>
      <x:c r="F6" s="22" t="s">
        <x:v>194</x:v>
      </x:c>
      <x:c r="G6" s="22" t="s">
        <x:v>199</x:v>
      </x:c>
      <x:c r="H6" s="22">
        <x:v>1</x:v>
      </x:c>
      <x:c r="I6" s="22">
        <x:v>1</x:v>
      </x:c>
      <x:c r="J6" s="22">
        <x:v>7</x:v>
      </x:c>
      <x:c r="K6" s="23">
        <x:v>5350000</x:v>
      </x:c>
      <x:c r="L6" s="23">
        <x:v>26750010</x:v>
      </x:c>
      <x:c r="M6" s="23">
        <x:f>K6-L6</x:f>
      </x:c>
      <x:c r="N6" s="22" t="s">
        <x:v>196</x:v>
      </x:c>
      <x:c r="O6" s="24">
        <x:f>IFERROR(INDEX('تطبیق کل'!$J:$J,MATCH(A6&amp;"",'تطبیق کل'!$A:$A,0))&amp;"","")</x:f>
      </x:c>
      <x:c r="P6" s="24">
        <x:f>IF(O6="","",O6&amp;B6)</x:f>
      </x:c>
      <x:c r="Q6" s="24">
        <x:f>IF(P6="","",IFERROR(INDEX('درخت جدید'!$C:$C,MATCH(P6&amp;"",'درخت جدید'!$B:$B,0)),"— در درخت نیست؛ با نام قدیم ساخته می‌شود —"))</x:f>
      </x:c>
      <x:c r="R6" s="25"/>
      <x:c r="S6" s="26">
        <x:f>P6</x:f>
      </x:c>
      <x:c r="T6" s="22">
        <x:f>IF(S6="","",IFERROR(INDEX('درخت جدید'!$C:$C,MATCH(S6&amp;"",'درخت جدید'!$B:$B,0)),"(ساخته می‌شود) "&amp;V6))</x:f>
      </x:c>
      <x:c r="U6" s="22">
        <x:f>IF(S6="",IF(N6="بله","الزامی — تکمیل نشده",""),IF(AND(O6&lt;&gt;"",LEFT(S6&amp;"",4)&lt;&gt;O6),"زیر کل دیگری است — کل یا معین را اصلاح کنید",IF(AND(S6=P6,FALSE,W6=""),"تداخل: کد "&amp;S6&amp;" در برگهٔ درخت جدید با نام «"&amp;T6&amp;"» از قبل تعریف شده",IF(COUNTIFS('درخت جدید'!$B:$B,S6&amp;"",'درخت جدید'!$A:$A,"معین")=0,IF(V6="","کد در درخت نیست — نام برای تعریف را بنویسید","OK"),"OK"))))</x:f>
      </x:c>
      <x:c r="V6" s="27">
        <x:f>IF(S6="","",IF(COUNTIFS('درخت جدید'!$B:$B,S6&amp;"",'درخت جدید'!$A:$A,"معین")=0,D6,""))</x:f>
      </x:c>
      <x:c r="W6" s="27"/>
      <x:c r="X6" s="38"/>
    </x:row>
    <x:row r="7" spans="1:24">
      <x:c r="A7" s="21" t="s">
        <x:v>34</x:v>
      </x:c>
      <x:c r="B7" s="22" t="s">
        <x:v>205</x:v>
      </x:c>
      <x:c r="C7" s="22" t="s">
        <x:v>35</x:v>
      </x:c>
      <x:c r="D7" s="22" t="s">
        <x:v>206</x:v>
      </x:c>
      <x:c r="E7" s="22" t="s">
        <x:v>194</x:v>
      </x:c>
      <x:c r="F7" s="22" t="s">
        <x:v>194</x:v>
      </x:c>
      <x:c r="G7" s="22" t="s">
        <x:v>199</x:v>
      </x:c>
      <x:c r="H7" s="22">
        <x:v>1</x:v>
      </x:c>
      <x:c r="I7" s="22">
        <x:v>1</x:v>
      </x:c>
      <x:c r="J7" s="22">
        <x:v>5</x:v>
      </x:c>
      <x:c r="K7" s="23">
        <x:v>69193000</x:v>
      </x:c>
      <x:c r="L7" s="23">
        <x:v>276772000</x:v>
      </x:c>
      <x:c r="M7" s="23">
        <x:f>K7-L7</x:f>
      </x:c>
      <x:c r="N7" s="22" t="s">
        <x:v>196</x:v>
      </x:c>
      <x:c r="O7" s="24">
        <x:f>IFERROR(INDEX('تطبیق کل'!$J:$J,MATCH(A7&amp;"",'تطبیق کل'!$A:$A,0))&amp;"","")</x:f>
      </x:c>
      <x:c r="P7" s="24">
        <x:f>IF(O7="","",O7&amp;B7)</x:f>
      </x:c>
      <x:c r="Q7" s="24">
        <x:f>IF(P7="","",IFERROR(INDEX('درخت جدید'!$C:$C,MATCH(P7&amp;"",'درخت جدید'!$B:$B,0)),"— در درخت نیست؛ با نام قدیم ساخته می‌شود —"))</x:f>
      </x:c>
      <x:c r="R7" s="25"/>
      <x:c r="S7" s="26">
        <x:f>P7</x:f>
      </x:c>
      <x:c r="T7" s="22">
        <x:f>IF(S7="","",IFERROR(INDEX('درخت جدید'!$C:$C,MATCH(S7&amp;"",'درخت جدید'!$B:$B,0)),"(ساخته می‌شود) "&amp;V7))</x:f>
      </x:c>
      <x:c r="U7" s="22">
        <x:f>IF(S7="",IF(N7="بله","الزامی — تکمیل نشده",""),IF(AND(O7&lt;&gt;"",LEFT(S7&amp;"",4)&lt;&gt;O7),"زیر کل دیگری است — کل یا معین را اصلاح کنید",IF(AND(S7=P7,FALSE,W7=""),"تداخل: کد "&amp;S7&amp;" در برگهٔ درخت جدید با نام «"&amp;T7&amp;"» از قبل تعریف شده",IF(COUNTIFS('درخت جدید'!$B:$B,S7&amp;"",'درخت جدید'!$A:$A,"معین")=0,IF(V7="","کد در درخت نیست — نام برای تعریف را بنویسید","OK"),"OK"))))</x:f>
      </x:c>
      <x:c r="V7" s="27">
        <x:f>IF(S7="","",IF(COUNTIFS('درخت جدید'!$B:$B,S7&amp;"",'درخت جدید'!$A:$A,"معین")=0,D7,""))</x:f>
      </x:c>
      <x:c r="W7" s="27"/>
      <x:c r="X7" s="38"/>
    </x:row>
    <x:row r="8" spans="1:24">
      <x:c r="A8" s="21" t="s">
        <x:v>34</x:v>
      </x:c>
      <x:c r="B8" s="22" t="s">
        <x:v>207</x:v>
      </x:c>
      <x:c r="C8" s="22" t="s">
        <x:v>35</x:v>
      </x:c>
      <x:c r="D8" s="22" t="s">
        <x:v>208</x:v>
      </x:c>
      <x:c r="E8" s="22" t="s">
        <x:v>194</x:v>
      </x:c>
      <x:c r="F8" s="22" t="s">
        <x:v>194</x:v>
      </x:c>
      <x:c r="G8" s="22" t="s">
        <x:v>199</x:v>
      </x:c>
      <x:c r="H8" s="22">
        <x:v>1</x:v>
      </x:c>
      <x:c r="I8" s="22">
        <x:v>1</x:v>
      </x:c>
      <x:c r="J8" s="22">
        <x:v>5</x:v>
      </x:c>
      <x:c r="K8" s="23">
        <x:v>92734300</x:v>
      </x:c>
      <x:c r="L8" s="23">
        <x:v>370937200</x:v>
      </x:c>
      <x:c r="M8" s="23">
        <x:f>K8-L8</x:f>
      </x:c>
      <x:c r="N8" s="22" t="s">
        <x:v>196</x:v>
      </x:c>
      <x:c r="O8" s="24">
        <x:f>IFERROR(INDEX('تطبیق کل'!$J:$J,MATCH(A8&amp;"",'تطبیق کل'!$A:$A,0))&amp;"","")</x:f>
      </x:c>
      <x:c r="P8" s="24">
        <x:f>IF(O8="","",O8&amp;B8)</x:f>
      </x:c>
      <x:c r="Q8" s="24">
        <x:f>IF(P8="","",IFERROR(INDEX('درخت جدید'!$C:$C,MATCH(P8&amp;"",'درخت جدید'!$B:$B,0)),"— در درخت نیست؛ با نام قدیم ساخته می‌شود —"))</x:f>
      </x:c>
      <x:c r="R8" s="25"/>
      <x:c r="S8" s="26">
        <x:f>P8</x:f>
      </x:c>
      <x:c r="T8" s="22">
        <x:f>IF(S8="","",IFERROR(INDEX('درخت جدید'!$C:$C,MATCH(S8&amp;"",'درخت جدید'!$B:$B,0)),"(ساخته می‌شود) "&amp;V8))</x:f>
      </x:c>
      <x:c r="U8" s="22">
        <x:f>IF(S8="",IF(N8="بله","الزامی — تکمیل نشده",""),IF(AND(O8&lt;&gt;"",LEFT(S8&amp;"",4)&lt;&gt;O8),"زیر کل دیگری است — کل یا معین را اصلاح کنید",IF(AND(S8=P8,FALSE,W8=""),"تداخل: کد "&amp;S8&amp;" در برگهٔ درخت جدید با نام «"&amp;T8&amp;"» از قبل تعریف شده",IF(COUNTIFS('درخت جدید'!$B:$B,S8&amp;"",'درخت جدید'!$A:$A,"معین")=0,IF(V8="","کد در درخت نیست — نام برای تعریف را بنویسید","OK"),"OK"))))</x:f>
      </x:c>
      <x:c r="V8" s="27">
        <x:f>IF(S8="","",IF(COUNTIFS('درخت جدید'!$B:$B,S8&amp;"",'درخت جدید'!$A:$A,"معین")=0,D8,""))</x:f>
      </x:c>
      <x:c r="W8" s="27"/>
      <x:c r="X8" s="38"/>
    </x:row>
    <x:row r="9" spans="1:24">
      <x:c r="A9" s="21" t="s">
        <x:v>34</x:v>
      </x:c>
      <x:c r="B9" s="22" t="s">
        <x:v>209</x:v>
      </x:c>
      <x:c r="C9" s="22" t="s">
        <x:v>35</x:v>
      </x:c>
      <x:c r="D9" s="22" t="s">
        <x:v>210</x:v>
      </x:c>
      <x:c r="E9" s="22" t="s">
        <x:v>194</x:v>
      </x:c>
      <x:c r="F9" s="22" t="s">
        <x:v>194</x:v>
      </x:c>
      <x:c r="G9" s="22" t="s">
        <x:v>199</x:v>
      </x:c>
      <x:c r="H9" s="22">
        <x:v>1</x:v>
      </x:c>
      <x:c r="I9" s="22">
        <x:v>1</x:v>
      </x:c>
      <x:c r="J9" s="22">
        <x:v>5</x:v>
      </x:c>
      <x:c r="K9" s="23">
        <x:v>5830000</x:v>
      </x:c>
      <x:c r="L9" s="23">
        <x:v>23320000</x:v>
      </x:c>
      <x:c r="M9" s="23">
        <x:f>K9-L9</x:f>
      </x:c>
      <x:c r="N9" s="22" t="s">
        <x:v>196</x:v>
      </x:c>
      <x:c r="O9" s="24">
        <x:f>IFERROR(INDEX('تطبیق کل'!$J:$J,MATCH(A9&amp;"",'تطبیق کل'!$A:$A,0))&amp;"","")</x:f>
      </x:c>
      <x:c r="P9" s="24">
        <x:f>IF(O9="","",O9&amp;B9)</x:f>
      </x:c>
      <x:c r="Q9" s="24">
        <x:f>IF(P9="","",IFERROR(INDEX('درخت جدید'!$C:$C,MATCH(P9&amp;"",'درخت جدید'!$B:$B,0)),"— در درخت نیست؛ با نام قدیم ساخته می‌شود —"))</x:f>
      </x:c>
      <x:c r="R9" s="25"/>
      <x:c r="S9" s="26">
        <x:f>P9</x:f>
      </x:c>
      <x:c r="T9" s="22">
        <x:f>IF(S9="","",IFERROR(INDEX('درخت جدید'!$C:$C,MATCH(S9&amp;"",'درخت جدید'!$B:$B,0)),"(ساخته می‌شود) "&amp;V9))</x:f>
      </x:c>
      <x:c r="U9" s="22">
        <x:f>IF(S9="",IF(N9="بله","الزامی — تکمیل نشده",""),IF(AND(O9&lt;&gt;"",LEFT(S9&amp;"",4)&lt;&gt;O9),"زیر کل دیگری است — کل یا معین را اصلاح کنید",IF(AND(S9=P9,FALSE,W9=""),"تداخل: کد "&amp;S9&amp;" در برگهٔ درخت جدید با نام «"&amp;T9&amp;"» از قبل تعریف شده",IF(COUNTIFS('درخت جدید'!$B:$B,S9&amp;"",'درخت جدید'!$A:$A,"معین")=0,IF(V9="","کد در درخت نیست — نام برای تعریف را بنویسید","OK"),"OK"))))</x:f>
      </x:c>
      <x:c r="V9" s="27">
        <x:f>IF(S9="","",IF(COUNTIFS('درخت جدید'!$B:$B,S9&amp;"",'درخت جدید'!$A:$A,"معین")=0,D9,""))</x:f>
      </x:c>
      <x:c r="W9" s="27"/>
      <x:c r="X9" s="38"/>
    </x:row>
    <x:row r="10" spans="1:24">
      <x:c r="A10" s="21" t="s">
        <x:v>34</x:v>
      </x:c>
      <x:c r="B10" s="22" t="s">
        <x:v>211</x:v>
      </x:c>
      <x:c r="C10" s="22" t="s">
        <x:v>35</x:v>
      </x:c>
      <x:c r="D10" s="22" t="s">
        <x:v>212</x:v>
      </x:c>
      <x:c r="E10" s="22" t="s">
        <x:v>194</x:v>
      </x:c>
      <x:c r="F10" s="22" t="s">
        <x:v>194</x:v>
      </x:c>
      <x:c r="G10" s="22" t="s">
        <x:v>199</x:v>
      </x:c>
      <x:c r="H10" s="22">
        <x:v>1</x:v>
      </x:c>
      <x:c r="I10" s="22">
        <x:v>1</x:v>
      </x:c>
      <x:c r="J10" s="22">
        <x:v>17</x:v>
      </x:c>
      <x:c r="K10" s="23">
        <x:v>4496786944</x:v>
      </x:c>
      <x:c r="L10" s="23">
        <x:v>17706726176</x:v>
      </x:c>
      <x:c r="M10" s="23">
        <x:f>K10-L10</x:f>
      </x:c>
      <x:c r="N10" s="22" t="s">
        <x:v>196</x:v>
      </x:c>
      <x:c r="O10" s="24">
        <x:f>IFERROR(INDEX('تطبیق کل'!$J:$J,MATCH(A10&amp;"",'تطبیق کل'!$A:$A,0))&amp;"","")</x:f>
      </x:c>
      <x:c r="P10" s="24">
        <x:f>IF(O10="","",O10&amp;B10)</x:f>
      </x:c>
      <x:c r="Q10" s="24">
        <x:f>IF(P10="","",IFERROR(INDEX('درخت جدید'!$C:$C,MATCH(P10&amp;"",'درخت جدید'!$B:$B,0)),"— در درخت نیست؛ با نام قدیم ساخته می‌شود —"))</x:f>
      </x:c>
      <x:c r="R10" s="25"/>
      <x:c r="S10" s="26">
        <x:f>P10</x:f>
      </x:c>
      <x:c r="T10" s="22">
        <x:f>IF(S10="","",IFERROR(INDEX('درخت جدید'!$C:$C,MATCH(S10&amp;"",'درخت جدید'!$B:$B,0)),"(ساخته می‌شود) "&amp;V10))</x:f>
      </x:c>
      <x:c r="U10" s="22">
        <x:f>IF(S10="",IF(N10="بله","الزامی — تکمیل نشده",""),IF(AND(O10&lt;&gt;"",LEFT(S10&amp;"",4)&lt;&gt;O10),"زیر کل دیگری است — کل یا معین را اصلاح کنید",IF(AND(S10=P10,FALSE,W10=""),"تداخل: کد "&amp;S10&amp;" در برگهٔ درخت جدید با نام «"&amp;T10&amp;"» از قبل تعریف شده",IF(COUNTIFS('درخت جدید'!$B:$B,S10&amp;"",'درخت جدید'!$A:$A,"معین")=0,IF(V10="","کد در درخت نیست — نام برای تعریف را بنویسید","OK"),"OK"))))</x:f>
      </x:c>
      <x:c r="V10" s="27">
        <x:f>IF(S10="","",IF(COUNTIFS('درخت جدید'!$B:$B,S10&amp;"",'درخت جدید'!$A:$A,"معین")=0,D10,""))</x:f>
      </x:c>
      <x:c r="W10" s="27"/>
      <x:c r="X10" s="38"/>
    </x:row>
    <x:row r="11" spans="1:24">
      <x:c r="A11" s="21" t="s">
        <x:v>34</x:v>
      </x:c>
      <x:c r="B11" s="22" t="s">
        <x:v>213</x:v>
      </x:c>
      <x:c r="C11" s="22" t="s">
        <x:v>35</x:v>
      </x:c>
      <x:c r="D11" s="22" t="s">
        <x:v>214</x:v>
      </x:c>
      <x:c r="E11" s="22" t="s">
        <x:v>194</x:v>
      </x:c>
      <x:c r="F11" s="22" t="s">
        <x:v>194</x:v>
      </x:c>
      <x:c r="G11" s="22" t="s">
        <x:v>199</x:v>
      </x:c>
      <x:c r="H11" s="22">
        <x:v>5</x:v>
      </x:c>
      <x:c r="I11" s="22">
        <x:v>1</x:v>
      </x:c>
      <x:c r="J11" s="22">
        <x:v>1</x:v>
      </x:c>
      <x:c r="K11" s="23">
        <x:v>44000</x:v>
      </x:c>
      <x:c r="L11" s="23">
        <x:v>0</x:v>
      </x:c>
      <x:c r="M11" s="23">
        <x:f>K11-L11</x:f>
      </x:c>
      <x:c r="N11" s="22" t="s">
        <x:v>196</x:v>
      </x:c>
      <x:c r="O11" s="24">
        <x:f>IFERROR(INDEX('تطبیق کل'!$J:$J,MATCH(A11&amp;"",'تطبیق کل'!$A:$A,0))&amp;"","")</x:f>
      </x:c>
      <x:c r="P11" s="24">
        <x:f>IF(O11="","",O11&amp;B11)</x:f>
      </x:c>
      <x:c r="Q11" s="24">
        <x:f>IF(P11="","",IFERROR(INDEX('درخت جدید'!$C:$C,MATCH(P11&amp;"",'درخت جدید'!$B:$B,0)),"— در درخت نیست؛ با نام قدیم ساخته می‌شود —"))</x:f>
      </x:c>
      <x:c r="R11" s="25"/>
      <x:c r="S11" s="26">
        <x:f>P11</x:f>
      </x:c>
      <x:c r="T11" s="22">
        <x:f>IF(S11="","",IFERROR(INDEX('درخت جدید'!$C:$C,MATCH(S11&amp;"",'درخت جدید'!$B:$B,0)),"(ساخته می‌شود) "&amp;V11))</x:f>
      </x:c>
      <x:c r="U11" s="22">
        <x:f>IF(S11="",IF(N11="بله","الزامی — تکمیل نشده",""),IF(AND(O11&lt;&gt;"",LEFT(S11&amp;"",4)&lt;&gt;O11),"زیر کل دیگری است — کل یا معین را اصلاح کنید",IF(AND(S11=P11,FALSE,W11=""),"تداخل: کد "&amp;S11&amp;" در برگهٔ درخت جدید با نام «"&amp;T11&amp;"» از قبل تعریف شده",IF(COUNTIFS('درخت جدید'!$B:$B,S11&amp;"",'درخت جدید'!$A:$A,"معین")=0,IF(V11="","کد در درخت نیست — نام برای تعریف را بنویسید","OK"),"OK"))))</x:f>
      </x:c>
      <x:c r="V11" s="27">
        <x:f>IF(S11="","",IF(COUNTIFS('درخت جدید'!$B:$B,S11&amp;"",'درخت جدید'!$A:$A,"معین")=0,D11,""))</x:f>
      </x:c>
      <x:c r="W11" s="27"/>
      <x:c r="X11" s="38"/>
    </x:row>
    <x:row r="12" spans="1:24">
      <x:c r="A12" s="21" t="s">
        <x:v>41</x:v>
      </x:c>
      <x:c r="B12" s="22" t="s">
        <x:v>14</x:v>
      </x:c>
      <x:c r="C12" s="22" t="s">
        <x:v>42</x:v>
      </x:c>
      <x:c r="D12" s="22" t="s">
        <x:v>215</x:v>
      </x:c>
      <x:c r="E12" s="22" t="s">
        <x:v>194</x:v>
      </x:c>
      <x:c r="F12" s="22" t="s">
        <x:v>194</x:v>
      </x:c>
      <x:c r="G12" s="22" t="s">
        <x:v>199</x:v>
      </x:c>
      <x:c r="H12" s="22">
        <x:v>8</x:v>
      </x:c>
      <x:c r="I12" s="22">
        <x:v>1</x:v>
      </x:c>
      <x:c r="J12" s="22">
        <x:v>5</x:v>
      </x:c>
      <x:c r="K12" s="23">
        <x:v>40137000</x:v>
      </x:c>
      <x:c r="L12" s="23">
        <x:v>160548000</x:v>
      </x:c>
      <x:c r="M12" s="23">
        <x:f>K12-L12</x:f>
      </x:c>
      <x:c r="N12" s="22" t="s">
        <x:v>196</x:v>
      </x:c>
      <x:c r="O12" s="24">
        <x:f>IFERROR(INDEX('تطبیق کل'!$J:$J,MATCH(A12&amp;"",'تطبیق کل'!$A:$A,0))&amp;"","")</x:f>
      </x:c>
      <x:c r="P12" s="24">
        <x:f>IF(O12="","",O12&amp;B12)</x:f>
      </x:c>
      <x:c r="Q12" s="24">
        <x:f>IF(P12="","",IFERROR(INDEX('درخت جدید'!$C:$C,MATCH(P12&amp;"",'درخت جدید'!$B:$B,0)),"— در درخت نیست؛ با نام قدیم ساخته می‌شود —"))</x:f>
      </x:c>
      <x:c r="R12" s="25"/>
      <x:c r="S12" s="26">
        <x:f>P12</x:f>
      </x:c>
      <x:c r="T12" s="22">
        <x:f>IF(S12="","",IFERROR(INDEX('درخت جدید'!$C:$C,MATCH(S12&amp;"",'درخت جدید'!$B:$B,0)),"(ساخته می‌شود) "&amp;V12))</x:f>
      </x:c>
      <x:c r="U12" s="22">
        <x:f>IF(S12="",IF(N12="بله","الزامی — تکمیل نشده",""),IF(AND(O12&lt;&gt;"",LEFT(S12&amp;"",4)&lt;&gt;O12),"زیر کل دیگری است — کل یا معین را اصلاح کنید",IF(AND(S12=P12,FALSE,W12=""),"تداخل: کد "&amp;S12&amp;" در برگهٔ درخت جدید با نام «"&amp;T12&amp;"» از قبل تعریف شده",IF(COUNTIFS('درخت جدید'!$B:$B,S12&amp;"",'درخت جدید'!$A:$A,"معین")=0,IF(V12="","کد در درخت نیست — نام برای تعریف را بنویسید","OK"),"OK"))))</x:f>
      </x:c>
      <x:c r="V12" s="27">
        <x:f>IF(S12="","",IF(COUNTIFS('درخت جدید'!$B:$B,S12&amp;"",'درخت جدید'!$A:$A,"معین")=0,D12,""))</x:f>
      </x:c>
      <x:c r="W12" s="27"/>
      <x:c r="X12" s="38"/>
    </x:row>
    <x:row r="13" spans="1:24">
      <x:c r="A13" s="21" t="s">
        <x:v>41</x:v>
      </x:c>
      <x:c r="B13" s="22" t="s">
        <x:v>18</x:v>
      </x:c>
      <x:c r="C13" s="22" t="s">
        <x:v>42</x:v>
      </x:c>
      <x:c r="D13" s="22" t="s">
        <x:v>216</x:v>
      </x:c>
      <x:c r="E13" s="22" t="s">
        <x:v>194</x:v>
      </x:c>
      <x:c r="F13" s="22" t="s">
        <x:v>194</x:v>
      </x:c>
      <x:c r="G13" s="22" t="s">
        <x:v>199</x:v>
      </x:c>
      <x:c r="H13" s="22">
        <x:v>8</x:v>
      </x:c>
      <x:c r="I13" s="22">
        <x:v>1</x:v>
      </x:c>
      <x:c r="J13" s="22">
        <x:v>5</x:v>
      </x:c>
      <x:c r="K13" s="23">
        <x:v>3818000</x:v>
      </x:c>
      <x:c r="L13" s="23">
        <x:v>15272000</x:v>
      </x:c>
      <x:c r="M13" s="23">
        <x:f>K13-L13</x:f>
      </x:c>
      <x:c r="N13" s="22" t="s">
        <x:v>196</x:v>
      </x:c>
      <x:c r="O13" s="24">
        <x:f>IFERROR(INDEX('تطبیق کل'!$J:$J,MATCH(A13&amp;"",'تطبیق کل'!$A:$A,0))&amp;"","")</x:f>
      </x:c>
      <x:c r="P13" s="24">
        <x:f>IF(O13="","",O13&amp;B13)</x:f>
      </x:c>
      <x:c r="Q13" s="24">
        <x:f>IF(P13="","",IFERROR(INDEX('درخت جدید'!$C:$C,MATCH(P13&amp;"",'درخت جدید'!$B:$B,0)),"— در درخت نیست؛ با نام قدیم ساخته می‌شود —"))</x:f>
      </x:c>
      <x:c r="R13" s="25"/>
      <x:c r="S13" s="26">
        <x:f>P13</x:f>
      </x:c>
      <x:c r="T13" s="22">
        <x:f>IF(S13="","",IFERROR(INDEX('درخت جدید'!$C:$C,MATCH(S13&amp;"",'درخت جدید'!$B:$B,0)),"(ساخته می‌شود) "&amp;V13))</x:f>
      </x:c>
      <x:c r="U13" s="22">
        <x:f>IF(S13="",IF(N13="بله","الزامی — تکمیل نشده",""),IF(AND(O13&lt;&gt;"",LEFT(S13&amp;"",4)&lt;&gt;O13),"زیر کل دیگری است — کل یا معین را اصلاح کنید",IF(AND(S13=P13,FALSE,W13=""),"تداخل: کد "&amp;S13&amp;" در برگهٔ درخت جدید با نام «"&amp;T13&amp;"» از قبل تعریف شده",IF(COUNTIFS('درخت جدید'!$B:$B,S13&amp;"",'درخت جدید'!$A:$A,"معین")=0,IF(V13="","کد در درخت نیست — نام برای تعریف را بنویسید","OK"),"OK"))))</x:f>
      </x:c>
      <x:c r="V13" s="27">
        <x:f>IF(S13="","",IF(COUNTIFS('درخت جدید'!$B:$B,S13&amp;"",'درخت جدید'!$A:$A,"معین")=0,D13,""))</x:f>
      </x:c>
      <x:c r="W13" s="27"/>
      <x:c r="X13" s="38"/>
    </x:row>
    <x:row r="14" spans="1:24">
      <x:c r="A14" s="21" t="s">
        <x:v>45</x:v>
      </x:c>
      <x:c r="B14" s="22" t="s">
        <x:v>30</x:v>
      </x:c>
      <x:c r="C14" s="22" t="s">
        <x:v>46</x:v>
      </x:c>
      <x:c r="D14" s="22" t="s">
        <x:v>217</x:v>
      </x:c>
      <x:c r="E14" s="22" t="s">
        <x:v>194</x:v>
      </x:c>
      <x:c r="F14" s="22" t="s">
        <x:v>194</x:v>
      </x:c>
      <x:c r="G14" s="22" t="s">
        <x:v>199</x:v>
      </x:c>
      <x:c r="H14" s="22">
        <x:v>39</x:v>
      </x:c>
      <x:c r="I14" s="22">
        <x:v>4</x:v>
      </x:c>
      <x:c r="J14" s="22">
        <x:v>13</x:v>
      </x:c>
      <x:c r="K14" s="23">
        <x:v>134489698</x:v>
      </x:c>
      <x:c r="L14" s="23">
        <x:v>93955169</x:v>
      </x:c>
      <x:c r="M14" s="23">
        <x:f>K14-L14</x:f>
      </x:c>
      <x:c r="N14" s="22" t="s">
        <x:v>196</x:v>
      </x:c>
      <x:c r="O14" s="24">
        <x:f>IFERROR(INDEX('تطبیق کل'!$J:$J,MATCH(A14&amp;"",'تطبیق کل'!$A:$A,0))&amp;"","")</x:f>
      </x:c>
      <x:c r="P14" s="24">
        <x:f>IF(O14="","",O14&amp;B14)</x:f>
      </x:c>
      <x:c r="Q14" s="24">
        <x:f>IF(P14="","",IFERROR(INDEX('درخت جدید'!$C:$C,MATCH(P14&amp;"",'درخت جدید'!$B:$B,0)),"— در درخت نیست؛ با نام قدیم ساخته می‌شود —"))</x:f>
      </x:c>
      <x:c r="R14" s="25"/>
      <x:c r="S14" s="26">
        <x:f>P14</x:f>
      </x:c>
      <x:c r="T14" s="22">
        <x:f>IF(S14="","",IFERROR(INDEX('درخت جدید'!$C:$C,MATCH(S14&amp;"",'درخت جدید'!$B:$B,0)),"(ساخته می‌شود) "&amp;V14))</x:f>
      </x:c>
      <x:c r="U14" s="22">
        <x:f>IF(S14="",IF(N14="بله","الزامی — تکمیل نشده",""),IF(AND(O14&lt;&gt;"",LEFT(S14&amp;"",4)&lt;&gt;O14),"زیر کل دیگری است — کل یا معین را اصلاح کنید",IF(AND(S14=P14,FALSE,W14=""),"تداخل: کد "&amp;S14&amp;" در برگهٔ درخت جدید با نام «"&amp;T14&amp;"» از قبل تعریف شده",IF(COUNTIFS('درخت جدید'!$B:$B,S14&amp;"",'درخت جدید'!$A:$A,"معین")=0,IF(V14="","کد در درخت نیست — نام برای تعریف را بنویسید","OK"),"OK"))))</x:f>
      </x:c>
      <x:c r="V14" s="27">
        <x:f>IF(S14="","",IF(COUNTIFS('درخت جدید'!$B:$B,S14&amp;"",'درخت جدید'!$A:$A,"معین")=0,D14,""))</x:f>
      </x:c>
      <x:c r="W14" s="27"/>
      <x:c r="X14" s="38"/>
    </x:row>
    <x:row r="15" spans="1:24">
      <x:c r="A15" s="21" t="s">
        <x:v>49</x:v>
      </x:c>
      <x:c r="B15" s="22" t="s">
        <x:v>14</x:v>
      </x:c>
      <x:c r="C15" s="22" t="s">
        <x:v>50</x:v>
      </x:c>
      <x:c r="D15" s="22" t="s">
        <x:v>218</x:v>
      </x:c>
      <x:c r="E15" s="22" t="s">
        <x:v>194</x:v>
      </x:c>
      <x:c r="F15" s="22" t="s">
        <x:v>194</x:v>
      </x:c>
      <x:c r="G15" s="22" t="s">
        <x:v>199</x:v>
      </x:c>
      <x:c r="H15" s="22">
        <x:v>1</x:v>
      </x:c>
      <x:c r="I15" s="22">
        <x:v>1</x:v>
      </x:c>
      <x:c r="J15" s="22">
        <x:v>168</x:v>
      </x:c>
      <x:c r="K15" s="23">
        <x:v>4527057580</x:v>
      </x:c>
      <x:c r="L15" s="23">
        <x:v>4989551181</x:v>
      </x:c>
      <x:c r="M15" s="23">
        <x:f>K15-L15</x:f>
      </x:c>
      <x:c r="N15" s="22" t="s">
        <x:v>196</x:v>
      </x:c>
      <x:c r="O15" s="24">
        <x:f>IFERROR(INDEX('تطبیق کل'!$J:$J,MATCH(A15&amp;"",'تطبیق کل'!$A:$A,0))&amp;"","")</x:f>
      </x:c>
      <x:c r="P15" s="24">
        <x:f>IF(O15="","",O15&amp;B15)</x:f>
      </x:c>
      <x:c r="Q15" s="24">
        <x:f>IF(P15="","",IFERROR(INDEX('درخت جدید'!$C:$C,MATCH(P15&amp;"",'درخت جدید'!$B:$B,0)),"— در درخت نیست؛ با نام قدیم ساخته می‌شود —"))</x:f>
      </x:c>
      <x:c r="R15" s="25"/>
      <x:c r="S15" s="26">
        <x:f>P15</x:f>
      </x:c>
      <x:c r="T15" s="22">
        <x:f>IF(S15="","",IFERROR(INDEX('درخت جدید'!$C:$C,MATCH(S15&amp;"",'درخت جدید'!$B:$B,0)),"(ساخته می‌شود) "&amp;V15))</x:f>
      </x:c>
      <x:c r="U15" s="22">
        <x:f>IF(S15="",IF(N15="بله","الزامی — تکمیل نشده",""),IF(AND(O15&lt;&gt;"",LEFT(S15&amp;"",4)&lt;&gt;O15),"زیر کل دیگری است — کل یا معین را اصلاح کنید",IF(AND(S15=P15,FALSE,W15=""),"تداخل: کد "&amp;S15&amp;" در برگهٔ درخت جدید با نام «"&amp;T15&amp;"» از قبل تعریف شده",IF(COUNTIFS('درخت جدید'!$B:$B,S15&amp;"",'درخت جدید'!$A:$A,"معین")=0,IF(V15="","کد در درخت نیست — نام برای تعریف را بنویسید","OK"),"OK"))))</x:f>
      </x:c>
      <x:c r="V15" s="27">
        <x:f>IF(S15="","",IF(COUNTIFS('درخت جدید'!$B:$B,S15&amp;"",'درخت جدید'!$A:$A,"معین")=0,D15,""))</x:f>
      </x:c>
      <x:c r="W15" s="27"/>
      <x:c r="X15" s="38"/>
    </x:row>
    <x:row r="16" spans="1:24">
      <x:c r="A16" s="21" t="s">
        <x:v>49</x:v>
      </x:c>
      <x:c r="B16" s="22" t="s">
        <x:v>197</x:v>
      </x:c>
      <x:c r="C16" s="22" t="s">
        <x:v>50</x:v>
      </x:c>
      <x:c r="D16" s="22" t="s">
        <x:v>219</x:v>
      </x:c>
      <x:c r="E16" s="22" t="s">
        <x:v>194</x:v>
      </x:c>
      <x:c r="F16" s="22" t="s">
        <x:v>194</x:v>
      </x:c>
      <x:c r="G16" s="22" t="s">
        <x:v>199</x:v>
      </x:c>
      <x:c r="H16" s="22">
        <x:v>1</x:v>
      </x:c>
      <x:c r="I16" s="22">
        <x:v>1</x:v>
      </x:c>
      <x:c r="J16" s="22">
        <x:v>28</x:v>
      </x:c>
      <x:c r="K16" s="23">
        <x:v>5367717445</x:v>
      </x:c>
      <x:c r="L16" s="23">
        <x:v>3882407431</x:v>
      </x:c>
      <x:c r="M16" s="23">
        <x:f>K16-L16</x:f>
      </x:c>
      <x:c r="N16" s="22" t="s">
        <x:v>196</x:v>
      </x:c>
      <x:c r="O16" s="24">
        <x:f>IFERROR(INDEX('تطبیق کل'!$J:$J,MATCH(A16&amp;"",'تطبیق کل'!$A:$A,0))&amp;"","")</x:f>
      </x:c>
      <x:c r="P16" s="24">
        <x:f>IF(O16="","",O16&amp;B16)</x:f>
      </x:c>
      <x:c r="Q16" s="24">
        <x:f>IF(P16="","",IFERROR(INDEX('درخت جدید'!$C:$C,MATCH(P16&amp;"",'درخت جدید'!$B:$B,0)),"— در درخت نیست؛ با نام قدیم ساخته می‌شود —"))</x:f>
      </x:c>
      <x:c r="R16" s="25"/>
      <x:c r="S16" s="26">
        <x:f>P16</x:f>
      </x:c>
      <x:c r="T16" s="22">
        <x:f>IF(S16="","",IFERROR(INDEX('درخت جدید'!$C:$C,MATCH(S16&amp;"",'درخت جدید'!$B:$B,0)),"(ساخته می‌شود) "&amp;V16))</x:f>
      </x:c>
      <x:c r="U16" s="22">
        <x:f>IF(S16="",IF(N16="بله","الزامی — تکمیل نشده",""),IF(AND(O16&lt;&gt;"",LEFT(S16&amp;"",4)&lt;&gt;O16),"زیر کل دیگری است — کل یا معین را اصلاح کنید",IF(AND(S16=P16,FALSE,W16=""),"تداخل: کد "&amp;S16&amp;" در برگهٔ درخت جدید با نام «"&amp;T16&amp;"» از قبل تعریف شده",IF(COUNTIFS('درخت جدید'!$B:$B,S16&amp;"",'درخت جدید'!$A:$A,"معین")=0,IF(V16="","کد در درخت نیست — نام برای تعریف را بنویسید","OK"),"OK"))))</x:f>
      </x:c>
      <x:c r="V16" s="27">
        <x:f>IF(S16="","",IF(COUNTIFS('درخت جدید'!$B:$B,S16&amp;"",'درخت جدید'!$A:$A,"معین")=0,D16,""))</x:f>
      </x:c>
      <x:c r="W16" s="27"/>
      <x:c r="X16" s="38"/>
    </x:row>
    <x:row r="17" spans="1:24">
      <x:c r="A17" s="21" t="s">
        <x:v>49</x:v>
      </x:c>
      <x:c r="B17" s="22" t="s">
        <x:v>207</x:v>
      </x:c>
      <x:c r="C17" s="22" t="s">
        <x:v>50</x:v>
      </x:c>
      <x:c r="D17" s="22" t="s">
        <x:v>220</x:v>
      </x:c>
      <x:c r="E17" s="22" t="s">
        <x:v>194</x:v>
      </x:c>
      <x:c r="F17" s="22" t="s">
        <x:v>194</x:v>
      </x:c>
      <x:c r="G17" s="22" t="s">
        <x:v>199</x:v>
      </x:c>
      <x:c r="H17" s="22">
        <x:v>2</x:v>
      </x:c>
      <x:c r="I17" s="22">
        <x:v>1</x:v>
      </x:c>
      <x:c r="J17" s="22">
        <x:v>179</x:v>
      </x:c>
      <x:c r="K17" s="23">
        <x:v>2967108324</x:v>
      </x:c>
      <x:c r="L17" s="23">
        <x:v>5990517171</x:v>
      </x:c>
      <x:c r="M17" s="23">
        <x:f>K17-L17</x:f>
      </x:c>
      <x:c r="N17" s="22" t="s">
        <x:v>196</x:v>
      </x:c>
      <x:c r="O17" s="24">
        <x:f>IFERROR(INDEX('تطبیق کل'!$J:$J,MATCH(A17&amp;"",'تطبیق کل'!$A:$A,0))&amp;"","")</x:f>
      </x:c>
      <x:c r="P17" s="24">
        <x:f>IF(O17="","",O17&amp;B17)</x:f>
      </x:c>
      <x:c r="Q17" s="24">
        <x:f>IF(P17="","",IFERROR(INDEX('درخت جدید'!$C:$C,MATCH(P17&amp;"",'درخت جدید'!$B:$B,0)),"— در درخت نیست؛ با نام قدیم ساخته می‌شود —"))</x:f>
      </x:c>
      <x:c r="R17" s="25"/>
      <x:c r="S17" s="26">
        <x:f>P17</x:f>
      </x:c>
      <x:c r="T17" s="22">
        <x:f>IF(S17="","",IFERROR(INDEX('درخت جدید'!$C:$C,MATCH(S17&amp;"",'درخت جدید'!$B:$B,0)),"(ساخته می‌شود) "&amp;V17))</x:f>
      </x:c>
      <x:c r="U17" s="22">
        <x:f>IF(S17="",IF(N17="بله","الزامی — تکمیل نشده",""),IF(AND(O17&lt;&gt;"",LEFT(S17&amp;"",4)&lt;&gt;O17),"زیر کل دیگری است — کل یا معین را اصلاح کنید",IF(AND(S17=P17,FALSE,W17=""),"تداخل: کد "&amp;S17&amp;" در برگهٔ درخت جدید با نام «"&amp;T17&amp;"» از قبل تعریف شده",IF(COUNTIFS('درخت جدید'!$B:$B,S17&amp;"",'درخت جدید'!$A:$A,"معین")=0,IF(V17="","کد در درخت نیست — نام برای تعریف را بنویسید","OK"),"OK"))))</x:f>
      </x:c>
      <x:c r="V17" s="27">
        <x:f>IF(S17="","",IF(COUNTIFS('درخت جدید'!$B:$B,S17&amp;"",'درخت جدید'!$A:$A,"معین")=0,D17,""))</x:f>
      </x:c>
      <x:c r="W17" s="27"/>
      <x:c r="X17" s="38">
        <x:v>1</x:v>
      </x:c>
    </x:row>
    <x:row r="18" spans="1:24">
      <x:c r="A18" s="21" t="s">
        <x:v>49</x:v>
      </x:c>
      <x:c r="B18" s="22" t="s">
        <x:v>81</x:v>
      </x:c>
      <x:c r="C18" s="22" t="s">
        <x:v>50</x:v>
      </x:c>
      <x:c r="D18" s="22" t="s">
        <x:v>221</x:v>
      </x:c>
      <x:c r="E18" s="22" t="s">
        <x:v>194</x:v>
      </x:c>
      <x:c r="F18" s="22" t="s">
        <x:v>194</x:v>
      </x:c>
      <x:c r="G18" s="22" t="s">
        <x:v>195</x:v>
      </x:c>
      <x:c r="H18" s="22">
        <x:v>1</x:v>
      </x:c>
      <x:c r="I18" s="22">
        <x:v>1</x:v>
      </x:c>
      <x:c r="J18" s="22">
        <x:v>5</x:v>
      </x:c>
      <x:c r="K18" s="23">
        <x:v>150</x:v>
      </x:c>
      <x:c r="L18" s="23">
        <x:v>60</x:v>
      </x:c>
      <x:c r="M18" s="23">
        <x:f>K18-L18</x:f>
      </x:c>
      <x:c r="N18" s="22" t="s">
        <x:v>196</x:v>
      </x:c>
      <x:c r="O18" s="24">
        <x:f>IFERROR(INDEX('تطبیق کل'!$J:$J,MATCH(A18&amp;"",'تطبیق کل'!$A:$A,0))&amp;"","")</x:f>
      </x:c>
      <x:c r="P18" s="24">
        <x:f>IF(O18="","",O18&amp;B18)</x:f>
      </x:c>
      <x:c r="Q18" s="24">
        <x:f>IF(P18="","",IFERROR(INDEX('درخت جدید'!$C:$C,MATCH(P18&amp;"",'درخت جدید'!$B:$B,0)),"— در درخت نیست؛ با نام قدیم ساخته می‌شود —"))</x:f>
      </x:c>
      <x:c r="R18" s="25"/>
      <x:c r="S18" s="26">
        <x:f>P18</x:f>
      </x:c>
      <x:c r="T18" s="22">
        <x:f>IF(S18="","",IFERROR(INDEX('درخت جدید'!$C:$C,MATCH(S18&amp;"",'درخت جدید'!$B:$B,0)),"(ساخته می‌شود) "&amp;V18))</x:f>
      </x:c>
      <x:c r="U18" s="22">
        <x:f>IF(S18="",IF(N18="بله","الزامی — تکمیل نشده",""),IF(AND(O18&lt;&gt;"",LEFT(S18&amp;"",4)&lt;&gt;O18),"زیر کل دیگری است — کل یا معین را اصلاح کنید",IF(AND(S18=P18,FALSE,W18=""),"تداخل: کد "&amp;S18&amp;" در برگهٔ درخت جدید با نام «"&amp;T18&amp;"» از قبل تعریف شده",IF(COUNTIFS('درخت جدید'!$B:$B,S18&amp;"",'درخت جدید'!$A:$A,"معین")=0,IF(V18="","کد در درخت نیست — نام برای تعریف را بنویسید","OK"),"OK"))))</x:f>
      </x:c>
      <x:c r="V18" s="27">
        <x:f>IF(S18="","",IF(COUNTIFS('درخت جدید'!$B:$B,S18&amp;"",'درخت جدید'!$A:$A,"معین")=0,D18,""))</x:f>
      </x:c>
      <x:c r="W18" s="27"/>
      <x:c r="X18" s="38"/>
    </x:row>
    <x:row r="19" spans="1:24">
      <x:c r="A19" s="21" t="s">
        <x:v>49</x:v>
      </x:c>
      <x:c r="B19" s="22" t="s">
        <x:v>209</x:v>
      </x:c>
      <x:c r="C19" s="22" t="s">
        <x:v>50</x:v>
      </x:c>
      <x:c r="D19" s="22" t="s">
        <x:v>222</x:v>
      </x:c>
      <x:c r="E19" s="22" t="s">
        <x:v>194</x:v>
      </x:c>
      <x:c r="F19" s="22" t="s">
        <x:v>194</x:v>
      </x:c>
      <x:c r="G19" s="22" t="s">
        <x:v>199</x:v>
      </x:c>
      <x:c r="H19" s="22">
        <x:v>1</x:v>
      </x:c>
      <x:c r="I19" s="22">
        <x:v>1</x:v>
      </x:c>
      <x:c r="J19" s="22">
        <x:v>3</x:v>
      </x:c>
      <x:c r="K19" s="23">
        <x:v>110</x:v>
      </x:c>
      <x:c r="L19" s="23">
        <x:v>100000</x:v>
      </x:c>
      <x:c r="M19" s="23">
        <x:f>K19-L19</x:f>
      </x:c>
      <x:c r="N19" s="22" t="s">
        <x:v>196</x:v>
      </x:c>
      <x:c r="O19" s="24">
        <x:f>IFERROR(INDEX('تطبیق کل'!$J:$J,MATCH(A19&amp;"",'تطبیق کل'!$A:$A,0))&amp;"","")</x:f>
      </x:c>
      <x:c r="P19" s="24">
        <x:f>IF(O19="","",O19&amp;B19)</x:f>
      </x:c>
      <x:c r="Q19" s="24">
        <x:f>IF(P19="","",IFERROR(INDEX('درخت جدید'!$C:$C,MATCH(P19&amp;"",'درخت جدید'!$B:$B,0)),"— در درخت نیست؛ با نام قدیم ساخته می‌شود —"))</x:f>
      </x:c>
      <x:c r="R19" s="25"/>
      <x:c r="S19" s="26">
        <x:f>P19</x:f>
      </x:c>
      <x:c r="T19" s="22">
        <x:f>IF(S19="","",IFERROR(INDEX('درخت جدید'!$C:$C,MATCH(S19&amp;"",'درخت جدید'!$B:$B,0)),"(ساخته می‌شود) "&amp;V19))</x:f>
      </x:c>
      <x:c r="U19" s="22">
        <x:f>IF(S19="",IF(N19="بله","الزامی — تکمیل نشده",""),IF(AND(O19&lt;&gt;"",LEFT(S19&amp;"",4)&lt;&gt;O19),"زیر کل دیگری است — کل یا معین را اصلاح کنید",IF(AND(S19=P19,FALSE,W19=""),"تداخل: کد "&amp;S19&amp;" در برگهٔ درخت جدید با نام «"&amp;T19&amp;"» از قبل تعریف شده",IF(COUNTIFS('درخت جدید'!$B:$B,S19&amp;"",'درخت جدید'!$A:$A,"معین")=0,IF(V19="","کد در درخت نیست — نام برای تعریف را بنویسید","OK"),"OK"))))</x:f>
      </x:c>
      <x:c r="V19" s="27">
        <x:f>IF(S19="","",IF(COUNTIFS('درخت جدید'!$B:$B,S19&amp;"",'درخت جدید'!$A:$A,"معین")=0,D19,""))</x:f>
      </x:c>
      <x:c r="W19" s="27"/>
      <x:c r="X19" s="38">
        <x:v>1</x:v>
      </x:c>
    </x:row>
    <x:row r="20" spans="1:24">
      <x:c r="A20" s="21" t="s">
        <x:v>49</x:v>
      </x:c>
      <x:c r="B20" s="22" t="s">
        <x:v>85</x:v>
      </x:c>
      <x:c r="C20" s="22" t="s">
        <x:v>50</x:v>
      </x:c>
      <x:c r="D20" s="22" t="s">
        <x:v>223</x:v>
      </x:c>
      <x:c r="E20" s="22" t="s">
        <x:v>194</x:v>
      </x:c>
      <x:c r="F20" s="22" t="s">
        <x:v>194</x:v>
      </x:c>
      <x:c r="G20" s="22" t="s">
        <x:v>199</x:v>
      </x:c>
      <x:c r="H20" s="22">
        <x:v>1</x:v>
      </x:c>
      <x:c r="I20" s="22">
        <x:v>1</x:v>
      </x:c>
      <x:c r="J20" s="22">
        <x:v>169</x:v>
      </x:c>
      <x:c r="K20" s="23">
        <x:v>24613281858</x:v>
      </x:c>
      <x:c r="L20" s="23">
        <x:v>35725409700</x:v>
      </x:c>
      <x:c r="M20" s="23">
        <x:f>K20-L20</x:f>
      </x:c>
      <x:c r="N20" s="22" t="s">
        <x:v>196</x:v>
      </x:c>
      <x:c r="O20" s="24">
        <x:f>IFERROR(INDEX('تطبیق کل'!$J:$J,MATCH(A20&amp;"",'تطبیق کل'!$A:$A,0))&amp;"","")</x:f>
      </x:c>
      <x:c r="P20" s="24">
        <x:f>IF(O20="","",O20&amp;B20)</x:f>
      </x:c>
      <x:c r="Q20" s="24">
        <x:f>IF(P20="","",IFERROR(INDEX('درخت جدید'!$C:$C,MATCH(P20&amp;"",'درخت جدید'!$B:$B,0)),"— در درخت نیست؛ با نام قدیم ساخته می‌شود —"))</x:f>
      </x:c>
      <x:c r="R20" s="25"/>
      <x:c r="S20" s="26">
        <x:f>P20</x:f>
      </x:c>
      <x:c r="T20" s="22">
        <x:f>IF(S20="","",IFERROR(INDEX('درخت جدید'!$C:$C,MATCH(S20&amp;"",'درخت جدید'!$B:$B,0)),"(ساخته می‌شود) "&amp;V20))</x:f>
      </x:c>
      <x:c r="U20" s="22">
        <x:f>IF(S20="",IF(N20="بله","الزامی — تکمیل نشده",""),IF(AND(O20&lt;&gt;"",LEFT(S20&amp;"",4)&lt;&gt;O20),"زیر کل دیگری است — کل یا معین را اصلاح کنید",IF(AND(S20=P20,FALSE,W20=""),"تداخل: کد "&amp;S20&amp;" در برگهٔ درخت جدید با نام «"&amp;T20&amp;"» از قبل تعریف شده",IF(COUNTIFS('درخت جدید'!$B:$B,S20&amp;"",'درخت جدید'!$A:$A,"معین")=0,IF(V20="","کد در درخت نیست — نام برای تعریف را بنویسید","OK"),"OK"))))</x:f>
      </x:c>
      <x:c r="V20" s="27">
        <x:f>IF(S20="","",IF(COUNTIFS('درخت جدید'!$B:$B,S20&amp;"",'درخت جدید'!$A:$A,"معین")=0,D20,""))</x:f>
      </x:c>
      <x:c r="W20" s="27"/>
      <x:c r="X20" s="38"/>
    </x:row>
    <x:row r="21" spans="1:24">
      <x:c r="A21" s="21" t="s">
        <x:v>49</x:v>
      </x:c>
      <x:c r="B21" s="22" t="s">
        <x:v>211</x:v>
      </x:c>
      <x:c r="C21" s="22" t="s">
        <x:v>50</x:v>
      </x:c>
      <x:c r="D21" s="22" t="s">
        <x:v>224</x:v>
      </x:c>
      <x:c r="E21" s="22" t="s">
        <x:v>194</x:v>
      </x:c>
      <x:c r="F21" s="22" t="s">
        <x:v>194</x:v>
      </x:c>
      <x:c r="G21" s="22" t="s">
        <x:v>199</x:v>
      </x:c>
      <x:c r="H21" s="22">
        <x:v>6</x:v>
      </x:c>
      <x:c r="I21" s="22">
        <x:v>1</x:v>
      </x:c>
      <x:c r="J21" s="22">
        <x:v>40</x:v>
      </x:c>
      <x:c r="K21" s="23">
        <x:v>24909033794</x:v>
      </x:c>
      <x:c r="L21" s="23">
        <x:v>29597749495</x:v>
      </x:c>
      <x:c r="M21" s="23">
        <x:f>K21-L21</x:f>
      </x:c>
      <x:c r="N21" s="22" t="s">
        <x:v>196</x:v>
      </x:c>
      <x:c r="O21" s="24">
        <x:f>IFERROR(INDEX('تطبیق کل'!$J:$J,MATCH(A21&amp;"",'تطبیق کل'!$A:$A,0))&amp;"","")</x:f>
      </x:c>
      <x:c r="P21" s="24">
        <x:f>IF(O21="","",O21&amp;B21)</x:f>
      </x:c>
      <x:c r="Q21" s="24">
        <x:f>IF(P21="","",IFERROR(INDEX('درخت جدید'!$C:$C,MATCH(P21&amp;"",'درخت جدید'!$B:$B,0)),"— در درخت نیست؛ با نام قدیم ساخته می‌شود —"))</x:f>
      </x:c>
      <x:c r="R21" s="25"/>
      <x:c r="S21" s="26">
        <x:f>P21</x:f>
      </x:c>
      <x:c r="T21" s="22">
        <x:f>IF(S21="","",IFERROR(INDEX('درخت جدید'!$C:$C,MATCH(S21&amp;"",'درخت جدید'!$B:$B,0)),"(ساخته می‌شود) "&amp;V21))</x:f>
      </x:c>
      <x:c r="U21" s="22">
        <x:f>IF(S21="",IF(N21="بله","الزامی — تکمیل نشده",""),IF(AND(O21&lt;&gt;"",LEFT(S21&amp;"",4)&lt;&gt;O21),"زیر کل دیگری است — کل یا معین را اصلاح کنید",IF(AND(S21=P21,FALSE,W21=""),"تداخل: کد "&amp;S21&amp;" در برگهٔ درخت جدید با نام «"&amp;T21&amp;"» از قبل تعریف شده",IF(COUNTIFS('درخت جدید'!$B:$B,S21&amp;"",'درخت جدید'!$A:$A,"معین")=0,IF(V21="","کد در درخت نیست — نام برای تعریف را بنویسید","OK"),"OK"))))</x:f>
      </x:c>
      <x:c r="V21" s="27">
        <x:f>IF(S21="","",IF(COUNTIFS('درخت جدید'!$B:$B,S21&amp;"",'درخت جدید'!$A:$A,"معین")=0,D21,""))</x:f>
      </x:c>
      <x:c r="W21" s="27"/>
      <x:c r="X21" s="38"/>
    </x:row>
    <x:row r="22" spans="1:24">
      <x:c r="A22" s="21" t="s">
        <x:v>49</x:v>
      </x:c>
      <x:c r="B22" s="22" t="s">
        <x:v>135</x:v>
      </x:c>
      <x:c r="C22" s="22" t="s">
        <x:v>50</x:v>
      </x:c>
      <x:c r="D22" s="22" t="s">
        <x:v>225</x:v>
      </x:c>
      <x:c r="E22" s="22" t="s">
        <x:v>194</x:v>
      </x:c>
      <x:c r="F22" s="22" t="s">
        <x:v>194</x:v>
      </x:c>
      <x:c r="G22" s="22" t="s">
        <x:v>195</x:v>
      </x:c>
      <x:c r="H22" s="22">
        <x:v>129</x:v>
      </x:c>
      <x:c r="I22" s="22">
        <x:v>14</x:v>
      </x:c>
      <x:c r="J22" s="22">
        <x:v>201</x:v>
      </x:c>
      <x:c r="K22" s="23">
        <x:v>2451273889</x:v>
      </x:c>
      <x:c r="L22" s="23">
        <x:v>6463015698</x:v>
      </x:c>
      <x:c r="M22" s="23">
        <x:f>K22-L22</x:f>
      </x:c>
      <x:c r="N22" s="22" t="s">
        <x:v>196</x:v>
      </x:c>
      <x:c r="O22" s="24">
        <x:f>IFERROR(INDEX('تطبیق کل'!$J:$J,MATCH(A22&amp;"",'تطبیق کل'!$A:$A,0))&amp;"","")</x:f>
      </x:c>
      <x:c r="P22" s="24">
        <x:f>IF(O22="","",O22&amp;B22)</x:f>
      </x:c>
      <x:c r="Q22" s="24">
        <x:f>IF(P22="","",IFERROR(INDEX('درخت جدید'!$C:$C,MATCH(P22&amp;"",'درخت جدید'!$B:$B,0)),"— در درخت نیست؛ با نام قدیم ساخته می‌شود —"))</x:f>
      </x:c>
      <x:c r="R22" s="25"/>
      <x:c r="S22" s="26">
        <x:f>P22</x:f>
      </x:c>
      <x:c r="T22" s="22">
        <x:f>IF(S22="","",IFERROR(INDEX('درخت جدید'!$C:$C,MATCH(S22&amp;"",'درخت جدید'!$B:$B,0)),"(ساخته می‌شود) "&amp;V22))</x:f>
      </x:c>
      <x:c r="U22" s="22">
        <x:f>IF(S22="",IF(N22="بله","الزامی — تکمیل نشده",""),IF(AND(O22&lt;&gt;"",LEFT(S22&amp;"",4)&lt;&gt;O22),"زیر کل دیگری است — کل یا معین را اصلاح کنید",IF(AND(S22=P22,FALSE,W22=""),"تداخل: کد "&amp;S22&amp;" در برگهٔ درخت جدید با نام «"&amp;T22&amp;"» از قبل تعریف شده",IF(COUNTIFS('درخت جدید'!$B:$B,S22&amp;"",'درخت جدید'!$A:$A,"معین")=0,IF(V22="","کد در درخت نیست — نام برای تعریف را بنویسید","OK"),"OK"))))</x:f>
      </x:c>
      <x:c r="V22" s="27">
        <x:f>IF(S22="","",IF(COUNTIFS('درخت جدید'!$B:$B,S22&amp;"",'درخت جدید'!$A:$A,"معین")=0,D22,""))</x:f>
      </x:c>
      <x:c r="W22" s="27"/>
      <x:c r="X22" s="38">
        <x:v>4</x:v>
      </x:c>
    </x:row>
    <x:row r="23" spans="1:24">
      <x:c r="A23" s="21" t="s">
        <x:v>49</x:v>
      </x:c>
      <x:c r="B23" s="22" t="s">
        <x:v>213</x:v>
      </x:c>
      <x:c r="C23" s="22" t="s">
        <x:v>50</x:v>
      </x:c>
      <x:c r="D23" s="22" t="s">
        <x:v>226</x:v>
      </x:c>
      <x:c r="E23" s="22" t="s">
        <x:v>194</x:v>
      </x:c>
      <x:c r="F23" s="22" t="s">
        <x:v>194</x:v>
      </x:c>
      <x:c r="G23" s="22" t="s">
        <x:v>199</x:v>
      </x:c>
      <x:c r="H23" s="22">
        <x:v>1</x:v>
      </x:c>
      <x:c r="I23" s="22">
        <x:v>1</x:v>
      </x:c>
      <x:c r="J23" s="22">
        <x:v>16</x:v>
      </x:c>
      <x:c r="K23" s="23">
        <x:v>425591050</x:v>
      </x:c>
      <x:c r="L23" s="23">
        <x:v>745420850</x:v>
      </x:c>
      <x:c r="M23" s="23">
        <x:f>K23-L23</x:f>
      </x:c>
      <x:c r="N23" s="22" t="s">
        <x:v>196</x:v>
      </x:c>
      <x:c r="O23" s="24">
        <x:f>IFERROR(INDEX('تطبیق کل'!$J:$J,MATCH(A23&amp;"",'تطبیق کل'!$A:$A,0))&amp;"","")</x:f>
      </x:c>
      <x:c r="P23" s="24">
        <x:f>IF(O23="","",O23&amp;B23)</x:f>
      </x:c>
      <x:c r="Q23" s="24">
        <x:f>IF(P23="","",IFERROR(INDEX('درخت جدید'!$C:$C,MATCH(P23&amp;"",'درخت جدید'!$B:$B,0)),"— در درخت نیست؛ با نام قدیم ساخته می‌شود —"))</x:f>
      </x:c>
      <x:c r="R23" s="25"/>
      <x:c r="S23" s="26">
        <x:f>P23</x:f>
      </x:c>
      <x:c r="T23" s="22">
        <x:f>IF(S23="","",IFERROR(INDEX('درخت جدید'!$C:$C,MATCH(S23&amp;"",'درخت جدید'!$B:$B,0)),"(ساخته می‌شود) "&amp;V23))</x:f>
      </x:c>
      <x:c r="U23" s="22">
        <x:f>IF(S23="",IF(N23="بله","الزامی — تکمیل نشده",""),IF(AND(O23&lt;&gt;"",LEFT(S23&amp;"",4)&lt;&gt;O23),"زیر کل دیگری است — کل یا معین را اصلاح کنید",IF(AND(S23=P23,FALSE,W23=""),"تداخل: کد "&amp;S23&amp;" در برگهٔ درخت جدید با نام «"&amp;T23&amp;"» از قبل تعریف شده",IF(COUNTIFS('درخت جدید'!$B:$B,S23&amp;"",'درخت جدید'!$A:$A,"معین")=0,IF(V23="","کد در درخت نیست — نام برای تعریف را بنویسید","OK"),"OK"))))</x:f>
      </x:c>
      <x:c r="V23" s="27">
        <x:f>IF(S23="","",IF(COUNTIFS('درخت جدید'!$B:$B,S23&amp;"",'درخت جدید'!$A:$A,"معین")=0,D23,""))</x:f>
      </x:c>
      <x:c r="W23" s="27"/>
      <x:c r="X23" s="38"/>
    </x:row>
    <x:row r="24" spans="1:24">
      <x:c r="A24" s="21" t="s">
        <x:v>52</x:v>
      </x:c>
      <x:c r="B24" s="22" t="s">
        <x:v>227</x:v>
      </x:c>
      <x:c r="C24" s="22" t="s">
        <x:v>53</x:v>
      </x:c>
      <x:c r="D24" s="22" t="s">
        <x:v>228</x:v>
      </x:c>
      <x:c r="E24" s="22" t="s">
        <x:v>194</x:v>
      </x:c>
      <x:c r="F24" s="22" t="s">
        <x:v>194</x:v>
      </x:c>
      <x:c r="G24" s="22" t="s">
        <x:v>195</x:v>
      </x:c>
      <x:c r="H24" s="22">
        <x:v>40</x:v>
      </x:c>
      <x:c r="I24" s="22">
        <x:v>34</x:v>
      </x:c>
      <x:c r="J24" s="22">
        <x:v>520</x:v>
      </x:c>
      <x:c r="K24" s="23">
        <x:v>3291327378</x:v>
      </x:c>
      <x:c r="L24" s="23">
        <x:v>6326793296</x:v>
      </x:c>
      <x:c r="M24" s="23">
        <x:f>K24-L24</x:f>
      </x:c>
      <x:c r="N24" s="22" t="s">
        <x:v>196</x:v>
      </x:c>
      <x:c r="O24" s="24">
        <x:f>IFERROR(INDEX('تطبیق کل'!$J:$J,MATCH(A24&amp;"",'تطبیق کل'!$A:$A,0))&amp;"","")</x:f>
      </x:c>
      <x:c r="P24" s="24">
        <x:f>IF(O24="","",O24&amp;B24)</x:f>
      </x:c>
      <x:c r="Q24" s="24">
        <x:f>IF(P24="","",IFERROR(INDEX('درخت جدید'!$C:$C,MATCH(P24&amp;"",'درخت جدید'!$B:$B,0)),"— در درخت نیست؛ با نام قدیم ساخته می‌شود —"))</x:f>
      </x:c>
      <x:c r="R24" s="25"/>
      <x:c r="S24" s="26">
        <x:f>P24</x:f>
      </x:c>
      <x:c r="T24" s="22">
        <x:f>IF(S24="","",IFERROR(INDEX('درخت جدید'!$C:$C,MATCH(S24&amp;"",'درخت جدید'!$B:$B,0)),"(ساخته می‌شود) "&amp;V24))</x:f>
      </x:c>
      <x:c r="U24" s="22">
        <x:f>IF(S24="",IF(N24="بله","الزامی — تکمیل نشده",""),IF(AND(O24&lt;&gt;"",LEFT(S24&amp;"",4)&lt;&gt;O24),"زیر کل دیگری است — کل یا معین را اصلاح کنید",IF(AND(S24=P24,FALSE,W24=""),"تداخل: کد "&amp;S24&amp;" در برگهٔ درخت جدید با نام «"&amp;T24&amp;"» از قبل تعریف شده",IF(COUNTIFS('درخت جدید'!$B:$B,S24&amp;"",'درخت جدید'!$A:$A,"معین")=0,IF(V24="","کد در درخت نیست — نام برای تعریف را بنویسید","OK"),"OK"))))</x:f>
      </x:c>
      <x:c r="V24" s="27">
        <x:f>IF(S24="","",IF(COUNTIFS('درخت جدید'!$B:$B,S24&amp;"",'درخت جدید'!$A:$A,"معین")=0,D24,""))</x:f>
      </x:c>
      <x:c r="W24" s="27"/>
      <x:c r="X24" s="38"/>
    </x:row>
    <x:row r="25" spans="1:24">
      <x:c r="A25" s="21" t="s">
        <x:v>52</x:v>
      </x:c>
      <x:c r="B25" s="22" t="s">
        <x:v>209</x:v>
      </x:c>
      <x:c r="C25" s="22" t="s">
        <x:v>53</x:v>
      </x:c>
      <x:c r="D25" s="22" t="s">
        <x:v>229</x:v>
      </x:c>
      <x:c r="E25" s="22" t="s">
        <x:v>194</x:v>
      </x:c>
      <x:c r="F25" s="22" t="s">
        <x:v>194</x:v>
      </x:c>
      <x:c r="G25" s="22" t="s">
        <x:v>199</x:v>
      </x:c>
      <x:c r="H25" s="22">
        <x:v>645</x:v>
      </x:c>
      <x:c r="I25" s="22">
        <x:v>22</x:v>
      </x:c>
      <x:c r="J25" s="22">
        <x:v>202</x:v>
      </x:c>
      <x:c r="K25" s="23">
        <x:v>3315281676</x:v>
      </x:c>
      <x:c r="L25" s="23">
        <x:v>3448565726</x:v>
      </x:c>
      <x:c r="M25" s="23">
        <x:f>K25-L25</x:f>
      </x:c>
      <x:c r="N25" s="22" t="s">
        <x:v>196</x:v>
      </x:c>
      <x:c r="O25" s="24">
        <x:f>IFERROR(INDEX('تطبیق کل'!$J:$J,MATCH(A25&amp;"",'تطبیق کل'!$A:$A,0))&amp;"","")</x:f>
      </x:c>
      <x:c r="P25" s="24">
        <x:f>IF(O25="","",O25&amp;B25)</x:f>
      </x:c>
      <x:c r="Q25" s="24">
        <x:f>IF(P25="","",IFERROR(INDEX('درخت جدید'!$C:$C,MATCH(P25&amp;"",'درخت جدید'!$B:$B,0)),"— در درخت نیست؛ با نام قدیم ساخته می‌شود —"))</x:f>
      </x:c>
      <x:c r="R25" s="25"/>
      <x:c r="S25" s="26">
        <x:f>P25</x:f>
      </x:c>
      <x:c r="T25" s="22">
        <x:f>IF(S25="","",IFERROR(INDEX('درخت جدید'!$C:$C,MATCH(S25&amp;"",'درخت جدید'!$B:$B,0)),"(ساخته می‌شود) "&amp;V25))</x:f>
      </x:c>
      <x:c r="U25" s="22">
        <x:f>IF(S25="",IF(N25="بله","الزامی — تکمیل نشده",""),IF(AND(O25&lt;&gt;"",LEFT(S25&amp;"",4)&lt;&gt;O25),"زیر کل دیگری است — کل یا معین را اصلاح کنید",IF(AND(S25=P25,FALSE,W25=""),"تداخل: کد "&amp;S25&amp;" در برگهٔ درخت جدید با نام «"&amp;T25&amp;"» از قبل تعریف شده",IF(COUNTIFS('درخت جدید'!$B:$B,S25&amp;"",'درخت جدید'!$A:$A,"معین")=0,IF(V25="","کد در درخت نیست — نام برای تعریف را بنویسید","OK"),"OK"))))</x:f>
      </x:c>
      <x:c r="V25" s="27">
        <x:f>IF(S25="","",IF(COUNTIFS('درخت جدید'!$B:$B,S25&amp;"",'درخت جدید'!$A:$A,"معین")=0,D25,""))</x:f>
      </x:c>
      <x:c r="W25" s="27"/>
      <x:c r="X25" s="38"/>
    </x:row>
    <x:row r="26" spans="1:24">
      <x:c r="A26" s="21" t="s">
        <x:v>52</x:v>
      </x:c>
      <x:c r="B26" s="22" t="s">
        <x:v>89</x:v>
      </x:c>
      <x:c r="C26" s="22" t="s">
        <x:v>53</x:v>
      </x:c>
      <x:c r="D26" s="22" t="s">
        <x:v>230</x:v>
      </x:c>
      <x:c r="E26" s="22" t="s">
        <x:v>194</x:v>
      </x:c>
      <x:c r="F26" s="22" t="s">
        <x:v>194</x:v>
      </x:c>
      <x:c r="G26" s="22" t="s">
        <x:v>199</x:v>
      </x:c>
      <x:c r="H26" s="22">
        <x:v>8</x:v>
      </x:c>
      <x:c r="I26" s="22">
        <x:v>5</x:v>
      </x:c>
      <x:c r="J26" s="22">
        <x:v>40</x:v>
      </x:c>
      <x:c r="K26" s="23">
        <x:v>637277416</x:v>
      </x:c>
      <x:c r="L26" s="23">
        <x:v>661914715</x:v>
      </x:c>
      <x:c r="M26" s="23">
        <x:f>K26-L26</x:f>
      </x:c>
      <x:c r="N26" s="22" t="s">
        <x:v>196</x:v>
      </x:c>
      <x:c r="O26" s="24">
        <x:f>IFERROR(INDEX('تطبیق کل'!$J:$J,MATCH(A26&amp;"",'تطبیق کل'!$A:$A,0))&amp;"","")</x:f>
      </x:c>
      <x:c r="P26" s="24">
        <x:f>IF(O26="","",O26&amp;B26)</x:f>
      </x:c>
      <x:c r="Q26" s="24">
        <x:f>IF(P26="","",IFERROR(INDEX('درخت جدید'!$C:$C,MATCH(P26&amp;"",'درخت جدید'!$B:$B,0)),"— در درخت نیست؛ با نام قدیم ساخته می‌شود —"))</x:f>
      </x:c>
      <x:c r="R26" s="25">
        <x:v>0.17</x:v>
      </x:c>
      <x:c r="S26" s="26">
        <x:f>P26</x:f>
      </x:c>
      <x:c r="T26" s="22">
        <x:f>IF(S26="","",IFERROR(INDEX('درخت جدید'!$C:$C,MATCH(S26&amp;"",'درخت جدید'!$B:$B,0)),"(ساخته می‌شود) "&amp;V26))</x:f>
      </x:c>
      <x:c r="U26" s="22">
        <x:f>IF(S26="",IF(N26="بله","الزامی — تکمیل نشده",""),IF(AND(O26&lt;&gt;"",LEFT(S26&amp;"",4)&lt;&gt;O26),"زیر کل دیگری است — کل یا معین را اصلاح کنید",IF(AND(S26=P26,TRUE,W26=""),"تداخل: کد "&amp;S26&amp;" در برگهٔ درخت جدید با نام «"&amp;T26&amp;"» از قبل تعریف شده",IF(COUNTIFS('درخت جدید'!$B:$B,S26&amp;"",'درخت جدید'!$A:$A,"معین")=0,IF(V26="","کد در درخت نیست — نام برای تعریف را بنویسید","OK"),"OK"))))</x:f>
      </x:c>
      <x:c r="V26" s="27">
        <x:f>IF(S26="","",IF(COUNTIFS('درخت جدید'!$B:$B,S26&amp;"",'درخت جدید'!$A:$A,"معین")=0,D26,""))</x:f>
      </x:c>
      <x:c r="W26" s="27"/>
      <x:c r="X26" s="38"/>
    </x:row>
    <x:row r="27" spans="1:24">
      <x:c r="A27" s="21" t="s">
        <x:v>52</x:v>
      </x:c>
      <x:c r="B27" s="22" t="s">
        <x:v>104</x:v>
      </x:c>
      <x:c r="C27" s="22" t="s">
        <x:v>53</x:v>
      </x:c>
      <x:c r="D27" s="22" t="s">
        <x:v>231</x:v>
      </x:c>
      <x:c r="E27" s="22" t="s">
        <x:v>194</x:v>
      </x:c>
      <x:c r="F27" s="22" t="s">
        <x:v>194</x:v>
      </x:c>
      <x:c r="G27" s="22" t="s">
        <x:v>195</x:v>
      </x:c>
      <x:c r="H27" s="22">
        <x:v>4</x:v>
      </x:c>
      <x:c r="I27" s="22">
        <x:v>1</x:v>
      </x:c>
      <x:c r="J27" s="22">
        <x:v>6</x:v>
      </x:c>
      <x:c r="K27" s="23">
        <x:v>249120</x:v>
      </x:c>
      <x:c r="L27" s="23">
        <x:v>1245600</x:v>
      </x:c>
      <x:c r="M27" s="23">
        <x:f>K27-L27</x:f>
      </x:c>
      <x:c r="N27" s="22" t="s">
        <x:v>196</x:v>
      </x:c>
      <x:c r="O27" s="24">
        <x:f>IFERROR(INDEX('تطبیق کل'!$J:$J,MATCH(A27&amp;"",'تطبیق کل'!$A:$A,0))&amp;"","")</x:f>
      </x:c>
      <x:c r="P27" s="24">
        <x:f>IF(O27="","",O27&amp;B27)</x:f>
      </x:c>
      <x:c r="Q27" s="24">
        <x:f>IF(P27="","",IFERROR(INDEX('درخت جدید'!$C:$C,MATCH(P27&amp;"",'درخت جدید'!$B:$B,0)),"— در درخت نیست؛ با نام قدیم ساخته می‌شود —"))</x:f>
      </x:c>
      <x:c r="R27" s="25"/>
      <x:c r="S27" s="26">
        <x:f>P27</x:f>
      </x:c>
      <x:c r="T27" s="22">
        <x:f>IF(S27="","",IFERROR(INDEX('درخت جدید'!$C:$C,MATCH(S27&amp;"",'درخت جدید'!$B:$B,0)),"(ساخته می‌شود) "&amp;V27))</x:f>
      </x:c>
      <x:c r="U27" s="22">
        <x:f>IF(S27="",IF(N27="بله","الزامی — تکمیل نشده",""),IF(AND(O27&lt;&gt;"",LEFT(S27&amp;"",4)&lt;&gt;O27),"زیر کل دیگری است — کل یا معین را اصلاح کنید",IF(AND(S27=P27,FALSE,W27=""),"تداخل: کد "&amp;S27&amp;" در برگهٔ درخت جدید با نام «"&amp;T27&amp;"» از قبل تعریف شده",IF(COUNTIFS('درخت جدید'!$B:$B,S27&amp;"",'درخت جدید'!$A:$A,"معین")=0,IF(V27="","کد در درخت نیست — نام برای تعریف را بنویسید","OK"),"OK"))))</x:f>
      </x:c>
      <x:c r="V27" s="27">
        <x:f>IF(S27="","",IF(COUNTIFS('درخت جدید'!$B:$B,S27&amp;"",'درخت جدید'!$A:$A,"معین")=0,D27,""))</x:f>
      </x:c>
      <x:c r="W27" s="27"/>
      <x:c r="X27" s="38"/>
    </x:row>
    <x:row r="28" spans="1:24">
      <x:c r="A28" s="21" t="s">
        <x:v>52</x:v>
      </x:c>
      <x:c r="B28" s="22" t="s">
        <x:v>162</x:v>
      </x:c>
      <x:c r="C28" s="22" t="s">
        <x:v>53</x:v>
      </x:c>
      <x:c r="D28" s="22" t="s">
        <x:v>232</x:v>
      </x:c>
      <x:c r="E28" s="22" t="s">
        <x:v>194</x:v>
      </x:c>
      <x:c r="F28" s="22" t="s">
        <x:v>194</x:v>
      </x:c>
      <x:c r="G28" s="22" t="s">
        <x:v>199</x:v>
      </x:c>
      <x:c r="H28" s="22">
        <x:v>1</x:v>
      </x:c>
      <x:c r="I28" s="22">
        <x:v>1</x:v>
      </x:c>
      <x:c r="J28" s="22">
        <x:v>300</x:v>
      </x:c>
      <x:c r="K28" s="23">
        <x:v>32948310413</x:v>
      </x:c>
      <x:c r="L28" s="23">
        <x:v>0</x:v>
      </x:c>
      <x:c r="M28" s="23">
        <x:f>K28-L28</x:f>
      </x:c>
      <x:c r="N28" s="22" t="s">
        <x:v>196</x:v>
      </x:c>
      <x:c r="O28" s="24">
        <x:f>IFERROR(INDEX('تطبیق کل'!$J:$J,MATCH(A28&amp;"",'تطبیق کل'!$A:$A,0))&amp;"","")</x:f>
      </x:c>
      <x:c r="P28" s="24">
        <x:f>IF(O28="","",O28&amp;B28)</x:f>
      </x:c>
      <x:c r="Q28" s="24">
        <x:f>IF(P28="","",IFERROR(INDEX('درخت جدید'!$C:$C,MATCH(P28&amp;"",'درخت جدید'!$B:$B,0)),"— در درخت نیست؛ با نام قدیم ساخته می‌شود —"))</x:f>
      </x:c>
      <x:c r="R28" s="25"/>
      <x:c r="S28" s="26">
        <x:f>P28</x:f>
      </x:c>
      <x:c r="T28" s="22">
        <x:f>IF(S28="","",IFERROR(INDEX('درخت جدید'!$C:$C,MATCH(S28&amp;"",'درخت جدید'!$B:$B,0)),"(ساخته می‌شود) "&amp;V28))</x:f>
      </x:c>
      <x:c r="U28" s="22">
        <x:f>IF(S28="",IF(N28="بله","الزامی — تکمیل نشده",""),IF(AND(O28&lt;&gt;"",LEFT(S28&amp;"",4)&lt;&gt;O28),"زیر کل دیگری است — کل یا معین را اصلاح کنید",IF(AND(S28=P28,FALSE,W28=""),"تداخل: کد "&amp;S28&amp;" در برگهٔ درخت جدید با نام «"&amp;T28&amp;"» از قبل تعریف شده",IF(COUNTIFS('درخت جدید'!$B:$B,S28&amp;"",'درخت جدید'!$A:$A,"معین")=0,IF(V28="","کد در درخت نیست — نام برای تعریف را بنویسید","OK"),"OK"))))</x:f>
      </x:c>
      <x:c r="V28" s="27">
        <x:f>IF(S28="","",IF(COUNTIFS('درخت جدید'!$B:$B,S28&amp;"",'درخت جدید'!$A:$A,"معین")=0,D28,""))</x:f>
      </x:c>
      <x:c r="W28" s="27"/>
      <x:c r="X28" s="38"/>
    </x:row>
    <x:row r="29" spans="1:24">
      <x:c r="A29" s="21" t="s">
        <x:v>59</x:v>
      </x:c>
      <x:c r="B29" s="22" t="s">
        <x:v>202</x:v>
      </x:c>
      <x:c r="C29" s="22" t="s">
        <x:v>60</x:v>
      </x:c>
      <x:c r="D29" s="22" t="s">
        <x:v>233</x:v>
      </x:c>
      <x:c r="E29" s="22" t="s">
        <x:v>194</x:v>
      </x:c>
      <x:c r="F29" s="22" t="s">
        <x:v>194</x:v>
      </x:c>
      <x:c r="G29" s="22" t="s">
        <x:v>199</x:v>
      </x:c>
      <x:c r="H29" s="22">
        <x:v>3</x:v>
      </x:c>
      <x:c r="I29" s="22">
        <x:v>1</x:v>
      </x:c>
      <x:c r="J29" s="22">
        <x:v>23</x:v>
      </x:c>
      <x:c r="K29" s="23">
        <x:v>500000000</x:v>
      </x:c>
      <x:c r="L29" s="23">
        <x:v>550000000</x:v>
      </x:c>
      <x:c r="M29" s="23">
        <x:f>K29-L29</x:f>
      </x:c>
      <x:c r="N29" s="22" t="s">
        <x:v>196</x:v>
      </x:c>
      <x:c r="O29" s="24">
        <x:f>IFERROR(INDEX('تطبیق کل'!$J:$J,MATCH(A29&amp;"",'تطبیق کل'!$A:$A,0))&amp;"","")</x:f>
      </x:c>
      <x:c r="P29" s="24">
        <x:f>IF(O29="","",O29&amp;B29)</x:f>
      </x:c>
      <x:c r="Q29" s="24">
        <x:f>IF(P29="","",IFERROR(INDEX('درخت جدید'!$C:$C,MATCH(P29&amp;"",'درخت جدید'!$B:$B,0)),"— در درخت نیست؛ با نام قدیم ساخته می‌شود —"))</x:f>
      </x:c>
      <x:c r="R29" s="25"/>
      <x:c r="S29" s="26">
        <x:f>P29</x:f>
      </x:c>
      <x:c r="T29" s="22">
        <x:f>IF(S29="","",IFERROR(INDEX('درخت جدید'!$C:$C,MATCH(S29&amp;"",'درخت جدید'!$B:$B,0)),"(ساخته می‌شود) "&amp;V29))</x:f>
      </x:c>
      <x:c r="U29" s="22">
        <x:f>IF(S29="",IF(N29="بله","الزامی — تکمیل نشده",""),IF(AND(O29&lt;&gt;"",LEFT(S29&amp;"",4)&lt;&gt;O29),"زیر کل دیگری است — کل یا معین را اصلاح کنید",IF(AND(S29=P29,FALSE,W29=""),"تداخل: کد "&amp;S29&amp;" در برگهٔ درخت جدید با نام «"&amp;T29&amp;"» از قبل تعریف شده",IF(COUNTIFS('درخت جدید'!$B:$B,S29&amp;"",'درخت جدید'!$A:$A,"معین")=0,IF(V29="","کد در درخت نیست — نام برای تعریف را بنویسید","OK"),"OK"))))</x:f>
      </x:c>
      <x:c r="V29" s="27">
        <x:f>IF(S29="","",IF(COUNTIFS('درخت جدید'!$B:$B,S29&amp;"",'درخت جدید'!$A:$A,"معین")=0,D29,""))</x:f>
      </x:c>
      <x:c r="W29" s="27"/>
      <x:c r="X29" s="38"/>
    </x:row>
    <x:row r="30" spans="1:24">
      <x:c r="A30" s="21" t="s">
        <x:v>63</x:v>
      </x:c>
      <x:c r="B30" s="22" t="s">
        <x:v>14</x:v>
      </x:c>
      <x:c r="C30" s="22" t="s">
        <x:v>64</x:v>
      </x:c>
      <x:c r="D30" s="22" t="s">
        <x:v>234</x:v>
      </x:c>
      <x:c r="E30" s="22" t="s">
        <x:v>194</x:v>
      </x:c>
      <x:c r="F30" s="22" t="s">
        <x:v>194</x:v>
      </x:c>
      <x:c r="G30" s="22" t="s">
        <x:v>199</x:v>
      </x:c>
      <x:c r="H30" s="22">
        <x:v>4</x:v>
      </x:c>
      <x:c r="I30" s="22">
        <x:v>1</x:v>
      </x:c>
      <x:c r="J30" s="22">
        <x:v>433</x:v>
      </x:c>
      <x:c r="K30" s="23">
        <x:v>1403809200</x:v>
      </x:c>
      <x:c r="L30" s="23">
        <x:v>1403809200</x:v>
      </x:c>
      <x:c r="M30" s="23">
        <x:f>K30-L30</x:f>
      </x:c>
      <x:c r="N30" s="22" t="s">
        <x:v>196</x:v>
      </x:c>
      <x:c r="O30" s="24">
        <x:f>IFERROR(INDEX('تطبیق کل'!$J:$J,MATCH(A30&amp;"",'تطبیق کل'!$A:$A,0))&amp;"","")</x:f>
      </x:c>
      <x:c r="P30" s="24">
        <x:f>IF(O30="","",O30&amp;B30)</x:f>
      </x:c>
      <x:c r="Q30" s="24">
        <x:f>IF(P30="","",IFERROR(INDEX('درخت جدید'!$C:$C,MATCH(P30&amp;"",'درخت جدید'!$B:$B,0)),"— در درخت نیست؛ با نام قدیم ساخته می‌شود —"))</x:f>
      </x:c>
      <x:c r="R30" s="25">
        <x:v>0.18</x:v>
      </x:c>
      <x:c r="S30" s="26">
        <x:f>P30</x:f>
      </x:c>
      <x:c r="T30" s="22">
        <x:f>IF(S30="","",IFERROR(INDEX('درخت جدید'!$C:$C,MATCH(S30&amp;"",'درخت جدید'!$B:$B,0)),"(ساخته می‌شود) "&amp;V30))</x:f>
      </x:c>
      <x:c r="U30" s="22">
        <x:f>IF(S30="",IF(N30="بله","الزامی — تکمیل نشده",""),IF(AND(O30&lt;&gt;"",LEFT(S30&amp;"",4)&lt;&gt;O30),"زیر کل دیگری است — کل یا معین را اصلاح کنید",IF(AND(S30=P30,TRUE,W30=""),"تداخل: کد "&amp;S30&amp;" در برگهٔ درخت جدید با نام «"&amp;T30&amp;"» از قبل تعریف شده",IF(COUNTIFS('درخت جدید'!$B:$B,S30&amp;"",'درخت جدید'!$A:$A,"معین")=0,IF(V30="","کد در درخت نیست — نام برای تعریف را بنویسید","OK"),"OK"))))</x:f>
      </x:c>
      <x:c r="V30" s="27">
        <x:f>IF(S30="","",IF(COUNTIFS('درخت جدید'!$B:$B,S30&amp;"",'درخت جدید'!$A:$A,"معین")=0,D30,""))</x:f>
      </x:c>
      <x:c r="W30" s="27"/>
      <x:c r="X30" s="38">
        <x:v>7</x:v>
      </x:c>
    </x:row>
    <x:row r="31" spans="1:24">
      <x:c r="A31" s="21" t="s">
        <x:v>63</x:v>
      </x:c>
      <x:c r="B31" s="22" t="s">
        <x:v>197</x:v>
      </x:c>
      <x:c r="C31" s="22" t="s">
        <x:v>64</x:v>
      </x:c>
      <x:c r="D31" s="22" t="s">
        <x:v>235</x:v>
      </x:c>
      <x:c r="E31" s="22" t="s">
        <x:v>194</x:v>
      </x:c>
      <x:c r="F31" s="22" t="s">
        <x:v>194</x:v>
      </x:c>
      <x:c r="G31" s="22" t="s">
        <x:v>199</x:v>
      </x:c>
      <x:c r="H31" s="22">
        <x:v>5</x:v>
      </x:c>
      <x:c r="I31" s="22">
        <x:v>1</x:v>
      </x:c>
      <x:c r="J31" s="22">
        <x:v>632</x:v>
      </x:c>
      <x:c r="K31" s="23">
        <x:v>156791549953</x:v>
      </x:c>
      <x:c r="L31" s="23">
        <x:v>168772213423</x:v>
      </x:c>
      <x:c r="M31" s="23">
        <x:f>K31-L31</x:f>
      </x:c>
      <x:c r="N31" s="22" t="s">
        <x:v>196</x:v>
      </x:c>
      <x:c r="O31" s="24">
        <x:f>IFERROR(INDEX('تطبیق کل'!$J:$J,MATCH(A31&amp;"",'تطبیق کل'!$A:$A,0))&amp;"","")</x:f>
      </x:c>
      <x:c r="P31" s="24">
        <x:f>IF(O31="","",O31&amp;B31)</x:f>
      </x:c>
      <x:c r="Q31" s="24">
        <x:f>IF(P31="","",IFERROR(INDEX('درخت جدید'!$C:$C,MATCH(P31&amp;"",'درخت جدید'!$B:$B,0)),"— در درخت نیست؛ با نام قدیم ساخته می‌شود —"))</x:f>
      </x:c>
      <x:c r="R31" s="25">
        <x:v>0.35</x:v>
      </x:c>
      <x:c r="S31" s="26">
        <x:f>P31</x:f>
      </x:c>
      <x:c r="T31" s="22">
        <x:f>IF(S31="","",IFERROR(INDEX('درخت جدید'!$C:$C,MATCH(S31&amp;"",'درخت جدید'!$B:$B,0)),"(ساخته می‌شود) "&amp;V31))</x:f>
      </x:c>
      <x:c r="U31" s="22">
        <x:f>IF(S31="",IF(N31="بله","الزامی — تکمیل نشده",""),IF(AND(O31&lt;&gt;"",LEFT(S31&amp;"",4)&lt;&gt;O31),"زیر کل دیگری است — کل یا معین را اصلاح کنید",IF(AND(S31=P31,TRUE,W31=""),"تداخل: کد "&amp;S31&amp;" در برگهٔ درخت جدید با نام «"&amp;T31&amp;"» از قبل تعریف شده",IF(COUNTIFS('درخت جدید'!$B:$B,S31&amp;"",'درخت جدید'!$A:$A,"معین")=0,IF(V31="","کد در درخت نیست — نام برای تعریف را بنویسید","OK"),"OK"))))</x:f>
      </x:c>
      <x:c r="V31" s="27">
        <x:f>IF(S31="","",IF(COUNTIFS('درخت جدید'!$B:$B,S31&amp;"",'درخت جدید'!$A:$A,"معین")=0,D31,""))</x:f>
      </x:c>
      <x:c r="W31" s="27"/>
      <x:c r="X31" s="38">
        <x:v>7</x:v>
      </x:c>
    </x:row>
    <x:row r="32" spans="1:24">
      <x:c r="A32" s="21" t="s">
        <x:v>63</x:v>
      </x:c>
      <x:c r="B32" s="22" t="s">
        <x:v>200</x:v>
      </x:c>
      <x:c r="C32" s="22" t="s">
        <x:v>64</x:v>
      </x:c>
      <x:c r="D32" s="22" t="s">
        <x:v>236</x:v>
      </x:c>
      <x:c r="E32" s="22" t="s">
        <x:v>194</x:v>
      </x:c>
      <x:c r="F32" s="22" t="s">
        <x:v>194</x:v>
      </x:c>
      <x:c r="G32" s="22" t="s">
        <x:v>195</x:v>
      </x:c>
      <x:c r="H32" s="22">
        <x:v>2</x:v>
      </x:c>
      <x:c r="I32" s="22">
        <x:v>1</x:v>
      </x:c>
      <x:c r="J32" s="22">
        <x:v>6</x:v>
      </x:c>
      <x:c r="K32" s="23">
        <x:v>260000000</x:v>
      </x:c>
      <x:c r="L32" s="23">
        <x:v>252961890</x:v>
      </x:c>
      <x:c r="M32" s="23">
        <x:f>K32-L32</x:f>
      </x:c>
      <x:c r="N32" s="22" t="s">
        <x:v>196</x:v>
      </x:c>
      <x:c r="O32" s="24">
        <x:f>IFERROR(INDEX('تطبیق کل'!$J:$J,MATCH(A32&amp;"",'تطبیق کل'!$A:$A,0))&amp;"","")</x:f>
      </x:c>
      <x:c r="P32" s="24">
        <x:f>IF(O32="","",O32&amp;B32)</x:f>
      </x:c>
      <x:c r="Q32" s="24">
        <x:f>IF(P32="","",IFERROR(INDEX('درخت جدید'!$C:$C,MATCH(P32&amp;"",'درخت جدید'!$B:$B,0)),"— در درخت نیست؛ با نام قدیم ساخته می‌شود —"))</x:f>
      </x:c>
      <x:c r="R32" s="25"/>
      <x:c r="S32" s="26">
        <x:f>P32</x:f>
      </x:c>
      <x:c r="T32" s="22">
        <x:f>IF(S32="","",IFERROR(INDEX('درخت جدید'!$C:$C,MATCH(S32&amp;"",'درخت جدید'!$B:$B,0)),"(ساخته می‌شود) "&amp;V32))</x:f>
      </x:c>
      <x:c r="U32" s="22">
        <x:f>IF(S32="",IF(N32="بله","الزامی — تکمیل نشده",""),IF(AND(O32&lt;&gt;"",LEFT(S32&amp;"",4)&lt;&gt;O32),"زیر کل دیگری است — کل یا معین را اصلاح کنید",IF(AND(S32=P32,FALSE,W32=""),"تداخل: کد "&amp;S32&amp;" در برگهٔ درخت جدید با نام «"&amp;T32&amp;"» از قبل تعریف شده",IF(COUNTIFS('درخت جدید'!$B:$B,S32&amp;"",'درخت جدید'!$A:$A,"معین")=0,IF(V32="","کد در درخت نیست — نام برای تعریف را بنویسید","OK"),"OK"))))</x:f>
      </x:c>
      <x:c r="V32" s="27">
        <x:f>IF(S32="","",IF(COUNTIFS('درخت جدید'!$B:$B,S32&amp;"",'درخت جدید'!$A:$A,"معین")=0,D32,""))</x:f>
      </x:c>
      <x:c r="W32" s="27"/>
      <x:c r="X32" s="38"/>
    </x:row>
    <x:row r="33" spans="1:24">
      <x:c r="A33" s="21" t="s">
        <x:v>70</x:v>
      </x:c>
      <x:c r="B33" s="22" t="s">
        <x:v>237</x:v>
      </x:c>
      <x:c r="C33" s="22" t="s">
        <x:v>71</x:v>
      </x:c>
      <x:c r="D33" s="22" t="s">
        <x:v>238</x:v>
      </x:c>
      <x:c r="E33" s="22" t="s">
        <x:v>195</x:v>
      </x:c>
      <x:c r="F33" s="22" t="s">
        <x:v>194</x:v>
      </x:c>
      <x:c r="G33" s="22" t="s">
        <x:v>199</x:v>
      </x:c>
      <x:c r="H33" s="22">
        <x:v>4</x:v>
      </x:c>
      <x:c r="I33" s="22">
        <x:v>1</x:v>
      </x:c>
      <x:c r="J33" s="22">
        <x:v>56</x:v>
      </x:c>
      <x:c r="K33" s="23">
        <x:v>8930821268</x:v>
      </x:c>
      <x:c r="L33" s="23">
        <x:v>8189750143</x:v>
      </x:c>
      <x:c r="M33" s="23">
        <x:f>K33-L33</x:f>
      </x:c>
      <x:c r="N33" s="22" t="s">
        <x:v>196</x:v>
      </x:c>
      <x:c r="O33" s="24">
        <x:f>IFERROR(INDEX('تطبیق کل'!$J:$J,MATCH(A33&amp;"",'تطبیق کل'!$A:$A,0))&amp;"","")</x:f>
      </x:c>
      <x:c r="P33" s="24">
        <x:f>IF(O33="","",O33&amp;B33)</x:f>
      </x:c>
      <x:c r="Q33" s="24">
        <x:f>IF(P33="","",IFERROR(INDEX('درخت جدید'!$C:$C,MATCH(P33&amp;"",'درخت جدید'!$B:$B,0)),"— در درخت نیست؛ با نام قدیم ساخته می‌شود —"))</x:f>
      </x:c>
      <x:c r="R33" s="25"/>
      <x:c r="S33" s="26">
        <x:f>P33</x:f>
      </x:c>
      <x:c r="T33" s="22">
        <x:f>IF(S33="","",IFERROR(INDEX('درخت جدید'!$C:$C,MATCH(S33&amp;"",'درخت جدید'!$B:$B,0)),"(ساخته می‌شود) "&amp;V33))</x:f>
      </x:c>
      <x:c r="U33" s="22">
        <x:f>IF(S33="",IF(N33="بله","الزامی — تکمیل نشده",""),IF(AND(O33&lt;&gt;"",LEFT(S33&amp;"",4)&lt;&gt;O33),"زیر کل دیگری است — کل یا معین را اصلاح کنید",IF(AND(S33=P33,FALSE,W33=""),"تداخل: کد "&amp;S33&amp;" در برگهٔ درخت جدید با نام «"&amp;T33&amp;"» از قبل تعریف شده",IF(COUNTIFS('درخت جدید'!$B:$B,S33&amp;"",'درخت جدید'!$A:$A,"معین")=0,IF(V33="","کد در درخت نیست — نام برای تعریف را بنویسید","OK"),"OK"))))</x:f>
      </x:c>
      <x:c r="V33" s="27">
        <x:f>IF(S33="","",IF(COUNTIFS('درخت جدید'!$B:$B,S33&amp;"",'درخت جدید'!$A:$A,"معین")=0,D33,""))</x:f>
      </x:c>
      <x:c r="W33" s="27"/>
      <x:c r="X33" s="38"/>
    </x:row>
    <x:row r="34" spans="1:24">
      <x:c r="A34" s="21" t="s">
        <x:v>70</x:v>
      </x:c>
      <x:c r="B34" s="22" t="s">
        <x:v>239</x:v>
      </x:c>
      <x:c r="C34" s="22" t="s">
        <x:v>71</x:v>
      </x:c>
      <x:c r="D34" s="22" t="s">
        <x:v>240</x:v>
      </x:c>
      <x:c r="E34" s="22" t="s">
        <x:v>195</x:v>
      </x:c>
      <x:c r="F34" s="22" t="s">
        <x:v>194</x:v>
      </x:c>
      <x:c r="G34" s="22" t="s">
        <x:v>199</x:v>
      </x:c>
      <x:c r="H34" s="22">
        <x:v>3</x:v>
      </x:c>
      <x:c r="I34" s="22">
        <x:v>1</x:v>
      </x:c>
      <x:c r="J34" s="22">
        <x:v>38</x:v>
      </x:c>
      <x:c r="K34" s="23">
        <x:v>9908144083</x:v>
      </x:c>
      <x:c r="L34" s="23">
        <x:v>9161700930</x:v>
      </x:c>
      <x:c r="M34" s="23">
        <x:f>K34-L34</x:f>
      </x:c>
      <x:c r="N34" s="22" t="s">
        <x:v>196</x:v>
      </x:c>
      <x:c r="O34" s="24">
        <x:f>IFERROR(INDEX('تطبیق کل'!$J:$J,MATCH(A34&amp;"",'تطبیق کل'!$A:$A,0))&amp;"","")</x:f>
      </x:c>
      <x:c r="P34" s="24">
        <x:f>IF(O34="","",O34&amp;B34)</x:f>
      </x:c>
      <x:c r="Q34" s="24">
        <x:f>IF(P34="","",IFERROR(INDEX('درخت جدید'!$C:$C,MATCH(P34&amp;"",'درخت جدید'!$B:$B,0)),"— در درخت نیست؛ با نام قدیم ساخته می‌شود —"))</x:f>
      </x:c>
      <x:c r="R34" s="25"/>
      <x:c r="S34" s="26">
        <x:f>P34</x:f>
      </x:c>
      <x:c r="T34" s="22">
        <x:f>IF(S34="","",IFERROR(INDEX('درخت جدید'!$C:$C,MATCH(S34&amp;"",'درخت جدید'!$B:$B,0)),"(ساخته می‌شود) "&amp;V34))</x:f>
      </x:c>
      <x:c r="U34" s="22">
        <x:f>IF(S34="",IF(N34="بله","الزامی — تکمیل نشده",""),IF(AND(O34&lt;&gt;"",LEFT(S34&amp;"",4)&lt;&gt;O34),"زیر کل دیگری است — کل یا معین را اصلاح کنید",IF(AND(S34=P34,FALSE,W34=""),"تداخل: کد "&amp;S34&amp;" در برگهٔ درخت جدید با نام «"&amp;T34&amp;"» از قبل تعریف شده",IF(COUNTIFS('درخت جدید'!$B:$B,S34&amp;"",'درخت جدید'!$A:$A,"معین")=0,IF(V34="","کد در درخت نیست — نام برای تعریف را بنویسید","OK"),"OK"))))</x:f>
      </x:c>
      <x:c r="V34" s="27">
        <x:f>IF(S34="","",IF(COUNTIFS('درخت جدید'!$B:$B,S34&amp;"",'درخت جدید'!$A:$A,"معین")=0,D34,""))</x:f>
      </x:c>
      <x:c r="W34" s="27"/>
      <x:c r="X34" s="38"/>
    </x:row>
    <x:row r="35" spans="1:24">
      <x:c r="A35" s="21" t="s">
        <x:v>70</x:v>
      </x:c>
      <x:c r="B35" s="22" t="s">
        <x:v>202</x:v>
      </x:c>
      <x:c r="C35" s="22" t="s">
        <x:v>71</x:v>
      </x:c>
      <x:c r="D35" s="22" t="s">
        <x:v>241</x:v>
      </x:c>
      <x:c r="E35" s="22" t="s">
        <x:v>195</x:v>
      </x:c>
      <x:c r="F35" s="22" t="s">
        <x:v>194</x:v>
      </x:c>
      <x:c r="G35" s="22" t="s">
        <x:v>195</x:v>
      </x:c>
      <x:c r="H35" s="22">
        <x:v>2</x:v>
      </x:c>
      <x:c r="I35" s="22">
        <x:v>1</x:v>
      </x:c>
      <x:c r="J35" s="22">
        <x:v>50</x:v>
      </x:c>
      <x:c r="K35" s="23">
        <x:v>747293450</x:v>
      </x:c>
      <x:c r="L35" s="23">
        <x:v>657246050</x:v>
      </x:c>
      <x:c r="M35" s="23">
        <x:f>K35-L35</x:f>
      </x:c>
      <x:c r="N35" s="22" t="s">
        <x:v>196</x:v>
      </x:c>
      <x:c r="O35" s="24">
        <x:f>IFERROR(INDEX('تطبیق کل'!$J:$J,MATCH(A35&amp;"",'تطبیق کل'!$A:$A,0))&amp;"","")</x:f>
      </x:c>
      <x:c r="P35" s="24">
        <x:f>IF(O35="","",O35&amp;B35)</x:f>
      </x:c>
      <x:c r="Q35" s="24">
        <x:f>IF(P35="","",IFERROR(INDEX('درخت جدید'!$C:$C,MATCH(P35&amp;"",'درخت جدید'!$B:$B,0)),"— در درخت نیست؛ با نام قدیم ساخته می‌شود —"))</x:f>
      </x:c>
      <x:c r="R35" s="25"/>
      <x:c r="S35" s="26">
        <x:f>P35</x:f>
      </x:c>
      <x:c r="T35" s="22">
        <x:f>IF(S35="","",IFERROR(INDEX('درخت جدید'!$C:$C,MATCH(S35&amp;"",'درخت جدید'!$B:$B,0)),"(ساخته می‌شود) "&amp;V35))</x:f>
      </x:c>
      <x:c r="U35" s="22">
        <x:f>IF(S35="",IF(N35="بله","الزامی — تکمیل نشده",""),IF(AND(O35&lt;&gt;"",LEFT(S35&amp;"",4)&lt;&gt;O35),"زیر کل دیگری است — کل یا معین را اصلاح کنید",IF(AND(S35=P35,FALSE,W35=""),"تداخل: کد "&amp;S35&amp;" در برگهٔ درخت جدید با نام «"&amp;T35&amp;"» از قبل تعریف شده",IF(COUNTIFS('درخت جدید'!$B:$B,S35&amp;"",'درخت جدید'!$A:$A,"معین")=0,IF(V35="","کد در درخت نیست — نام برای تعریف را بنویسید","OK"),"OK"))))</x:f>
      </x:c>
      <x:c r="V35" s="27">
        <x:f>IF(S35="","",IF(COUNTIFS('درخت جدید'!$B:$B,S35&amp;"",'درخت جدید'!$A:$A,"معین")=0,D35,""))</x:f>
      </x:c>
      <x:c r="W35" s="27"/>
      <x:c r="X35" s="38"/>
    </x:row>
    <x:row r="36" spans="1:24">
      <x:c r="A36" s="21" t="s">
        <x:v>70</x:v>
      </x:c>
      <x:c r="B36" s="22" t="s">
        <x:v>18</x:v>
      </x:c>
      <x:c r="C36" s="22" t="s">
        <x:v>71</x:v>
      </x:c>
      <x:c r="D36" s="22" t="s">
        <x:v>242</x:v>
      </x:c>
      <x:c r="E36" s="22" t="s">
        <x:v>195</x:v>
      </x:c>
      <x:c r="F36" s="22" t="s">
        <x:v>194</x:v>
      </x:c>
      <x:c r="G36" s="22" t="s">
        <x:v>199</x:v>
      </x:c>
      <x:c r="H36" s="22">
        <x:v>2</x:v>
      </x:c>
      <x:c r="I36" s="22">
        <x:v>1</x:v>
      </x:c>
      <x:c r="J36" s="22">
        <x:v>42</x:v>
      </x:c>
      <x:c r="K36" s="23">
        <x:v>3644821751</x:v>
      </x:c>
      <x:c r="L36" s="23">
        <x:v>3360612779</x:v>
      </x:c>
      <x:c r="M36" s="23">
        <x:f>K36-L36</x:f>
      </x:c>
      <x:c r="N36" s="22" t="s">
        <x:v>196</x:v>
      </x:c>
      <x:c r="O36" s="24">
        <x:f>IFERROR(INDEX('تطبیق کل'!$J:$J,MATCH(A36&amp;"",'تطبیق کل'!$A:$A,0))&amp;"","")</x:f>
      </x:c>
      <x:c r="P36" s="24">
        <x:f>IF(O36="","",O36&amp;B36)</x:f>
      </x:c>
      <x:c r="Q36" s="24">
        <x:f>IF(P36="","",IFERROR(INDEX('درخت جدید'!$C:$C,MATCH(P36&amp;"",'درخت جدید'!$B:$B,0)),"— در درخت نیست؛ با نام قدیم ساخته می‌شود —"))</x:f>
      </x:c>
      <x:c r="R36" s="25"/>
      <x:c r="S36" s="26">
        <x:f>P36</x:f>
      </x:c>
      <x:c r="T36" s="22">
        <x:f>IF(S36="","",IFERROR(INDEX('درخت جدید'!$C:$C,MATCH(S36&amp;"",'درخت جدید'!$B:$B,0)),"(ساخته می‌شود) "&amp;V36))</x:f>
      </x:c>
      <x:c r="U36" s="22">
        <x:f>IF(S36="",IF(N36="بله","الزامی — تکمیل نشده",""),IF(AND(O36&lt;&gt;"",LEFT(S36&amp;"",4)&lt;&gt;O36),"زیر کل دیگری است — کل یا معین را اصلاح کنید",IF(AND(S36=P36,FALSE,W36=""),"تداخل: کد "&amp;S36&amp;" در برگهٔ درخت جدید با نام «"&amp;T36&amp;"» از قبل تعریف شده",IF(COUNTIFS('درخت جدید'!$B:$B,S36&amp;"",'درخت جدید'!$A:$A,"معین")=0,IF(V36="","کد در درخت نیست — نام برای تعریف را بنویسید","OK"),"OK"))))</x:f>
      </x:c>
      <x:c r="V36" s="27">
        <x:f>IF(S36="","",IF(COUNTIFS('درخت جدید'!$B:$B,S36&amp;"",'درخت جدید'!$A:$A,"معین")=0,D36,""))</x:f>
      </x:c>
      <x:c r="W36" s="27"/>
      <x:c r="X36" s="38"/>
    </x:row>
    <x:row r="37" spans="1:24">
      <x:c r="A37" s="21" t="s">
        <x:v>70</x:v>
      </x:c>
      <x:c r="B37" s="22" t="s">
        <x:v>24</x:v>
      </x:c>
      <x:c r="C37" s="22" t="s">
        <x:v>71</x:v>
      </x:c>
      <x:c r="D37" s="22" t="s">
        <x:v>243</x:v>
      </x:c>
      <x:c r="E37" s="22" t="s">
        <x:v>195</x:v>
      </x:c>
      <x:c r="F37" s="22" t="s">
        <x:v>194</x:v>
      </x:c>
      <x:c r="G37" s="22" t="s">
        <x:v>199</x:v>
      </x:c>
      <x:c r="H37" s="22">
        <x:v>2</x:v>
      </x:c>
      <x:c r="I37" s="22">
        <x:v>1</x:v>
      </x:c>
      <x:c r="J37" s="22">
        <x:v>4</x:v>
      </x:c>
      <x:c r="K37" s="23">
        <x:v>9138576</x:v>
      </x:c>
      <x:c r="L37" s="23">
        <x:v>9138576</x:v>
      </x:c>
      <x:c r="M37" s="23">
        <x:f>K37-L37</x:f>
      </x:c>
      <x:c r="N37" s="22" t="s">
        <x:v>196</x:v>
      </x:c>
      <x:c r="O37" s="24">
        <x:f>IFERROR(INDEX('تطبیق کل'!$J:$J,MATCH(A37&amp;"",'تطبیق کل'!$A:$A,0))&amp;"","")</x:f>
      </x:c>
      <x:c r="P37" s="24">
        <x:f>IF(O37="","",O37&amp;B37)</x:f>
      </x:c>
      <x:c r="Q37" s="24">
        <x:f>IF(P37="","",IFERROR(INDEX('درخت جدید'!$C:$C,MATCH(P37&amp;"",'درخت جدید'!$B:$B,0)),"— در درخت نیست؛ با نام قدیم ساخته می‌شود —"))</x:f>
      </x:c>
      <x:c r="R37" s="25"/>
      <x:c r="S37" s="26">
        <x:f>P37</x:f>
      </x:c>
      <x:c r="T37" s="22">
        <x:f>IF(S37="","",IFERROR(INDEX('درخت جدید'!$C:$C,MATCH(S37&amp;"",'درخت جدید'!$B:$B,0)),"(ساخته می‌شود) "&amp;V37))</x:f>
      </x:c>
      <x:c r="U37" s="22">
        <x:f>IF(S37="",IF(N37="بله","الزامی — تکمیل نشده",""),IF(AND(O37&lt;&gt;"",LEFT(S37&amp;"",4)&lt;&gt;O37),"زیر کل دیگری است — کل یا معین را اصلاح کنید",IF(AND(S37=P37,FALSE,W37=""),"تداخل: کد "&amp;S37&amp;" در برگهٔ درخت جدید با نام «"&amp;T37&amp;"» از قبل تعریف شده",IF(COUNTIFS('درخت جدید'!$B:$B,S37&amp;"",'درخت جدید'!$A:$A,"معین")=0,IF(V37="","کد در درخت نیست — نام برای تعریف را بنویسید","OK"),"OK"))))</x:f>
      </x:c>
      <x:c r="V37" s="27">
        <x:f>IF(S37="","",IF(COUNTIFS('درخت جدید'!$B:$B,S37&amp;"",'درخت جدید'!$A:$A,"معین")=0,D37,""))</x:f>
      </x:c>
      <x:c r="W37" s="27"/>
      <x:c r="X37" s="38"/>
    </x:row>
    <x:row r="38" spans="1:24">
      <x:c r="A38" s="21" t="s">
        <x:v>70</x:v>
      </x:c>
      <x:c r="B38" s="22" t="s">
        <x:v>27</x:v>
      </x:c>
      <x:c r="C38" s="22" t="s">
        <x:v>71</x:v>
      </x:c>
      <x:c r="D38" s="22" t="s">
        <x:v>244</x:v>
      </x:c>
      <x:c r="E38" s="22" t="s">
        <x:v>195</x:v>
      </x:c>
      <x:c r="F38" s="22" t="s">
        <x:v>194</x:v>
      </x:c>
      <x:c r="G38" s="22" t="s">
        <x:v>199</x:v>
      </x:c>
      <x:c r="H38" s="22">
        <x:v>7</x:v>
      </x:c>
      <x:c r="I38" s="22">
        <x:v>1</x:v>
      </x:c>
      <x:c r="J38" s="22">
        <x:v>57</x:v>
      </x:c>
      <x:c r="K38" s="23">
        <x:v>2168275824</x:v>
      </x:c>
      <x:c r="L38" s="23">
        <x:v>2139409824</x:v>
      </x:c>
      <x:c r="M38" s="23">
        <x:f>K38-L38</x:f>
      </x:c>
      <x:c r="N38" s="22" t="s">
        <x:v>196</x:v>
      </x:c>
      <x:c r="O38" s="24">
        <x:f>IFERROR(INDEX('تطبیق کل'!$J:$J,MATCH(A38&amp;"",'تطبیق کل'!$A:$A,0))&amp;"","")</x:f>
      </x:c>
      <x:c r="P38" s="24">
        <x:f>IF(O38="","",O38&amp;B38)</x:f>
      </x:c>
      <x:c r="Q38" s="24">
        <x:f>IF(P38="","",IFERROR(INDEX('درخت جدید'!$C:$C,MATCH(P38&amp;"",'درخت جدید'!$B:$B,0)),"— در درخت نیست؛ با نام قدیم ساخته می‌شود —"))</x:f>
      </x:c>
      <x:c r="R38" s="25"/>
      <x:c r="S38" s="26">
        <x:f>P38</x:f>
      </x:c>
      <x:c r="T38" s="22">
        <x:f>IF(S38="","",IFERROR(INDEX('درخت جدید'!$C:$C,MATCH(S38&amp;"",'درخت جدید'!$B:$B,0)),"(ساخته می‌شود) "&amp;V38))</x:f>
      </x:c>
      <x:c r="U38" s="22">
        <x:f>IF(S38="",IF(N38="بله","الزامی — تکمیل نشده",""),IF(AND(O38&lt;&gt;"",LEFT(S38&amp;"",4)&lt;&gt;O38),"زیر کل دیگری است — کل یا معین را اصلاح کنید",IF(AND(S38=P38,FALSE,W38=""),"تداخل: کد "&amp;S38&amp;" در برگهٔ درخت جدید با نام «"&amp;T38&amp;"» از قبل تعریف شده",IF(COUNTIFS('درخت جدید'!$B:$B,S38&amp;"",'درخت جدید'!$A:$A,"معین")=0,IF(V38="","کد در درخت نیست — نام برای تعریف را بنویسید","OK"),"OK"))))</x:f>
      </x:c>
      <x:c r="V38" s="27">
        <x:f>IF(S38="","",IF(COUNTIFS('درخت جدید'!$B:$B,S38&amp;"",'درخت جدید'!$A:$A,"معین")=0,D38,""))</x:f>
      </x:c>
      <x:c r="W38" s="27"/>
      <x:c r="X38" s="38"/>
    </x:row>
    <x:row r="39" spans="1:24">
      <x:c r="A39" s="21" t="s">
        <x:v>70</x:v>
      </x:c>
      <x:c r="B39" s="22" t="s">
        <x:v>245</x:v>
      </x:c>
      <x:c r="C39" s="22" t="s">
        <x:v>71</x:v>
      </x:c>
      <x:c r="D39" s="22" t="s">
        <x:v>246</x:v>
      </x:c>
      <x:c r="E39" s="22" t="s">
        <x:v>195</x:v>
      </x:c>
      <x:c r="F39" s="22" t="s">
        <x:v>194</x:v>
      </x:c>
      <x:c r="G39" s="22" t="s">
        <x:v>199</x:v>
      </x:c>
      <x:c r="H39" s="22">
        <x:v>57</x:v>
      </x:c>
      <x:c r="I39" s="22">
        <x:v>7</x:v>
      </x:c>
      <x:c r="J39" s="22">
        <x:v>73</x:v>
      </x:c>
      <x:c r="K39" s="23">
        <x:v>309100805</x:v>
      </x:c>
      <x:c r="L39" s="23">
        <x:v>460754815</x:v>
      </x:c>
      <x:c r="M39" s="23">
        <x:f>K39-L39</x:f>
      </x:c>
      <x:c r="N39" s="22" t="s">
        <x:v>196</x:v>
      </x:c>
      <x:c r="O39" s="24">
        <x:f>IFERROR(INDEX('تطبیق کل'!$J:$J,MATCH(A39&amp;"",'تطبیق کل'!$A:$A,0))&amp;"","")</x:f>
      </x:c>
      <x:c r="P39" s="24">
        <x:f>IF(O39="","",O39&amp;B39)</x:f>
      </x:c>
      <x:c r="Q39" s="24">
        <x:f>IF(P39="","",IFERROR(INDEX('درخت جدید'!$C:$C,MATCH(P39&amp;"",'درخت جدید'!$B:$B,0)),"— در درخت نیست؛ با نام قدیم ساخته می‌شود —"))</x:f>
      </x:c>
      <x:c r="R39" s="25"/>
      <x:c r="S39" s="26">
        <x:f>P39</x:f>
      </x:c>
      <x:c r="T39" s="22">
        <x:f>IF(S39="","",IFERROR(INDEX('درخت جدید'!$C:$C,MATCH(S39&amp;"",'درخت جدید'!$B:$B,0)),"(ساخته می‌شود) "&amp;V39))</x:f>
      </x:c>
      <x:c r="U39" s="22">
        <x:f>IF(S39="",IF(N39="بله","الزامی — تکمیل نشده",""),IF(AND(O39&lt;&gt;"",LEFT(S39&amp;"",4)&lt;&gt;O39),"زیر کل دیگری است — کل یا معین را اصلاح کنید",IF(AND(S39=P39,FALSE,W39=""),"تداخل: کد "&amp;S39&amp;" در برگهٔ درخت جدید با نام «"&amp;T39&amp;"» از قبل تعریف شده",IF(COUNTIFS('درخت جدید'!$B:$B,S39&amp;"",'درخت جدید'!$A:$A,"معین")=0,IF(V39="","کد در درخت نیست — نام برای تعریف را بنویسید","OK"),"OK"))))</x:f>
      </x:c>
      <x:c r="V39" s="27">
        <x:f>IF(S39="","",IF(COUNTIFS('درخت جدید'!$B:$B,S39&amp;"",'درخت جدید'!$A:$A,"معین")=0,D39,""))</x:f>
      </x:c>
      <x:c r="W39" s="27"/>
      <x:c r="X39" s="38"/>
    </x:row>
    <x:row r="40" spans="1:24">
      <x:c r="A40" s="21" t="s">
        <x:v>70</x:v>
      </x:c>
      <x:c r="B40" s="22" t="s">
        <x:v>247</x:v>
      </x:c>
      <x:c r="C40" s="22" t="s">
        <x:v>71</x:v>
      </x:c>
      <x:c r="D40" s="22" t="s">
        <x:v>248</x:v>
      </x:c>
      <x:c r="E40" s="22" t="s">
        <x:v>195</x:v>
      </x:c>
      <x:c r="F40" s="22" t="s">
        <x:v>194</x:v>
      </x:c>
      <x:c r="G40" s="22" t="s">
        <x:v>199</x:v>
      </x:c>
      <x:c r="H40" s="22">
        <x:v>58</x:v>
      </x:c>
      <x:c r="I40" s="22">
        <x:v>7</x:v>
      </x:c>
      <x:c r="J40" s="22">
        <x:v>62</x:v>
      </x:c>
      <x:c r="K40" s="23">
        <x:v>540896630</x:v>
      </x:c>
      <x:c r="L40" s="23">
        <x:v>682782842</x:v>
      </x:c>
      <x:c r="M40" s="23">
        <x:f>K40-L40</x:f>
      </x:c>
      <x:c r="N40" s="22" t="s">
        <x:v>196</x:v>
      </x:c>
      <x:c r="O40" s="24">
        <x:f>IFERROR(INDEX('تطبیق کل'!$J:$J,MATCH(A40&amp;"",'تطبیق کل'!$A:$A,0))&amp;"","")</x:f>
      </x:c>
      <x:c r="P40" s="24">
        <x:f>IF(O40="","",O40&amp;B40)</x:f>
      </x:c>
      <x:c r="Q40" s="24">
        <x:f>IF(P40="","",IFERROR(INDEX('درخت جدید'!$C:$C,MATCH(P40&amp;"",'درخت جدید'!$B:$B,0)),"— در درخت نیست؛ با نام قدیم ساخته می‌شود —"))</x:f>
      </x:c>
      <x:c r="R40" s="25"/>
      <x:c r="S40" s="26">
        <x:f>P40</x:f>
      </x:c>
      <x:c r="T40" s="22">
        <x:f>IF(S40="","",IFERROR(INDEX('درخت جدید'!$C:$C,MATCH(S40&amp;"",'درخت جدید'!$B:$B,0)),"(ساخته می‌شود) "&amp;V40))</x:f>
      </x:c>
      <x:c r="U40" s="22">
        <x:f>IF(S40="",IF(N40="بله","الزامی — تکمیل نشده",""),IF(AND(O40&lt;&gt;"",LEFT(S40&amp;"",4)&lt;&gt;O40),"زیر کل دیگری است — کل یا معین را اصلاح کنید",IF(AND(S40=P40,FALSE,W40=""),"تداخل: کد "&amp;S40&amp;" در برگهٔ درخت جدید با نام «"&amp;T40&amp;"» از قبل تعریف شده",IF(COUNTIFS('درخت جدید'!$B:$B,S40&amp;"",'درخت جدید'!$A:$A,"معین")=0,IF(V40="","کد در درخت نیست — نام برای تعریف را بنویسید","OK"),"OK"))))</x:f>
      </x:c>
      <x:c r="V40" s="27">
        <x:f>IF(S40="","",IF(COUNTIFS('درخت جدید'!$B:$B,S40&amp;"",'درخت جدید'!$A:$A,"معین")=0,D40,""))</x:f>
      </x:c>
      <x:c r="W40" s="27"/>
      <x:c r="X40" s="38"/>
    </x:row>
    <x:row r="41" spans="1:24">
      <x:c r="A41" s="21" t="s">
        <x:v>70</x:v>
      </x:c>
      <x:c r="B41" s="22" t="s">
        <x:v>34</x:v>
      </x:c>
      <x:c r="C41" s="22" t="s">
        <x:v>71</x:v>
      </x:c>
      <x:c r="D41" s="22" t="s">
        <x:v>249</x:v>
      </x:c>
      <x:c r="E41" s="22" t="s">
        <x:v>195</x:v>
      </x:c>
      <x:c r="F41" s="22" t="s">
        <x:v>194</x:v>
      </x:c>
      <x:c r="G41" s="22" t="s">
        <x:v>199</x:v>
      </x:c>
      <x:c r="H41" s="22">
        <x:v>2</x:v>
      </x:c>
      <x:c r="I41" s="22">
        <x:v>1</x:v>
      </x:c>
      <x:c r="J41" s="22">
        <x:v>4</x:v>
      </x:c>
      <x:c r="K41" s="23">
        <x:v>30375840</x:v>
      </x:c>
      <x:c r="L41" s="23">
        <x:v>30375840</x:v>
      </x:c>
      <x:c r="M41" s="23">
        <x:f>K41-L41</x:f>
      </x:c>
      <x:c r="N41" s="22" t="s">
        <x:v>196</x:v>
      </x:c>
      <x:c r="O41" s="24">
        <x:f>IFERROR(INDEX('تطبیق کل'!$J:$J,MATCH(A41&amp;"",'تطبیق کل'!$A:$A,0))&amp;"","")</x:f>
      </x:c>
      <x:c r="P41" s="24">
        <x:f>IF(O41="","",O41&amp;B41)</x:f>
      </x:c>
      <x:c r="Q41" s="24">
        <x:f>IF(P41="","",IFERROR(INDEX('درخت جدید'!$C:$C,MATCH(P41&amp;"",'درخت جدید'!$B:$B,0)),"— در درخت نیست؛ با نام قدیم ساخته می‌شود —"))</x:f>
      </x:c>
      <x:c r="R41" s="25"/>
      <x:c r="S41" s="26">
        <x:f>P41</x:f>
      </x:c>
      <x:c r="T41" s="22">
        <x:f>IF(S41="","",IFERROR(INDEX('درخت جدید'!$C:$C,MATCH(S41&amp;"",'درخت جدید'!$B:$B,0)),"(ساخته می‌شود) "&amp;V41))</x:f>
      </x:c>
      <x:c r="U41" s="22">
        <x:f>IF(S41="",IF(N41="بله","الزامی — تکمیل نشده",""),IF(AND(O41&lt;&gt;"",LEFT(S41&amp;"",4)&lt;&gt;O41),"زیر کل دیگری است — کل یا معین را اصلاح کنید",IF(AND(S41=P41,FALSE,W41=""),"تداخل: کد "&amp;S41&amp;" در برگهٔ درخت جدید با نام «"&amp;T41&amp;"» از قبل تعریف شده",IF(COUNTIFS('درخت جدید'!$B:$B,S41&amp;"",'درخت جدید'!$A:$A,"معین")=0,IF(V41="","کد در درخت نیست — نام برای تعریف را بنویسید","OK"),"OK"))))</x:f>
      </x:c>
      <x:c r="V41" s="27">
        <x:f>IF(S41="","",IF(COUNTIFS('درخت جدید'!$B:$B,S41&amp;"",'درخت جدید'!$A:$A,"معین")=0,D41,""))</x:f>
      </x:c>
      <x:c r="W41" s="27"/>
      <x:c r="X41" s="38"/>
    </x:row>
    <x:row r="42" spans="1:24">
      <x:c r="A42" s="21" t="s">
        <x:v>70</x:v>
      </x:c>
      <x:c r="B42" s="22" t="s">
        <x:v>49</x:v>
      </x:c>
      <x:c r="C42" s="22" t="s">
        <x:v>71</x:v>
      </x:c>
      <x:c r="D42" s="22" t="s">
        <x:v>250</x:v>
      </x:c>
      <x:c r="E42" s="22" t="s">
        <x:v>195</x:v>
      </x:c>
      <x:c r="F42" s="22" t="s">
        <x:v>194</x:v>
      </x:c>
      <x:c r="G42" s="22" t="s">
        <x:v>199</x:v>
      </x:c>
      <x:c r="H42" s="22">
        <x:v>2</x:v>
      </x:c>
      <x:c r="I42" s="22">
        <x:v>1</x:v>
      </x:c>
      <x:c r="J42" s="22">
        <x:v>108</x:v>
      </x:c>
      <x:c r="K42" s="23">
        <x:v>23967732809</x:v>
      </x:c>
      <x:c r="L42" s="23">
        <x:v>19481042406</x:v>
      </x:c>
      <x:c r="M42" s="23">
        <x:f>K42-L42</x:f>
      </x:c>
      <x:c r="N42" s="22" t="s">
        <x:v>196</x:v>
      </x:c>
      <x:c r="O42" s="24">
        <x:f>IFERROR(INDEX('تطبیق کل'!$J:$J,MATCH(A42&amp;"",'تطبیق کل'!$A:$A,0))&amp;"","")</x:f>
      </x:c>
      <x:c r="P42" s="24">
        <x:f>IF(O42="","",O42&amp;B42)</x:f>
      </x:c>
      <x:c r="Q42" s="24">
        <x:f>IF(P42="","",IFERROR(INDEX('درخت جدید'!$C:$C,MATCH(P42&amp;"",'درخت جدید'!$B:$B,0)),"— در درخت نیست؛ با نام قدیم ساخته می‌شود —"))</x:f>
      </x:c>
      <x:c r="R42" s="25"/>
      <x:c r="S42" s="26">
        <x:f>P42</x:f>
      </x:c>
      <x:c r="T42" s="22">
        <x:f>IF(S42="","",IFERROR(INDEX('درخت جدید'!$C:$C,MATCH(S42&amp;"",'درخت جدید'!$B:$B,0)),"(ساخته می‌شود) "&amp;V42))</x:f>
      </x:c>
      <x:c r="U42" s="22">
        <x:f>IF(S42="",IF(N42="بله","الزامی — تکمیل نشده",""),IF(AND(O42&lt;&gt;"",LEFT(S42&amp;"",4)&lt;&gt;O42),"زیر کل دیگری است — کل یا معین را اصلاح کنید",IF(AND(S42=P42,FALSE,W42=""),"تداخل: کد "&amp;S42&amp;" در برگهٔ درخت جدید با نام «"&amp;T42&amp;"» از قبل تعریف شده",IF(COUNTIFS('درخت جدید'!$B:$B,S42&amp;"",'درخت جدید'!$A:$A,"معین")=0,IF(V42="","کد در درخت نیست — نام برای تعریف را بنویسید","OK"),"OK"))))</x:f>
      </x:c>
      <x:c r="V42" s="27">
        <x:f>IF(S42="","",IF(COUNTIFS('درخت جدید'!$B:$B,S42&amp;"",'درخت جدید'!$A:$A,"معین")=0,D42,""))</x:f>
      </x:c>
      <x:c r="W42" s="27"/>
      <x:c r="X42" s="38"/>
    </x:row>
    <x:row r="43" spans="1:24">
      <x:c r="A43" s="21" t="s">
        <x:v>70</x:v>
      </x:c>
      <x:c r="B43" s="22" t="s">
        <x:v>207</x:v>
      </x:c>
      <x:c r="C43" s="22" t="s">
        <x:v>71</x:v>
      </x:c>
      <x:c r="D43" s="22" t="s">
        <x:v>251</x:v>
      </x:c>
      <x:c r="E43" s="22" t="s">
        <x:v>194</x:v>
      </x:c>
      <x:c r="F43" s="22" t="s">
        <x:v>194</x:v>
      </x:c>
      <x:c r="G43" s="22" t="s">
        <x:v>199</x:v>
      </x:c>
      <x:c r="H43" s="22">
        <x:v>1</x:v>
      </x:c>
      <x:c r="I43" s="22">
        <x:v>1</x:v>
      </x:c>
      <x:c r="J43" s="22">
        <x:v>4</x:v>
      </x:c>
      <x:c r="K43" s="23">
        <x:v>15563993500</x:v>
      </x:c>
      <x:c r="L43" s="23">
        <x:v>3000</x:v>
      </x:c>
      <x:c r="M43" s="23">
        <x:f>K43-L43</x:f>
      </x:c>
      <x:c r="N43" s="22" t="s">
        <x:v>196</x:v>
      </x:c>
      <x:c r="O43" s="24">
        <x:f>IFERROR(INDEX('تطبیق کل'!$J:$J,MATCH(A43&amp;"",'تطبیق کل'!$A:$A,0))&amp;"","")</x:f>
      </x:c>
      <x:c r="P43" s="24">
        <x:f>IF(O43="","",O43&amp;B43)</x:f>
      </x:c>
      <x:c r="Q43" s="24">
        <x:f>IF(P43="","",IFERROR(INDEX('درخت جدید'!$C:$C,MATCH(P43&amp;"",'درخت جدید'!$B:$B,0)),"— در درخت نیست؛ با نام قدیم ساخته می‌شود —"))</x:f>
      </x:c>
      <x:c r="R43" s="25"/>
      <x:c r="S43" s="26">
        <x:f>P43</x:f>
      </x:c>
      <x:c r="T43" s="22">
        <x:f>IF(S43="","",IFERROR(INDEX('درخت جدید'!$C:$C,MATCH(S43&amp;"",'درخت جدید'!$B:$B,0)),"(ساخته می‌شود) "&amp;V43))</x:f>
      </x:c>
      <x:c r="U43" s="22">
        <x:f>IF(S43="",IF(N43="بله","الزامی — تکمیل نشده",""),IF(AND(O43&lt;&gt;"",LEFT(S43&amp;"",4)&lt;&gt;O43),"زیر کل دیگری است — کل یا معین را اصلاح کنید",IF(AND(S43=P43,FALSE,W43=""),"تداخل: کد "&amp;S43&amp;" در برگهٔ درخت جدید با نام «"&amp;T43&amp;"» از قبل تعریف شده",IF(COUNTIFS('درخت جدید'!$B:$B,S43&amp;"",'درخت جدید'!$A:$A,"معین")=0,IF(V43="","کد در درخت نیست — نام برای تعریف را بنویسید","OK"),"OK"))))</x:f>
      </x:c>
      <x:c r="V43" s="27">
        <x:f>IF(S43="","",IF(COUNTIFS('درخت جدید'!$B:$B,S43&amp;"",'درخت جدید'!$A:$A,"معین")=0,D43,""))</x:f>
      </x:c>
      <x:c r="W43" s="27"/>
      <x:c r="X43" s="38"/>
    </x:row>
    <x:row r="44" spans="1:24">
      <x:c r="A44" s="21" t="s">
        <x:v>70</x:v>
      </x:c>
      <x:c r="B44" s="22" t="s">
        <x:v>227</x:v>
      </x:c>
      <x:c r="C44" s="22" t="s">
        <x:v>71</x:v>
      </x:c>
      <x:c r="D44" s="22" t="s">
        <x:v>252</x:v>
      </x:c>
      <x:c r="E44" s="22" t="s">
        <x:v>195</x:v>
      </x:c>
      <x:c r="F44" s="22" t="s">
        <x:v>194</x:v>
      </x:c>
      <x:c r="G44" s="22" t="s">
        <x:v>195</x:v>
      </x:c>
      <x:c r="H44" s="22">
        <x:v>4</x:v>
      </x:c>
      <x:c r="I44" s="22">
        <x:v>3</x:v>
      </x:c>
      <x:c r="J44" s="22">
        <x:v>15</x:v>
      </x:c>
      <x:c r="K44" s="23">
        <x:v>113764500</x:v>
      </x:c>
      <x:c r="L44" s="23">
        <x:v>38831625</x:v>
      </x:c>
      <x:c r="M44" s="23">
        <x:f>K44-L44</x:f>
      </x:c>
      <x:c r="N44" s="22" t="s">
        <x:v>196</x:v>
      </x:c>
      <x:c r="O44" s="24">
        <x:f>IFERROR(INDEX('تطبیق کل'!$J:$J,MATCH(A44&amp;"",'تطبیق کل'!$A:$A,0))&amp;"","")</x:f>
      </x:c>
      <x:c r="P44" s="24">
        <x:f>IF(O44="","",O44&amp;B44)</x:f>
      </x:c>
      <x:c r="Q44" s="24">
        <x:f>IF(P44="","",IFERROR(INDEX('درخت جدید'!$C:$C,MATCH(P44&amp;"",'درخت جدید'!$B:$B,0)),"— در درخت نیست؛ با نام قدیم ساخته می‌شود —"))</x:f>
      </x:c>
      <x:c r="R44" s="25"/>
      <x:c r="S44" s="26">
        <x:f>P44</x:f>
      </x:c>
      <x:c r="T44" s="22">
        <x:f>IF(S44="","",IFERROR(INDEX('درخت جدید'!$C:$C,MATCH(S44&amp;"",'درخت جدید'!$B:$B,0)),"(ساخته می‌شود) "&amp;V44))</x:f>
      </x:c>
      <x:c r="U44" s="22">
        <x:f>IF(S44="",IF(N44="بله","الزامی — تکمیل نشده",""),IF(AND(O44&lt;&gt;"",LEFT(S44&amp;"",4)&lt;&gt;O44),"زیر کل دیگری است — کل یا معین را اصلاح کنید",IF(AND(S44=P44,FALSE,W44=""),"تداخل: کد "&amp;S44&amp;" در برگهٔ درخت جدید با نام «"&amp;T44&amp;"» از قبل تعریف شده",IF(COUNTIFS('درخت جدید'!$B:$B,S44&amp;"",'درخت جدید'!$A:$A,"معین")=0,IF(V44="","کد در درخت نیست — نام برای تعریف را بنویسید","OK"),"OK"))))</x:f>
      </x:c>
      <x:c r="V44" s="27">
        <x:f>IF(S44="","",IF(COUNTIFS('درخت جدید'!$B:$B,S44&amp;"",'درخت جدید'!$A:$A,"معین")=0,D44,""))</x:f>
      </x:c>
      <x:c r="W44" s="27"/>
      <x:c r="X44" s="38"/>
    </x:row>
    <x:row r="45" spans="1:24">
      <x:c r="A45" s="21" t="s">
        <x:v>70</x:v>
      </x:c>
      <x:c r="B45" s="22" t="s">
        <x:v>209</x:v>
      </x:c>
      <x:c r="C45" s="22" t="s">
        <x:v>71</x:v>
      </x:c>
      <x:c r="D45" s="22" t="s">
        <x:v>229</x:v>
      </x:c>
      <x:c r="E45" s="22" t="s">
        <x:v>195</x:v>
      </x:c>
      <x:c r="F45" s="22" t="s">
        <x:v>194</x:v>
      </x:c>
      <x:c r="G45" s="22" t="s">
        <x:v>199</x:v>
      </x:c>
      <x:c r="H45" s="22">
        <x:v>810</x:v>
      </x:c>
      <x:c r="I45" s="22">
        <x:v>36</x:v>
      </x:c>
      <x:c r="J45" s="22">
        <x:v>404</x:v>
      </x:c>
      <x:c r="K45" s="23">
        <x:v>68280040718</x:v>
      </x:c>
      <x:c r="L45" s="23">
        <x:v>118215567824</x:v>
      </x:c>
      <x:c r="M45" s="23">
        <x:f>K45-L45</x:f>
      </x:c>
      <x:c r="N45" s="22" t="s">
        <x:v>196</x:v>
      </x:c>
      <x:c r="O45" s="24">
        <x:f>IFERROR(INDEX('تطبیق کل'!$J:$J,MATCH(A45&amp;"",'تطبیق کل'!$A:$A,0))&amp;"","")</x:f>
      </x:c>
      <x:c r="P45" s="24">
        <x:f>IF(O45="","",O45&amp;B45)</x:f>
      </x:c>
      <x:c r="Q45" s="24">
        <x:f>IF(P45="","",IFERROR(INDEX('درخت جدید'!$C:$C,MATCH(P45&amp;"",'درخت جدید'!$B:$B,0)),"— در درخت نیست؛ با نام قدیم ساخته می‌شود —"))</x:f>
      </x:c>
      <x:c r="R45" s="25"/>
      <x:c r="S45" s="26">
        <x:f>P45</x:f>
      </x:c>
      <x:c r="T45" s="22">
        <x:f>IF(S45="","",IFERROR(INDEX('درخت جدید'!$C:$C,MATCH(S45&amp;"",'درخت جدید'!$B:$B,0)),"(ساخته می‌شود) "&amp;V45))</x:f>
      </x:c>
      <x:c r="U45" s="22">
        <x:f>IF(S45="",IF(N45="بله","الزامی — تکمیل نشده",""),IF(AND(O45&lt;&gt;"",LEFT(S45&amp;"",4)&lt;&gt;O45),"زیر کل دیگری است — کل یا معین را اصلاح کنید",IF(AND(S45=P45,FALSE,W45=""),"تداخل: کد "&amp;S45&amp;" در برگهٔ درخت جدید با نام «"&amp;T45&amp;"» از قبل تعریف شده",IF(COUNTIFS('درخت جدید'!$B:$B,S45&amp;"",'درخت جدید'!$A:$A,"معین")=0,IF(V45="","کد در درخت نیست — نام برای تعریف را بنویسید","OK"),"OK"))))</x:f>
      </x:c>
      <x:c r="V45" s="27">
        <x:f>IF(S45="","",IF(COUNTIFS('درخت جدید'!$B:$B,S45&amp;"",'درخت جدید'!$A:$A,"معین")=0,D45,""))</x:f>
      </x:c>
      <x:c r="W45" s="27"/>
      <x:c r="X45" s="38"/>
    </x:row>
    <x:row r="46" spans="1:24">
      <x:c r="A46" s="21" t="s">
        <x:v>70</x:v>
      </x:c>
      <x:c r="B46" s="22" t="s">
        <x:v>85</x:v>
      </x:c>
      <x:c r="C46" s="22" t="s">
        <x:v>71</x:v>
      </x:c>
      <x:c r="D46" s="22" t="s">
        <x:v>253</x:v>
      </x:c>
      <x:c r="E46" s="22" t="s">
        <x:v>195</x:v>
      </x:c>
      <x:c r="F46" s="22" t="s">
        <x:v>194</x:v>
      </x:c>
      <x:c r="G46" s="22" t="s">
        <x:v>199</x:v>
      </x:c>
      <x:c r="H46" s="22">
        <x:v>43</x:v>
      </x:c>
      <x:c r="I46" s="22">
        <x:v>21</x:v>
      </x:c>
      <x:c r="J46" s="22">
        <x:v>281</x:v>
      </x:c>
      <x:c r="K46" s="23">
        <x:v>24649429555</x:v>
      </x:c>
      <x:c r="L46" s="23">
        <x:v>30400455074</x:v>
      </x:c>
      <x:c r="M46" s="23">
        <x:f>K46-L46</x:f>
      </x:c>
      <x:c r="N46" s="22" t="s">
        <x:v>196</x:v>
      </x:c>
      <x:c r="O46" s="24">
        <x:f>IFERROR(INDEX('تطبیق کل'!$J:$J,MATCH(A46&amp;"",'تطبیق کل'!$A:$A,0))&amp;"","")</x:f>
      </x:c>
      <x:c r="P46" s="24">
        <x:f>IF(O46="","",O46&amp;B46)</x:f>
      </x:c>
      <x:c r="Q46" s="24">
        <x:f>IF(P46="","",IFERROR(INDEX('درخت جدید'!$C:$C,MATCH(P46&amp;"",'درخت جدید'!$B:$B,0)),"— در درخت نیست؛ با نام قدیم ساخته می‌شود —"))</x:f>
      </x:c>
      <x:c r="R46" s="25"/>
      <x:c r="S46" s="26">
        <x:f>P46</x:f>
      </x:c>
      <x:c r="T46" s="22">
        <x:f>IF(S46="","",IFERROR(INDEX('درخت جدید'!$C:$C,MATCH(S46&amp;"",'درخت جدید'!$B:$B,0)),"(ساخته می‌شود) "&amp;V46))</x:f>
      </x:c>
      <x:c r="U46" s="22">
        <x:f>IF(S46="",IF(N46="بله","الزامی — تکمیل نشده",""),IF(AND(O46&lt;&gt;"",LEFT(S46&amp;"",4)&lt;&gt;O46),"زیر کل دیگری است — کل یا معین را اصلاح کنید",IF(AND(S46=P46,FALSE,W46=""),"تداخل: کد "&amp;S46&amp;" در برگهٔ درخت جدید با نام «"&amp;T46&amp;"» از قبل تعریف شده",IF(COUNTIFS('درخت جدید'!$B:$B,S46&amp;"",'درخت جدید'!$A:$A,"معین")=0,IF(V46="","کد در درخت نیست — نام برای تعریف را بنویسید","OK"),"OK"))))</x:f>
      </x:c>
      <x:c r="V46" s="27">
        <x:f>IF(S46="","",IF(COUNTIFS('درخت جدید'!$B:$B,S46&amp;"",'درخت جدید'!$A:$A,"معین")=0,D46,""))</x:f>
      </x:c>
      <x:c r="W46" s="27"/>
      <x:c r="X46" s="38"/>
    </x:row>
    <x:row r="47" spans="1:24">
      <x:c r="A47" s="21" t="s">
        <x:v>70</x:v>
      </x:c>
      <x:c r="B47" s="22" t="s">
        <x:v>97</x:v>
      </x:c>
      <x:c r="C47" s="22" t="s">
        <x:v>71</x:v>
      </x:c>
      <x:c r="D47" s="22" t="s">
        <x:v>254</x:v>
      </x:c>
      <x:c r="E47" s="22" t="s">
        <x:v>195</x:v>
      </x:c>
      <x:c r="F47" s="22" t="s">
        <x:v>194</x:v>
      </x:c>
      <x:c r="G47" s="22" t="s">
        <x:v>195</x:v>
      </x:c>
      <x:c r="H47" s="22">
        <x:v>4</x:v>
      </x:c>
      <x:c r="I47" s="22">
        <x:v>3</x:v>
      </x:c>
      <x:c r="J47" s="22">
        <x:v>47</x:v>
      </x:c>
      <x:c r="K47" s="23">
        <x:v>4203422088</x:v>
      </x:c>
      <x:c r="L47" s="23">
        <x:v>4626577787</x:v>
      </x:c>
      <x:c r="M47" s="23">
        <x:f>K47-L47</x:f>
      </x:c>
      <x:c r="N47" s="22" t="s">
        <x:v>196</x:v>
      </x:c>
      <x:c r="O47" s="24">
        <x:f>IFERROR(INDEX('تطبیق کل'!$J:$J,MATCH(A47&amp;"",'تطبیق کل'!$A:$A,0))&amp;"","")</x:f>
      </x:c>
      <x:c r="P47" s="24">
        <x:f>IF(O47="","",O47&amp;B47)</x:f>
      </x:c>
      <x:c r="Q47" s="24">
        <x:f>IF(P47="","",IFERROR(INDEX('درخت جدید'!$C:$C,MATCH(P47&amp;"",'درخت جدید'!$B:$B,0)),"— در درخت نیست؛ با نام قدیم ساخته می‌شود —"))</x:f>
      </x:c>
      <x:c r="R47" s="25"/>
      <x:c r="S47" s="26">
        <x:f>P47</x:f>
      </x:c>
      <x:c r="T47" s="22">
        <x:f>IF(S47="","",IFERROR(INDEX('درخت جدید'!$C:$C,MATCH(S47&amp;"",'درخت جدید'!$B:$B,0)),"(ساخته می‌شود) "&amp;V47))</x:f>
      </x:c>
      <x:c r="U47" s="22">
        <x:f>IF(S47="",IF(N47="بله","الزامی — تکمیل نشده",""),IF(AND(O47&lt;&gt;"",LEFT(S47&amp;"",4)&lt;&gt;O47),"زیر کل دیگری است — کل یا معین را اصلاح کنید",IF(AND(S47=P47,FALSE,W47=""),"تداخل: کد "&amp;S47&amp;" در برگهٔ درخت جدید با نام «"&amp;T47&amp;"» از قبل تعریف شده",IF(COUNTIFS('درخت جدید'!$B:$B,S47&amp;"",'درخت جدید'!$A:$A,"معین")=0,IF(V47="","کد در درخت نیست — نام برای تعریف را بنویسید","OK"),"OK"))))</x:f>
      </x:c>
      <x:c r="V47" s="27">
        <x:f>IF(S47="","",IF(COUNTIFS('درخت جدید'!$B:$B,S47&amp;"",'درخت جدید'!$A:$A,"معین")=0,D47,""))</x:f>
      </x:c>
      <x:c r="W47" s="27"/>
      <x:c r="X47" s="38"/>
    </x:row>
    <x:row r="48" spans="1:24">
      <x:c r="A48" s="21" t="s">
        <x:v>70</x:v>
      </x:c>
      <x:c r="B48" s="22" t="s">
        <x:v>104</x:v>
      </x:c>
      <x:c r="C48" s="22" t="s">
        <x:v>71</x:v>
      </x:c>
      <x:c r="D48" s="22" t="s">
        <x:v>231</x:v>
      </x:c>
      <x:c r="E48" s="22" t="s">
        <x:v>195</x:v>
      </x:c>
      <x:c r="F48" s="22" t="s">
        <x:v>194</x:v>
      </x:c>
      <x:c r="G48" s="22" t="s">
        <x:v>195</x:v>
      </x:c>
      <x:c r="H48" s="22">
        <x:v>78</x:v>
      </x:c>
      <x:c r="I48" s="22">
        <x:v>14</x:v>
      </x:c>
      <x:c r="J48" s="22">
        <x:v>83</x:v>
      </x:c>
      <x:c r="K48" s="23">
        <x:v>10813568197</x:v>
      </x:c>
      <x:c r="L48" s="23">
        <x:v>11250513304</x:v>
      </x:c>
      <x:c r="M48" s="23">
        <x:f>K48-L48</x:f>
      </x:c>
      <x:c r="N48" s="22" t="s">
        <x:v>196</x:v>
      </x:c>
      <x:c r="O48" s="24">
        <x:f>IFERROR(INDEX('تطبیق کل'!$J:$J,MATCH(A48&amp;"",'تطبیق کل'!$A:$A,0))&amp;"","")</x:f>
      </x:c>
      <x:c r="P48" s="24">
        <x:f>IF(O48="","",O48&amp;B48)</x:f>
      </x:c>
      <x:c r="Q48" s="24">
        <x:f>IF(P48="","",IFERROR(INDEX('درخت جدید'!$C:$C,MATCH(P48&amp;"",'درخت جدید'!$B:$B,0)),"— در درخت نیست؛ با نام قدیم ساخته می‌شود —"))</x:f>
      </x:c>
      <x:c r="R48" s="25"/>
      <x:c r="S48" s="26">
        <x:f>P48</x:f>
      </x:c>
      <x:c r="T48" s="22">
        <x:f>IF(S48="","",IFERROR(INDEX('درخت جدید'!$C:$C,MATCH(S48&amp;"",'درخت جدید'!$B:$B,0)),"(ساخته می‌شود) "&amp;V48))</x:f>
      </x:c>
      <x:c r="U48" s="22">
        <x:f>IF(S48="",IF(N48="بله","الزامی — تکمیل نشده",""),IF(AND(O48&lt;&gt;"",LEFT(S48&amp;"",4)&lt;&gt;O48),"زیر کل دیگری است — کل یا معین را اصلاح کنید",IF(AND(S48=P48,FALSE,W48=""),"تداخل: کد "&amp;S48&amp;" در برگهٔ درخت جدید با نام «"&amp;T48&amp;"» از قبل تعریف شده",IF(COUNTIFS('درخت جدید'!$B:$B,S48&amp;"",'درخت جدید'!$A:$A,"معین")=0,IF(V48="","کد در درخت نیست — نام برای تعریف را بنویسید","OK"),"OK"))))</x:f>
      </x:c>
      <x:c r="V48" s="27">
        <x:f>IF(S48="","",IF(COUNTIFS('درخت جدید'!$B:$B,S48&amp;"",'درخت جدید'!$A:$A,"معین")=0,D48,""))</x:f>
      </x:c>
      <x:c r="W48" s="27"/>
      <x:c r="X48" s="38"/>
    </x:row>
    <x:row r="49" spans="1:24">
      <x:c r="A49" s="21" t="s">
        <x:v>70</x:v>
      </x:c>
      <x:c r="B49" s="22" t="s">
        <x:v>162</x:v>
      </x:c>
      <x:c r="C49" s="22" t="s">
        <x:v>71</x:v>
      </x:c>
      <x:c r="D49" s="22" t="s">
        <x:v>255</x:v>
      </x:c>
      <x:c r="E49" s="22" t="s">
        <x:v>194</x:v>
      </x:c>
      <x:c r="F49" s="22" t="s">
        <x:v>194</x:v>
      </x:c>
      <x:c r="G49" s="22" t="s">
        <x:v>199</x:v>
      </x:c>
      <x:c r="H49" s="22">
        <x:v>1</x:v>
      </x:c>
      <x:c r="I49" s="22">
        <x:v>1</x:v>
      </x:c>
      <x:c r="J49" s="22">
        <x:v>1</x:v>
      </x:c>
      <x:c r="K49" s="23">
        <x:v>0</x:v>
      </x:c>
      <x:c r="L49" s="23">
        <x:v>7000000</x:v>
      </x:c>
      <x:c r="M49" s="23">
        <x:f>K49-L49</x:f>
      </x:c>
      <x:c r="N49" s="22" t="s">
        <x:v>196</x:v>
      </x:c>
      <x:c r="O49" s="24">
        <x:f>IFERROR(INDEX('تطبیق کل'!$J:$J,MATCH(A49&amp;"",'تطبیق کل'!$A:$A,0))&amp;"","")</x:f>
      </x:c>
      <x:c r="P49" s="24">
        <x:f>IF(O49="","",O49&amp;B49)</x:f>
      </x:c>
      <x:c r="Q49" s="24">
        <x:f>IF(P49="","",IFERROR(INDEX('درخت جدید'!$C:$C,MATCH(P49&amp;"",'درخت جدید'!$B:$B,0)),"— در درخت نیست؛ با نام قدیم ساخته می‌شود —"))</x:f>
      </x:c>
      <x:c r="R49" s="25"/>
      <x:c r="S49" s="26">
        <x:f>P49</x:f>
      </x:c>
      <x:c r="T49" s="22">
        <x:f>IF(S49="","",IFERROR(INDEX('درخت جدید'!$C:$C,MATCH(S49&amp;"",'درخت جدید'!$B:$B,0)),"(ساخته می‌شود) "&amp;V49))</x:f>
      </x:c>
      <x:c r="U49" s="22">
        <x:f>IF(S49="",IF(N49="بله","الزامی — تکمیل نشده",""),IF(AND(O49&lt;&gt;"",LEFT(S49&amp;"",4)&lt;&gt;O49),"زیر کل دیگری است — کل یا معین را اصلاح کنید",IF(AND(S49=P49,FALSE,W49=""),"تداخل: کد "&amp;S49&amp;" در برگهٔ درخت جدید با نام «"&amp;T49&amp;"» از قبل تعریف شده",IF(COUNTIFS('درخت جدید'!$B:$B,S49&amp;"",'درخت جدید'!$A:$A,"معین")=0,IF(V49="","کد در درخت نیست — نام برای تعریف را بنویسید","OK"),"OK"))))</x:f>
      </x:c>
      <x:c r="V49" s="27">
        <x:f>IF(S49="","",IF(COUNTIFS('درخت جدید'!$B:$B,S49&amp;"",'درخت جدید'!$A:$A,"معین")=0,D49,""))</x:f>
      </x:c>
      <x:c r="W49" s="27"/>
      <x:c r="X49" s="38"/>
    </x:row>
    <x:row r="50" spans="1:24">
      <x:c r="A50" s="21" t="s">
        <x:v>73</x:v>
      </x:c>
      <x:c r="B50" s="22" t="s">
        <x:v>227</x:v>
      </x:c>
      <x:c r="C50" s="22" t="s">
        <x:v>74</x:v>
      </x:c>
      <x:c r="D50" s="22" t="s">
        <x:v>256</x:v>
      </x:c>
      <x:c r="E50" s="22" t="s">
        <x:v>194</x:v>
      </x:c>
      <x:c r="F50" s="22" t="s">
        <x:v>194</x:v>
      </x:c>
      <x:c r="G50" s="22" t="s">
        <x:v>199</x:v>
      </x:c>
      <x:c r="H50" s="22">
        <x:v>1</x:v>
      </x:c>
      <x:c r="I50" s="22">
        <x:v>1</x:v>
      </x:c>
      <x:c r="J50" s="22">
        <x:v>7</x:v>
      </x:c>
      <x:c r="K50" s="23">
        <x:v>526001</x:v>
      </x:c>
      <x:c r="L50" s="23">
        <x:v>67104000</x:v>
      </x:c>
      <x:c r="M50" s="23">
        <x:f>K50-L50</x:f>
      </x:c>
      <x:c r="N50" s="22" t="s">
        <x:v>196</x:v>
      </x:c>
      <x:c r="O50" s="24">
        <x:f>IFERROR(INDEX('تطبیق کل'!$J:$J,MATCH(A50&amp;"",'تطبیق کل'!$A:$A,0))&amp;"","")</x:f>
      </x:c>
      <x:c r="P50" s="24">
        <x:f>IF(O50="","",O50&amp;B50)</x:f>
      </x:c>
      <x:c r="Q50" s="24">
        <x:f>IF(P50="","",IFERROR(INDEX('درخت جدید'!$C:$C,MATCH(P50&amp;"",'درخت جدید'!$B:$B,0)),"— در درخت نیست؛ با نام قدیم ساخته می‌شود —"))</x:f>
      </x:c>
      <x:c r="R50" s="25">
        <x:v>0.19</x:v>
      </x:c>
      <x:c r="S50" s="26">
        <x:f>P50</x:f>
      </x:c>
      <x:c r="T50" s="22">
        <x:f>IF(S50="","",IFERROR(INDEX('درخت جدید'!$C:$C,MATCH(S50&amp;"",'درخت جدید'!$B:$B,0)),"(ساخته می‌شود) "&amp;V50))</x:f>
      </x:c>
      <x:c r="U50" s="22">
        <x:f>IF(S50="",IF(N50="بله","الزامی — تکمیل نشده",""),IF(AND(O50&lt;&gt;"",LEFT(S50&amp;"",4)&lt;&gt;O50),"زیر کل دیگری است — کل یا معین را اصلاح کنید",IF(AND(S50=P50,TRUE,W50=""),"تداخل: کد "&amp;S50&amp;" در برگهٔ درخت جدید با نام «"&amp;T50&amp;"» از قبل تعریف شده",IF(COUNTIFS('درخت جدید'!$B:$B,S50&amp;"",'درخت جدید'!$A:$A,"معین")=0,IF(V50="","کد در درخت نیست — نام برای تعریف را بنویسید","OK"),"OK"))))</x:f>
      </x:c>
      <x:c r="V50" s="27">
        <x:f>IF(S50="","",IF(COUNTIFS('درخت جدید'!$B:$B,S50&amp;"",'درخت جدید'!$A:$A,"معین")=0,D50,""))</x:f>
      </x:c>
      <x:c r="W50" s="27"/>
      <x:c r="X50" s="38"/>
    </x:row>
    <x:row r="51" spans="1:24">
      <x:c r="A51" s="21" t="s">
        <x:v>81</x:v>
      </x:c>
      <x:c r="B51" s="22" t="s">
        <x:v>155</x:v>
      </x:c>
      <x:c r="C51" s="22" t="s">
        <x:v>82</x:v>
      </x:c>
      <x:c r="D51" s="22" t="s">
        <x:v>257</x:v>
      </x:c>
      <x:c r="E51" s="22" t="s">
        <x:v>194</x:v>
      </x:c>
      <x:c r="F51" s="22" t="s">
        <x:v>194</x:v>
      </x:c>
      <x:c r="G51" s="22" t="s">
        <x:v>199</x:v>
      </x:c>
      <x:c r="H51" s="22">
        <x:v>64</x:v>
      </x:c>
      <x:c r="I51" s="22">
        <x:v>56</x:v>
      </x:c>
      <x:c r="J51" s="22">
        <x:v>271</x:v>
      </x:c>
      <x:c r="K51" s="23">
        <x:v>392055980759</x:v>
      </x:c>
      <x:c r="L51" s="23">
        <x:v>153138478529</x:v>
      </x:c>
      <x:c r="M51" s="23">
        <x:f>K51-L51</x:f>
      </x:c>
      <x:c r="N51" s="22" t="s">
        <x:v>196</x:v>
      </x:c>
      <x:c r="O51" s="24">
        <x:f>IFERROR(INDEX('تطبیق کل'!$J:$J,MATCH(A51&amp;"",'تطبیق کل'!$A:$A,0))&amp;"","")</x:f>
      </x:c>
      <x:c r="P51" s="24">
        <x:f>IF(O51="","",O51&amp;B51)</x:f>
      </x:c>
      <x:c r="Q51" s="24">
        <x:f>IF(P51="","",IFERROR(INDEX('درخت جدید'!$C:$C,MATCH(P51&amp;"",'درخت جدید'!$B:$B,0)),"— در درخت نیست؛ با نام قدیم ساخته می‌شود —"))</x:f>
      </x:c>
      <x:c r="R51" s="25"/>
      <x:c r="S51" s="26">
        <x:f>P51</x:f>
      </x:c>
      <x:c r="T51" s="22">
        <x:f>IF(S51="","",IFERROR(INDEX('درخت جدید'!$C:$C,MATCH(S51&amp;"",'درخت جدید'!$B:$B,0)),"(ساخته می‌شود) "&amp;V51))</x:f>
      </x:c>
      <x:c r="U51" s="22">
        <x:f>IF(S51="",IF(N51="بله","الزامی — تکمیل نشده",""),IF(AND(O51&lt;&gt;"",LEFT(S51&amp;"",4)&lt;&gt;O51),"زیر کل دیگری است — کل یا معین را اصلاح کنید",IF(AND(S51=P51,FALSE,W51=""),"تداخل: کد "&amp;S51&amp;" در برگهٔ درخت جدید با نام «"&amp;T51&amp;"» از قبل تعریف شده",IF(COUNTIFS('درخت جدید'!$B:$B,S51&amp;"",'درخت جدید'!$A:$A,"معین")=0,IF(V51="","کد در درخت نیست — نام برای تعریف را بنویسید","OK"),"OK"))))</x:f>
      </x:c>
      <x:c r="V51" s="27">
        <x:f>IF(S51="","",IF(COUNTIFS('درخت جدید'!$B:$B,S51&amp;"",'درخت جدید'!$A:$A,"معین")=0,D51,""))</x:f>
      </x:c>
      <x:c r="W51" s="27"/>
      <x:c r="X51" s="38"/>
    </x:row>
    <x:row r="52" spans="1:24">
      <x:c r="A52" s="21" t="s">
        <x:v>81</x:v>
      </x:c>
      <x:c r="B52" s="22" t="s">
        <x:v>258</x:v>
      </x:c>
      <x:c r="C52" s="22" t="s">
        <x:v>82</x:v>
      </x:c>
      <x:c r="D52" s="22" t="s">
        <x:v>259</x:v>
      </x:c>
      <x:c r="E52" s="22" t="s">
        <x:v>194</x:v>
      </x:c>
      <x:c r="F52" s="22" t="s">
        <x:v>194</x:v>
      </x:c>
      <x:c r="G52" s="22" t="s">
        <x:v>195</x:v>
      </x:c>
      <x:c r="H52" s="22">
        <x:v>63</x:v>
      </x:c>
      <x:c r="I52" s="22">
        <x:v>55</x:v>
      </x:c>
      <x:c r="J52" s="22">
        <x:v>268</x:v>
      </x:c>
      <x:c r="K52" s="23">
        <x:v>30343145430</x:v>
      </x:c>
      <x:c r="L52" s="23">
        <x:v>11526698763</x:v>
      </x:c>
      <x:c r="M52" s="23">
        <x:f>K52-L52</x:f>
      </x:c>
      <x:c r="N52" s="22" t="s">
        <x:v>196</x:v>
      </x:c>
      <x:c r="O52" s="24">
        <x:f>IFERROR(INDEX('تطبیق کل'!$J:$J,MATCH(A52&amp;"",'تطبیق کل'!$A:$A,0))&amp;"","")</x:f>
      </x:c>
      <x:c r="P52" s="24">
        <x:f>IF(O52="","",O52&amp;B52)</x:f>
      </x:c>
      <x:c r="Q52" s="24">
        <x:f>IF(P52="","",IFERROR(INDEX('درخت جدید'!$C:$C,MATCH(P52&amp;"",'درخت جدید'!$B:$B,0)),"— در درخت نیست؛ با نام قدیم ساخته می‌شود —"))</x:f>
      </x:c>
      <x:c r="R52" s="25"/>
      <x:c r="S52" s="26">
        <x:f>P52</x:f>
      </x:c>
      <x:c r="T52" s="22">
        <x:f>IF(S52="","",IFERROR(INDEX('درخت جدید'!$C:$C,MATCH(S52&amp;"",'درخت جدید'!$B:$B,0)),"(ساخته می‌شود) "&amp;V52))</x:f>
      </x:c>
      <x:c r="U52" s="22">
        <x:f>IF(S52="",IF(N52="بله","الزامی — تکمیل نشده",""),IF(AND(O52&lt;&gt;"",LEFT(S52&amp;"",4)&lt;&gt;O52),"زیر کل دیگری است — کل یا معین را اصلاح کنید",IF(AND(S52=P52,FALSE,W52=""),"تداخل: کد "&amp;S52&amp;" در برگهٔ درخت جدید با نام «"&amp;T52&amp;"» از قبل تعریف شده",IF(COUNTIFS('درخت جدید'!$B:$B,S52&amp;"",'درخت جدید'!$A:$A,"معین")=0,IF(V52="","کد در درخت نیست — نام برای تعریف را بنویسید","OK"),"OK"))))</x:f>
      </x:c>
      <x:c r="V52" s="27">
        <x:f>IF(S52="","",IF(COUNTIFS('درخت جدید'!$B:$B,S52&amp;"",'درخت جدید'!$A:$A,"معین")=0,D52,""))</x:f>
      </x:c>
      <x:c r="W52" s="27"/>
      <x:c r="X52" s="38"/>
    </x:row>
    <x:row r="53" spans="1:24">
      <x:c r="A53" s="21" t="s">
        <x:v>85</x:v>
      </x:c>
      <x:c r="B53" s="22" t="s">
        <x:v>202</x:v>
      </x:c>
      <x:c r="C53" s="22" t="s">
        <x:v>86</x:v>
      </x:c>
      <x:c r="D53" s="22" t="s">
        <x:v>260</x:v>
      </x:c>
      <x:c r="E53" s="22" t="s">
        <x:v>195</x:v>
      </x:c>
      <x:c r="F53" s="22" t="s">
        <x:v>195</x:v>
      </x:c>
      <x:c r="G53" s="22" t="s">
        <x:v>195</x:v>
      </x:c>
      <x:c r="H53" s="22">
        <x:v>1</x:v>
      </x:c>
      <x:c r="I53" s="22">
        <x:v>1</x:v>
      </x:c>
      <x:c r="J53" s="22">
        <x:v>1</x:v>
      </x:c>
      <x:c r="K53" s="23">
        <x:v>0</x:v>
      </x:c>
      <x:c r="L53" s="23">
        <x:v>1</x:v>
      </x:c>
      <x:c r="M53" s="23">
        <x:f>K53-L53</x:f>
      </x:c>
      <x:c r="N53" s="22" t="s">
        <x:v>196</x:v>
      </x:c>
      <x:c r="O53" s="24">
        <x:f>IFERROR(INDEX('تطبیق کل'!$J:$J,MATCH(A53&amp;"",'تطبیق کل'!$A:$A,0))&amp;"","")</x:f>
      </x:c>
      <x:c r="P53" s="24">
        <x:f>IF(O53="","",O53&amp;B53)</x:f>
      </x:c>
      <x:c r="Q53" s="24">
        <x:f>IF(P53="","",IFERROR(INDEX('درخت جدید'!$C:$C,MATCH(P53&amp;"",'درخت جدید'!$B:$B,0)),"— در درخت نیست؛ با نام قدیم ساخته می‌شود —"))</x:f>
      </x:c>
      <x:c r="R53" s="25">
        <x:v>0</x:v>
      </x:c>
      <x:c r="S53" s="26">
        <x:f>P53</x:f>
      </x:c>
      <x:c r="T53" s="22">
        <x:f>IF(S53="","",IFERROR(INDEX('درخت جدید'!$C:$C,MATCH(S53&amp;"",'درخت جدید'!$B:$B,0)),"(ساخته می‌شود) "&amp;V53))</x:f>
      </x:c>
      <x:c r="U53" s="22">
        <x:f>IF(S53="",IF(N53="بله","الزامی — تکمیل نشده",""),IF(AND(O53&lt;&gt;"",LEFT(S53&amp;"",4)&lt;&gt;O53),"زیر کل دیگری است — کل یا معین را اصلاح کنید",IF(AND(S53=P53,TRUE,W53=""),"تداخل: کد "&amp;S53&amp;" در برگهٔ درخت جدید با نام «"&amp;T53&amp;"» از قبل تعریف شده",IF(COUNTIFS('درخت جدید'!$B:$B,S53&amp;"",'درخت جدید'!$A:$A,"معین")=0,IF(V53="","کد در درخت نیست — نام برای تعریف را بنویسید","OK"),"OK"))))</x:f>
      </x:c>
      <x:c r="V53" s="27">
        <x:f>IF(S53="","",IF(COUNTIFS('درخت جدید'!$B:$B,S53&amp;"",'درخت جدید'!$A:$A,"معین")=0,D53,""))</x:f>
      </x:c>
      <x:c r="W53" s="27"/>
      <x:c r="X53" s="38"/>
    </x:row>
    <x:row r="54" spans="1:24">
      <x:c r="A54" s="21" t="s">
        <x:v>97</x:v>
      </x:c>
      <x:c r="B54" s="22" t="s">
        <x:v>197</x:v>
      </x:c>
      <x:c r="C54" s="22" t="s">
        <x:v>98</x:v>
      </x:c>
      <x:c r="D54" s="22" t="s">
        <x:v>261</x:v>
      </x:c>
      <x:c r="E54" s="22" t="s">
        <x:v>195</x:v>
      </x:c>
      <x:c r="F54" s="22" t="s">
        <x:v>195</x:v>
      </x:c>
      <x:c r="G54" s="22" t="s">
        <x:v>199</x:v>
      </x:c>
      <x:c r="H54" s="22">
        <x:v>1</x:v>
      </x:c>
      <x:c r="I54" s="22">
        <x:v>1</x:v>
      </x:c>
      <x:c r="J54" s="22">
        <x:v>2</x:v>
      </x:c>
      <x:c r="K54" s="23">
        <x:v>2020000</x:v>
      </x:c>
      <x:c r="L54" s="23">
        <x:v>2020000</x:v>
      </x:c>
      <x:c r="M54" s="23">
        <x:f>K54-L54</x:f>
      </x:c>
      <x:c r="N54" s="22" t="s">
        <x:v>196</x:v>
      </x:c>
      <x:c r="O54" s="24">
        <x:f>IFERROR(INDEX('تطبیق کل'!$J:$J,MATCH(A54&amp;"",'تطبیق کل'!$A:$A,0))&amp;"","")</x:f>
      </x:c>
      <x:c r="P54" s="24">
        <x:f>IF(O54="","",O54&amp;B54)</x:f>
      </x:c>
      <x:c r="Q54" s="24">
        <x:f>IF(P54="","",IFERROR(INDEX('درخت جدید'!$C:$C,MATCH(P54&amp;"",'درخت جدید'!$B:$B,0)),"— در درخت نیست؛ با نام قدیم ساخته می‌شود —"))</x:f>
      </x:c>
      <x:c r="R54" s="25"/>
      <x:c r="S54" s="26">
        <x:f>P54</x:f>
      </x:c>
      <x:c r="T54" s="22">
        <x:f>IF(S54="","",IFERROR(INDEX('درخت جدید'!$C:$C,MATCH(S54&amp;"",'درخت جدید'!$B:$B,0)),"(ساخته می‌شود) "&amp;V54))</x:f>
      </x:c>
      <x:c r="U54" s="22">
        <x:f>IF(S54="",IF(N54="بله","الزامی — تکمیل نشده",""),IF(AND(O54&lt;&gt;"",LEFT(S54&amp;"",4)&lt;&gt;O54),"زیر کل دیگری است — کل یا معین را اصلاح کنید",IF(AND(S54=P54,FALSE,W54=""),"تداخل: کد "&amp;S54&amp;" در برگهٔ درخت جدید با نام «"&amp;T54&amp;"» از قبل تعریف شده",IF(COUNTIFS('درخت جدید'!$B:$B,S54&amp;"",'درخت جدید'!$A:$A,"معین")=0,IF(V54="","کد در درخت نیست — نام برای تعریف را بنویسید","OK"),"OK"))))</x:f>
      </x:c>
      <x:c r="V54" s="27">
        <x:f>IF(S54="","",IF(COUNTIFS('درخت جدید'!$B:$B,S54&amp;"",'درخت جدید'!$A:$A,"معین")=0,D54,""))</x:f>
      </x:c>
      <x:c r="W54" s="27"/>
      <x:c r="X54" s="38"/>
    </x:row>
    <x:row r="55" spans="1:24">
      <x:c r="A55" s="21" t="s">
        <x:v>101</x:v>
      </x:c>
      <x:c r="B55" s="22" t="s">
        <x:v>262</x:v>
      </x:c>
      <x:c r="C55" s="22" t="s">
        <x:v>102</x:v>
      </x:c>
      <x:c r="D55" s="22" t="s">
        <x:v>263</x:v>
      </x:c>
      <x:c r="E55" s="22" t="s">
        <x:v>195</x:v>
      </x:c>
      <x:c r="F55" s="22" t="s">
        <x:v>195</x:v>
      </x:c>
      <x:c r="G55" s="22" t="s">
        <x:v>199</x:v>
      </x:c>
      <x:c r="H55" s="22">
        <x:v>5</x:v>
      </x:c>
      <x:c r="I55" s="22">
        <x:v>2</x:v>
      </x:c>
      <x:c r="J55" s="22">
        <x:v>60</x:v>
      </x:c>
      <x:c r="K55" s="23">
        <x:v>1403809200</x:v>
      </x:c>
      <x:c r="L55" s="23">
        <x:v>1403809200</x:v>
      </x:c>
      <x:c r="M55" s="23">
        <x:f>K55-L55</x:f>
      </x:c>
      <x:c r="N55" s="22" t="s">
        <x:v>196</x:v>
      </x:c>
      <x:c r="O55" s="24">
        <x:f>IFERROR(INDEX('تطبیق کل'!$J:$J,MATCH(A55&amp;"",'تطبیق کل'!$A:$A,0))&amp;"","")</x:f>
      </x:c>
      <x:c r="P55" s="24">
        <x:f>IF(O55="","",O55&amp;B55)</x:f>
      </x:c>
      <x:c r="Q55" s="24">
        <x:f>IF(P55="","",IFERROR(INDEX('درخت جدید'!$C:$C,MATCH(P55&amp;"",'درخت جدید'!$B:$B,0)),"— در درخت نیست؛ با نام قدیم ساخته می‌شود —"))</x:f>
      </x:c>
      <x:c r="R55" s="25"/>
      <x:c r="S55" s="26">
        <x:f>P55</x:f>
      </x:c>
      <x:c r="T55" s="22">
        <x:f>IF(S55="","",IFERROR(INDEX('درخت جدید'!$C:$C,MATCH(S55&amp;"",'درخت جدید'!$B:$B,0)),"(ساخته می‌شود) "&amp;V55))</x:f>
      </x:c>
      <x:c r="U55" s="22">
        <x:f>IF(S55="",IF(N55="بله","الزامی — تکمیل نشده",""),IF(AND(O55&lt;&gt;"",LEFT(S55&amp;"",4)&lt;&gt;O55),"زیر کل دیگری است — کل یا معین را اصلاح کنید",IF(AND(S55=P55,FALSE,W55=""),"تداخل: کد "&amp;S55&amp;" در برگهٔ درخت جدید با نام «"&amp;T55&amp;"» از قبل تعریف شده",IF(COUNTIFS('درخت جدید'!$B:$B,S55&amp;"",'درخت جدید'!$A:$A,"معین")=0,IF(V55="","کد در درخت نیست — نام برای تعریف را بنویسید","OK"),"OK"))))</x:f>
      </x:c>
      <x:c r="V55" s="27">
        <x:f>IF(S55="","",IF(COUNTIFS('درخت جدید'!$B:$B,S55&amp;"",'درخت جدید'!$A:$A,"معین")=0,D55,""))</x:f>
      </x:c>
      <x:c r="W55" s="27"/>
      <x:c r="X55" s="38"/>
    </x:row>
    <x:row r="56" spans="1:24">
      <x:c r="A56" s="21" t="s">
        <x:v>101</x:v>
      </x:c>
      <x:c r="B56" s="22" t="s">
        <x:v>209</x:v>
      </x:c>
      <x:c r="C56" s="22" t="s">
        <x:v>102</x:v>
      </x:c>
      <x:c r="D56" s="22" t="s">
        <x:v>264</x:v>
      </x:c>
      <x:c r="E56" s="22" t="s">
        <x:v>195</x:v>
      </x:c>
      <x:c r="F56" s="22" t="s">
        <x:v>195</x:v>
      </x:c>
      <x:c r="G56" s="22" t="s">
        <x:v>199</x:v>
      </x:c>
      <x:c r="H56" s="22">
        <x:v>1</x:v>
      </x:c>
      <x:c r="I56" s="22">
        <x:v>1</x:v>
      </x:c>
      <x:c r="J56" s="22">
        <x:v>5</x:v>
      </x:c>
      <x:c r="K56" s="23">
        <x:v>62865000</x:v>
      </x:c>
      <x:c r="L56" s="23">
        <x:v>62865000</x:v>
      </x:c>
      <x:c r="M56" s="23">
        <x:f>K56-L56</x:f>
      </x:c>
      <x:c r="N56" s="22" t="s">
        <x:v>196</x:v>
      </x:c>
      <x:c r="O56" s="24">
        <x:f>IFERROR(INDEX('تطبیق کل'!$J:$J,MATCH(A56&amp;"",'تطبیق کل'!$A:$A,0))&amp;"","")</x:f>
      </x:c>
      <x:c r="P56" s="24">
        <x:f>IF(O56="","",O56&amp;B56)</x:f>
      </x:c>
      <x:c r="Q56" s="24">
        <x:f>IF(P56="","",IFERROR(INDEX('درخت جدید'!$C:$C,MATCH(P56&amp;"",'درخت جدید'!$B:$B,0)),"— در درخت نیست؛ با نام قدیم ساخته می‌شود —"))</x:f>
      </x:c>
      <x:c r="R56" s="25">
        <x:v>0.21</x:v>
      </x:c>
      <x:c r="S56" s="26">
        <x:f>P56</x:f>
      </x:c>
      <x:c r="T56" s="22">
        <x:f>IF(S56="","",IFERROR(INDEX('درخت جدید'!$C:$C,MATCH(S56&amp;"",'درخت جدید'!$B:$B,0)),"(ساخته می‌شود) "&amp;V56))</x:f>
      </x:c>
      <x:c r="U56" s="22">
        <x:f>IF(S56="",IF(N56="بله","الزامی — تکمیل نشده",""),IF(AND(O56&lt;&gt;"",LEFT(S56&amp;"",4)&lt;&gt;O56),"زیر کل دیگری است — کل یا معین را اصلاح کنید",IF(AND(S56=P56,TRUE,W56=""),"تداخل: کد "&amp;S56&amp;" در برگهٔ درخت جدید با نام «"&amp;T56&amp;"» از قبل تعریف شده",IF(COUNTIFS('درخت جدید'!$B:$B,S56&amp;"",'درخت جدید'!$A:$A,"معین")=0,IF(V56="","کد در درخت نیست — نام برای تعریف را بنویسید","OK"),"OK"))))</x:f>
      </x:c>
      <x:c r="V56" s="27">
        <x:f>IF(S56="","",IF(COUNTIFS('درخت جدید'!$B:$B,S56&amp;"",'درخت جدید'!$A:$A,"معین")=0,D56,""))</x:f>
      </x:c>
      <x:c r="W56" s="27"/>
      <x:c r="X56" s="38"/>
    </x:row>
    <x:row r="57" spans="1:24">
      <x:c r="A57" s="21" t="s">
        <x:v>101</x:v>
      </x:c>
      <x:c r="B57" s="22" t="s">
        <x:v>101</x:v>
      </x:c>
      <x:c r="C57" s="22" t="s">
        <x:v>102</x:v>
      </x:c>
      <x:c r="D57" s="22" t="s">
        <x:v>265</x:v>
      </x:c>
      <x:c r="E57" s="22" t="s">
        <x:v>195</x:v>
      </x:c>
      <x:c r="F57" s="22" t="s">
        <x:v>195</x:v>
      </x:c>
      <x:c r="G57" s="22" t="s">
        <x:v>199</x:v>
      </x:c>
      <x:c r="H57" s="22">
        <x:v>1</x:v>
      </x:c>
      <x:c r="I57" s="22">
        <x:v>1</x:v>
      </x:c>
      <x:c r="J57" s="22">
        <x:v>2</x:v>
      </x:c>
      <x:c r="K57" s="23">
        <x:v>52585000</x:v>
      </x:c>
      <x:c r="L57" s="23">
        <x:v>52585000</x:v>
      </x:c>
      <x:c r="M57" s="23">
        <x:f>K57-L57</x:f>
      </x:c>
      <x:c r="N57" s="22" t="s">
        <x:v>196</x:v>
      </x:c>
      <x:c r="O57" s="24">
        <x:f>IFERROR(INDEX('تطبیق کل'!$J:$J,MATCH(A57&amp;"",'تطبیق کل'!$A:$A,0))&amp;"","")</x:f>
      </x:c>
      <x:c r="P57" s="24">
        <x:f>IF(O57="","",O57&amp;B57)</x:f>
      </x:c>
      <x:c r="Q57" s="24">
        <x:f>IF(P57="","",IFERROR(INDEX('درخت جدید'!$C:$C,MATCH(P57&amp;"",'درخت جدید'!$B:$B,0)),"— در درخت نیست؛ با نام قدیم ساخته می‌شود —"))</x:f>
      </x:c>
      <x:c r="R57" s="25"/>
      <x:c r="S57" s="26">
        <x:f>P57</x:f>
      </x:c>
      <x:c r="T57" s="22">
        <x:f>IF(S57="","",IFERROR(INDEX('درخت جدید'!$C:$C,MATCH(S57&amp;"",'درخت جدید'!$B:$B,0)),"(ساخته می‌شود) "&amp;V57))</x:f>
      </x:c>
      <x:c r="U57" s="22">
        <x:f>IF(S57="",IF(N57="بله","الزامی — تکمیل نشده",""),IF(AND(O57&lt;&gt;"",LEFT(S57&amp;"",4)&lt;&gt;O57),"زیر کل دیگری است — کل یا معین را اصلاح کنید",IF(AND(S57=P57,FALSE,W57=""),"تداخل: کد "&amp;S57&amp;" در برگهٔ درخت جدید با نام «"&amp;T57&amp;"» از قبل تعریف شده",IF(COUNTIFS('درخت جدید'!$B:$B,S57&amp;"",'درخت جدید'!$A:$A,"معین")=0,IF(V57="","کد در درخت نیست — نام برای تعریف را بنویسید","OK"),"OK"))))</x:f>
      </x:c>
      <x:c r="V57" s="27">
        <x:f>IF(S57="","",IF(COUNTIFS('درخت جدید'!$B:$B,S57&amp;"",'درخت جدید'!$A:$A,"معین")=0,D57,""))</x:f>
      </x:c>
      <x:c r="W57" s="27"/>
      <x:c r="X57" s="38"/>
    </x:row>
    <x:row r="58" spans="1:24">
      <x:c r="A58" s="21" t="s">
        <x:v>115</x:v>
      </x:c>
      <x:c r="B58" s="22" t="s">
        <x:v>27</x:v>
      </x:c>
      <x:c r="C58" s="22" t="s">
        <x:v>116</x:v>
      </x:c>
      <x:c r="D58" s="22" t="s">
        <x:v>266</x:v>
      </x:c>
      <x:c r="E58" s="22" t="s">
        <x:v>194</x:v>
      </x:c>
      <x:c r="F58" s="22" t="s">
        <x:v>195</x:v>
      </x:c>
      <x:c r="G58" s="22" t="s">
        <x:v>199</x:v>
      </x:c>
      <x:c r="H58" s="22">
        <x:v>6</x:v>
      </x:c>
      <x:c r="I58" s="22">
        <x:v>1</x:v>
      </x:c>
      <x:c r="J58" s="22">
        <x:v>2</x:v>
      </x:c>
      <x:c r="K58" s="23">
        <x:v>27604800</x:v>
      </x:c>
      <x:c r="L58" s="23">
        <x:v>27604800</x:v>
      </x:c>
      <x:c r="M58" s="23">
        <x:f>K58-L58</x:f>
      </x:c>
      <x:c r="N58" s="22" t="s">
        <x:v>196</x:v>
      </x:c>
      <x:c r="O58" s="24">
        <x:f>IFERROR(INDEX('تطبیق کل'!$J:$J,MATCH(A58&amp;"",'تطبیق کل'!$A:$A,0))&amp;"","")</x:f>
      </x:c>
      <x:c r="P58" s="24">
        <x:f>IF(O58="","",O58&amp;B58)</x:f>
      </x:c>
      <x:c r="Q58" s="24">
        <x:f>IF(P58="","",IFERROR(INDEX('درخت جدید'!$C:$C,MATCH(P58&amp;"",'درخت جدید'!$B:$B,0)),"— در درخت نیست؛ با نام قدیم ساخته می‌شود —"))</x:f>
      </x:c>
      <x:c r="R58" s="25"/>
      <x:c r="S58" s="26">
        <x:f>P58</x:f>
      </x:c>
      <x:c r="T58" s="22">
        <x:f>IF(S58="","",IFERROR(INDEX('درخت جدید'!$C:$C,MATCH(S58&amp;"",'درخت جدید'!$B:$B,0)),"(ساخته می‌شود) "&amp;V58))</x:f>
      </x:c>
      <x:c r="U58" s="22">
        <x:f>IF(S58="",IF(N58="بله","الزامی — تکمیل نشده",""),IF(AND(O58&lt;&gt;"",LEFT(S58&amp;"",4)&lt;&gt;O58),"زیر کل دیگری است — کل یا معین را اصلاح کنید",IF(AND(S58=P58,FALSE,W58=""),"تداخل: کد "&amp;S58&amp;" در برگهٔ درخت جدید با نام «"&amp;T58&amp;"» از قبل تعریف شده",IF(COUNTIFS('درخت جدید'!$B:$B,S58&amp;"",'درخت جدید'!$A:$A,"معین")=0,IF(V58="","کد در درخت نیست — نام برای تعریف را بنویسید","OK"),"OK"))))</x:f>
      </x:c>
      <x:c r="V58" s="27">
        <x:f>IF(S58="","",IF(COUNTIFS('درخت جدید'!$B:$B,S58&amp;"",'درخت جدید'!$A:$A,"معین")=0,D58,""))</x:f>
      </x:c>
      <x:c r="W58" s="27"/>
      <x:c r="X58" s="38"/>
    </x:row>
    <x:row r="59" spans="1:24">
      <x:c r="A59" s="21" t="s">
        <x:v>127</x:v>
      </x:c>
      <x:c r="B59" s="22" t="s">
        <x:v>237</x:v>
      </x:c>
      <x:c r="C59" s="22" t="s">
        <x:v>128</x:v>
      </x:c>
      <x:c r="D59" s="22" t="s">
        <x:v>267</x:v>
      </x:c>
      <x:c r="E59" s="22" t="s">
        <x:v>194</x:v>
      </x:c>
      <x:c r="F59" s="22" t="s">
        <x:v>195</x:v>
      </x:c>
      <x:c r="G59" s="22" t="s">
        <x:v>199</x:v>
      </x:c>
      <x:c r="H59" s="22">
        <x:v>5</x:v>
      </x:c>
      <x:c r="I59" s="22">
        <x:v>3</x:v>
      </x:c>
      <x:c r="J59" s="22">
        <x:v>26</x:v>
      </x:c>
      <x:c r="K59" s="23">
        <x:v>2134770888</x:v>
      </x:c>
      <x:c r="L59" s="23">
        <x:v>2675269520</x:v>
      </x:c>
      <x:c r="M59" s="23">
        <x:f>K59-L59</x:f>
      </x:c>
      <x:c r="N59" s="22" t="s">
        <x:v>196</x:v>
      </x:c>
      <x:c r="O59" s="24">
        <x:f>IFERROR(INDEX('تطبیق کل'!$J:$J,MATCH(A59&amp;"",'تطبیق کل'!$A:$A,0))&amp;"","")</x:f>
      </x:c>
      <x:c r="P59" s="24">
        <x:f>IF(O59="","",O59&amp;B59)</x:f>
      </x:c>
      <x:c r="Q59" s="24">
        <x:f>IF(P59="","",IFERROR(INDEX('درخت جدید'!$C:$C,MATCH(P59&amp;"",'درخت جدید'!$B:$B,0)),"— در درخت نیست؛ با نام قدیم ساخته می‌شود —"))</x:f>
      </x:c>
      <x:c r="R59" s="25"/>
      <x:c r="S59" s="26">
        <x:f>P59</x:f>
      </x:c>
      <x:c r="T59" s="22">
        <x:f>IF(S59="","",IFERROR(INDEX('درخت جدید'!$C:$C,MATCH(S59&amp;"",'درخت جدید'!$B:$B,0)),"(ساخته می‌شود) "&amp;V59))</x:f>
      </x:c>
      <x:c r="U59" s="22">
        <x:f>IF(S59="",IF(N59="بله","الزامی — تکمیل نشده",""),IF(AND(O59&lt;&gt;"",LEFT(S59&amp;"",4)&lt;&gt;O59),"زیر کل دیگری است — کل یا معین را اصلاح کنید",IF(AND(S59=P59,FALSE,W59=""),"تداخل: کد "&amp;S59&amp;" در برگهٔ درخت جدید با نام «"&amp;T59&amp;"» از قبل تعریف شده",IF(COUNTIFS('درخت جدید'!$B:$B,S59&amp;"",'درخت جدید'!$A:$A,"معین")=0,IF(V59="","کد در درخت نیست — نام برای تعریف را بنویسید","OK"),"OK"))))</x:f>
      </x:c>
      <x:c r="V59" s="27">
        <x:f>IF(S59="","",IF(COUNTIFS('درخت جدید'!$B:$B,S59&amp;"",'درخت جدید'!$A:$A,"معین")=0,D59,""))</x:f>
      </x:c>
      <x:c r="W59" s="27"/>
      <x:c r="X59" s="38"/>
    </x:row>
    <x:row r="60" spans="1:24">
      <x:c r="A60" s="21" t="s">
        <x:v>127</x:v>
      </x:c>
      <x:c r="B60" s="22" t="s">
        <x:v>268</x:v>
      </x:c>
      <x:c r="C60" s="22" t="s">
        <x:v>128</x:v>
      </x:c>
      <x:c r="D60" s="22" t="s">
        <x:v>269</x:v>
      </x:c>
      <x:c r="E60" s="22" t="s">
        <x:v>194</x:v>
      </x:c>
      <x:c r="F60" s="22" t="s">
        <x:v>195</x:v>
      </x:c>
      <x:c r="G60" s="22" t="s">
        <x:v>199</x:v>
      </x:c>
      <x:c r="H60" s="22">
        <x:v>4</x:v>
      </x:c>
      <x:c r="I60" s="22">
        <x:v>3</x:v>
      </x:c>
      <x:c r="J60" s="22">
        <x:v>12</x:v>
      </x:c>
      <x:c r="K60" s="23">
        <x:v>103976982</x:v>
      </x:c>
      <x:c r="L60" s="23">
        <x:v>577649900</x:v>
      </x:c>
      <x:c r="M60" s="23">
        <x:f>K60-L60</x:f>
      </x:c>
      <x:c r="N60" s="22" t="s">
        <x:v>196</x:v>
      </x:c>
      <x:c r="O60" s="24">
        <x:f>IFERROR(INDEX('تطبیق کل'!$J:$J,MATCH(A60&amp;"",'تطبیق کل'!$A:$A,0))&amp;"","")</x:f>
      </x:c>
      <x:c r="P60" s="24">
        <x:f>IF(O60="","",O60&amp;B60)</x:f>
      </x:c>
      <x:c r="Q60" s="24">
        <x:f>IF(P60="","",IFERROR(INDEX('درخت جدید'!$C:$C,MATCH(P60&amp;"",'درخت جدید'!$B:$B,0)),"— در درخت نیست؛ با نام قدیم ساخته می‌شود —"))</x:f>
      </x:c>
      <x:c r="R60" s="25"/>
      <x:c r="S60" s="26">
        <x:f>P60</x:f>
      </x:c>
      <x:c r="T60" s="22">
        <x:f>IF(S60="","",IFERROR(INDEX('درخت جدید'!$C:$C,MATCH(S60&amp;"",'درخت جدید'!$B:$B,0)),"(ساخته می‌شود) "&amp;V60))</x:f>
      </x:c>
      <x:c r="U60" s="22">
        <x:f>IF(S60="",IF(N60="بله","الزامی — تکمیل نشده",""),IF(AND(O60&lt;&gt;"",LEFT(S60&amp;"",4)&lt;&gt;O60),"زیر کل دیگری است — کل یا معین را اصلاح کنید",IF(AND(S60=P60,FALSE,W60=""),"تداخل: کد "&amp;S60&amp;" در برگهٔ درخت جدید با نام «"&amp;T60&amp;"» از قبل تعریف شده",IF(COUNTIFS('درخت جدید'!$B:$B,S60&amp;"",'درخت جدید'!$A:$A,"معین")=0,IF(V60="","کد در درخت نیست — نام برای تعریف را بنویسید","OK"),"OK"))))</x:f>
      </x:c>
      <x:c r="V60" s="27">
        <x:f>IF(S60="","",IF(COUNTIFS('درخت جدید'!$B:$B,S60&amp;"",'درخت جدید'!$A:$A,"معین")=0,D60,""))</x:f>
      </x:c>
      <x:c r="W60" s="27"/>
      <x:c r="X60" s="38"/>
    </x:row>
    <x:row r="61" spans="1:24">
      <x:c r="A61" s="21" t="s">
        <x:v>127</x:v>
      </x:c>
      <x:c r="B61" s="22" t="s">
        <x:v>270</x:v>
      </x:c>
      <x:c r="C61" s="22" t="s">
        <x:v>128</x:v>
      </x:c>
      <x:c r="D61" s="22" t="s">
        <x:v>271</x:v>
      </x:c>
      <x:c r="E61" s="22" t="s">
        <x:v>194</x:v>
      </x:c>
      <x:c r="F61" s="22" t="s">
        <x:v>195</x:v>
      </x:c>
      <x:c r="G61" s="22" t="s">
        <x:v>199</x:v>
      </x:c>
      <x:c r="H61" s="22">
        <x:v>2</x:v>
      </x:c>
      <x:c r="I61" s="22">
        <x:v>1</x:v>
      </x:c>
      <x:c r="J61" s="22">
        <x:v>1</x:v>
      </x:c>
      <x:c r="K61" s="23">
        <x:v>0</x:v>
      </x:c>
      <x:c r="L61" s="23">
        <x:v>760000000</x:v>
      </x:c>
      <x:c r="M61" s="23">
        <x:f>K61-L61</x:f>
      </x:c>
      <x:c r="N61" s="22" t="s">
        <x:v>196</x:v>
      </x:c>
      <x:c r="O61" s="24">
        <x:f>IFERROR(INDEX('تطبیق کل'!$J:$J,MATCH(A61&amp;"",'تطبیق کل'!$A:$A,0))&amp;"","")</x:f>
      </x:c>
      <x:c r="P61" s="24">
        <x:f>IF(O61="","",O61&amp;B61)</x:f>
      </x:c>
      <x:c r="Q61" s="24">
        <x:f>IF(P61="","",IFERROR(INDEX('درخت جدید'!$C:$C,MATCH(P61&amp;"",'درخت جدید'!$B:$B,0)),"— در درخت نیست؛ با نام قدیم ساخته می‌شود —"))</x:f>
      </x:c>
      <x:c r="R61" s="25"/>
      <x:c r="S61" s="26">
        <x:f>P61</x:f>
      </x:c>
      <x:c r="T61" s="22">
        <x:f>IF(S61="","",IFERROR(INDEX('درخت جدید'!$C:$C,MATCH(S61&amp;"",'درخت جدید'!$B:$B,0)),"(ساخته می‌شود) "&amp;V61))</x:f>
      </x:c>
      <x:c r="U61" s="22">
        <x:f>IF(S61="",IF(N61="بله","الزامی — تکمیل نشده",""),IF(AND(O61&lt;&gt;"",LEFT(S61&amp;"",4)&lt;&gt;O61),"زیر کل دیگری است — کل یا معین را اصلاح کنید",IF(AND(S61=P61,FALSE,W61=""),"تداخل: کد "&amp;S61&amp;" در برگهٔ درخت جدید با نام «"&amp;T61&amp;"» از قبل تعریف شده",IF(COUNTIFS('درخت جدید'!$B:$B,S61&amp;"",'درخت جدید'!$A:$A,"معین")=0,IF(V61="","کد در درخت نیست — نام برای تعریف را بنویسید","OK"),"OK"))))</x:f>
      </x:c>
      <x:c r="V61" s="27">
        <x:f>IF(S61="","",IF(COUNTIFS('درخت جدید'!$B:$B,S61&amp;"",'درخت جدید'!$A:$A,"معین")=0,D61,""))</x:f>
      </x:c>
      <x:c r="W61" s="27"/>
      <x:c r="X61" s="38"/>
    </x:row>
    <x:row r="62" spans="1:24">
      <x:c r="A62" s="21" t="s">
        <x:v>127</x:v>
      </x:c>
      <x:c r="B62" s="22" t="s">
        <x:v>272</x:v>
      </x:c>
      <x:c r="C62" s="22" t="s">
        <x:v>128</x:v>
      </x:c>
      <x:c r="D62" s="22" t="s">
        <x:v>273</x:v>
      </x:c>
      <x:c r="E62" s="22" t="s">
        <x:v>194</x:v>
      </x:c>
      <x:c r="F62" s="22" t="s">
        <x:v>195</x:v>
      </x:c>
      <x:c r="G62" s="22" t="s">
        <x:v>199</x:v>
      </x:c>
      <x:c r="H62" s="22">
        <x:v>14</x:v>
      </x:c>
      <x:c r="I62" s="22">
        <x:v>8</x:v>
      </x:c>
      <x:c r="J62" s="22">
        <x:v>214</x:v>
      </x:c>
      <x:c r="K62" s="23">
        <x:v>94515021543</x:v>
      </x:c>
      <x:c r="L62" s="23">
        <x:v>26455292622</x:v>
      </x:c>
      <x:c r="M62" s="23">
        <x:f>K62-L62</x:f>
      </x:c>
      <x:c r="N62" s="22" t="s">
        <x:v>196</x:v>
      </x:c>
      <x:c r="O62" s="24">
        <x:f>IFERROR(INDEX('تطبیق کل'!$J:$J,MATCH(A62&amp;"",'تطبیق کل'!$A:$A,0))&amp;"","")</x:f>
      </x:c>
      <x:c r="P62" s="24">
        <x:f>IF(O62="","",O62&amp;B62)</x:f>
      </x:c>
      <x:c r="Q62" s="24">
        <x:f>IF(P62="","",IFERROR(INDEX('درخت جدید'!$C:$C,MATCH(P62&amp;"",'درخت جدید'!$B:$B,0)),"— در درخت نیست؛ با نام قدیم ساخته می‌شود —"))</x:f>
      </x:c>
      <x:c r="R62" s="25"/>
      <x:c r="S62" s="26">
        <x:f>P62</x:f>
      </x:c>
      <x:c r="T62" s="22">
        <x:f>IF(S62="","",IFERROR(INDEX('درخت جدید'!$C:$C,MATCH(S62&amp;"",'درخت جدید'!$B:$B,0)),"(ساخته می‌شود) "&amp;V62))</x:f>
      </x:c>
      <x:c r="U62" s="22">
        <x:f>IF(S62="",IF(N62="بله","الزامی — تکمیل نشده",""),IF(AND(O62&lt;&gt;"",LEFT(S62&amp;"",4)&lt;&gt;O62),"زیر کل دیگری است — کل یا معین را اصلاح کنید",IF(AND(S62=P62,FALSE,W62=""),"تداخل: کد "&amp;S62&amp;" در برگهٔ درخت جدید با نام «"&amp;T62&amp;"» از قبل تعریف شده",IF(COUNTIFS('درخت جدید'!$B:$B,S62&amp;"",'درخت جدید'!$A:$A,"معین")=0,IF(V62="","کد در درخت نیست — نام برای تعریف را بنویسید","OK"),"OK"))))</x:f>
      </x:c>
      <x:c r="V62" s="27">
        <x:f>IF(S62="","",IF(COUNTIFS('درخت جدید'!$B:$B,S62&amp;"",'درخت جدید'!$A:$A,"معین")=0,D62,""))</x:f>
      </x:c>
      <x:c r="W62" s="27"/>
      <x:c r="X62" s="38"/>
    </x:row>
    <x:row r="63" spans="1:24">
      <x:c r="A63" s="21" t="s">
        <x:v>135</x:v>
      </x:c>
      <x:c r="B63" s="22" t="s">
        <x:v>237</x:v>
      </x:c>
      <x:c r="C63" s="22" t="s">
        <x:v>136</x:v>
      </x:c>
      <x:c r="D63" s="22" t="s">
        <x:v>274</x:v>
      </x:c>
      <x:c r="E63" s="22" t="s">
        <x:v>194</x:v>
      </x:c>
      <x:c r="F63" s="22" t="s">
        <x:v>195</x:v>
      </x:c>
      <x:c r="G63" s="22" t="s">
        <x:v>199</x:v>
      </x:c>
      <x:c r="H63" s="22">
        <x:v>48</x:v>
      </x:c>
      <x:c r="I63" s="22">
        <x:v>19</x:v>
      </x:c>
      <x:c r="J63" s="22">
        <x:v>249</x:v>
      </x:c>
      <x:c r="K63" s="23">
        <x:v>100020379131490</x:v>
      </x:c>
      <x:c r="L63" s="23">
        <x:v>26033851093</x:v>
      </x:c>
      <x:c r="M63" s="23">
        <x:f>K63-L63</x:f>
      </x:c>
      <x:c r="N63" s="22" t="s">
        <x:v>196</x:v>
      </x:c>
      <x:c r="O63" s="24">
        <x:f>IFERROR(INDEX('تطبیق کل'!$J:$J,MATCH(A63&amp;"",'تطبیق کل'!$A:$A,0))&amp;"","")</x:f>
      </x:c>
      <x:c r="P63" s="24">
        <x:f>IF(O63="","",O63&amp;B63)</x:f>
      </x:c>
      <x:c r="Q63" s="24">
        <x:f>IF(P63="","",IFERROR(INDEX('درخت جدید'!$C:$C,MATCH(P63&amp;"",'درخت جدید'!$B:$B,0)),"— در درخت نیست؛ با نام قدیم ساخته می‌شود —"))</x:f>
      </x:c>
      <x:c r="R63" s="25"/>
      <x:c r="S63" s="26">
        <x:f>P63</x:f>
      </x:c>
      <x:c r="T63" s="22">
        <x:f>IF(S63="","",IFERROR(INDEX('درخت جدید'!$C:$C,MATCH(S63&amp;"",'درخت جدید'!$B:$B,0)),"(ساخته می‌شود) "&amp;V63))</x:f>
      </x:c>
      <x:c r="U63" s="22">
        <x:f>IF(S63="",IF(N63="بله","الزامی — تکمیل نشده",""),IF(AND(O63&lt;&gt;"",LEFT(S63&amp;"",4)&lt;&gt;O63),"زیر کل دیگری است — کل یا معین را اصلاح کنید",IF(AND(S63=P63,FALSE,W63=""),"تداخل: کد "&amp;S63&amp;" در برگهٔ درخت جدید با نام «"&amp;T63&amp;"» از قبل تعریف شده",IF(COUNTIFS('درخت جدید'!$B:$B,S63&amp;"",'درخت جدید'!$A:$A,"معین")=0,IF(V63="","کد در درخت نیست — نام برای تعریف را بنویسید","OK"),"OK"))))</x:f>
      </x:c>
      <x:c r="V63" s="27">
        <x:f>IF(S63="","",IF(COUNTIFS('درخت جدید'!$B:$B,S63&amp;"",'درخت جدید'!$A:$A,"معین")=0,D63,""))</x:f>
      </x:c>
      <x:c r="W63" s="27"/>
      <x:c r="X63" s="38">
        <x:v>6</x:v>
      </x:c>
    </x:row>
    <x:row r="64" spans="1:24">
      <x:c r="A64" s="21" t="s">
        <x:v>135</x:v>
      </x:c>
      <x:c r="B64" s="22" t="s">
        <x:v>268</x:v>
      </x:c>
      <x:c r="C64" s="22" t="s">
        <x:v>136</x:v>
      </x:c>
      <x:c r="D64" s="22" t="s">
        <x:v>275</x:v>
      </x:c>
      <x:c r="E64" s="22" t="s">
        <x:v>194</x:v>
      </x:c>
      <x:c r="F64" s="22" t="s">
        <x:v>195</x:v>
      </x:c>
      <x:c r="G64" s="22" t="s">
        <x:v>199</x:v>
      </x:c>
      <x:c r="H64" s="22">
        <x:v>1</x:v>
      </x:c>
      <x:c r="I64" s="22">
        <x:v>1</x:v>
      </x:c>
      <x:c r="J64" s="22">
        <x:v>12</x:v>
      </x:c>
      <x:c r="K64" s="23">
        <x:v>1196733024</x:v>
      </x:c>
      <x:c r="L64" s="23">
        <x:v>1616709244</x:v>
      </x:c>
      <x:c r="M64" s="23">
        <x:f>K64-L64</x:f>
      </x:c>
      <x:c r="N64" s="22" t="s">
        <x:v>196</x:v>
      </x:c>
      <x:c r="O64" s="24">
        <x:f>IFERROR(INDEX('تطبیق کل'!$J:$J,MATCH(A64&amp;"",'تطبیق کل'!$A:$A,0))&amp;"","")</x:f>
      </x:c>
      <x:c r="P64" s="24">
        <x:f>IF(O64="","",O64&amp;B64)</x:f>
      </x:c>
      <x:c r="Q64" s="24">
        <x:f>IF(P64="","",IFERROR(INDEX('درخت جدید'!$C:$C,MATCH(P64&amp;"",'درخت جدید'!$B:$B,0)),"— در درخت نیست؛ با نام قدیم ساخته می‌شود —"))</x:f>
      </x:c>
      <x:c r="R64" s="25"/>
      <x:c r="S64" s="26">
        <x:f>P64</x:f>
      </x:c>
      <x:c r="T64" s="22">
        <x:f>IF(S64="","",IFERROR(INDEX('درخت جدید'!$C:$C,MATCH(S64&amp;"",'درخت جدید'!$B:$B,0)),"(ساخته می‌شود) "&amp;V64))</x:f>
      </x:c>
      <x:c r="U64" s="22">
        <x:f>IF(S64="",IF(N64="بله","الزامی — تکمیل نشده",""),IF(AND(O64&lt;&gt;"",LEFT(S64&amp;"",4)&lt;&gt;O64),"زیر کل دیگری است — کل یا معین را اصلاح کنید",IF(AND(S64=P64,FALSE,W64=""),"تداخل: کد "&amp;S64&amp;" در برگهٔ درخت جدید با نام «"&amp;T64&amp;"» از قبل تعریف شده",IF(COUNTIFS('درخت جدید'!$B:$B,S64&amp;"",'درخت جدید'!$A:$A,"معین")=0,IF(V64="","کد در درخت نیست — نام برای تعریف را بنویسید","OK"),"OK"))))</x:f>
      </x:c>
      <x:c r="V64" s="27">
        <x:f>IF(S64="","",IF(COUNTIFS('درخت جدید'!$B:$B,S64&amp;"",'درخت جدید'!$A:$A,"معین")=0,D64,""))</x:f>
      </x:c>
      <x:c r="W64" s="27"/>
      <x:c r="X64" s="38"/>
    </x:row>
    <x:row r="65" spans="1:24">
      <x:c r="A65" s="21" t="s">
        <x:v>138</x:v>
      </x:c>
      <x:c r="B65" s="22" t="s">
        <x:v>237</x:v>
      </x:c>
      <x:c r="C65" s="22" t="s">
        <x:v>139</x:v>
      </x:c>
      <x:c r="D65" s="22" t="s">
        <x:v>276</x:v>
      </x:c>
      <x:c r="E65" s="22" t="s">
        <x:v>194</x:v>
      </x:c>
      <x:c r="F65" s="22" t="s">
        <x:v>195</x:v>
      </x:c>
      <x:c r="G65" s="22" t="s">
        <x:v>199</x:v>
      </x:c>
      <x:c r="H65" s="22">
        <x:v>24</x:v>
      </x:c>
      <x:c r="I65" s="22">
        <x:v>10</x:v>
      </x:c>
      <x:c r="J65" s="22">
        <x:v>104</x:v>
      </x:c>
      <x:c r="K65" s="23">
        <x:v>4206536109</x:v>
      </x:c>
      <x:c r="L65" s="23">
        <x:v>5602931887</x:v>
      </x:c>
      <x:c r="M65" s="23">
        <x:f>K65-L65</x:f>
      </x:c>
      <x:c r="N65" s="22" t="s">
        <x:v>196</x:v>
      </x:c>
      <x:c r="O65" s="24">
        <x:f>IFERROR(INDEX('تطبیق کل'!$J:$J,MATCH(A65&amp;"",'تطبیق کل'!$A:$A,0))&amp;"","")</x:f>
      </x:c>
      <x:c r="P65" s="24">
        <x:f>IF(O65="","",O65&amp;B65)</x:f>
      </x:c>
      <x:c r="Q65" s="24">
        <x:f>IF(P65="","",IFERROR(INDEX('درخت جدید'!$C:$C,MATCH(P65&amp;"",'درخت جدید'!$B:$B,0)),"— در درخت نیست؛ با نام قدیم ساخته می‌شود —"))</x:f>
      </x:c>
      <x:c r="R65" s="25"/>
      <x:c r="S65" s="26">
        <x:f>P65</x:f>
      </x:c>
      <x:c r="T65" s="22">
        <x:f>IF(S65="","",IFERROR(INDEX('درخت جدید'!$C:$C,MATCH(S65&amp;"",'درخت جدید'!$B:$B,0)),"(ساخته می‌شود) "&amp;V65))</x:f>
      </x:c>
      <x:c r="U65" s="22">
        <x:f>IF(S65="",IF(N65="بله","الزامی — تکمیل نشده",""),IF(AND(O65&lt;&gt;"",LEFT(S65&amp;"",4)&lt;&gt;O65),"زیر کل دیگری است — کل یا معین را اصلاح کنید",IF(AND(S65=P65,FALSE,W65=""),"تداخل: کد "&amp;S65&amp;" در برگهٔ درخت جدید با نام «"&amp;T65&amp;"» از قبل تعریف شده",IF(COUNTIFS('درخت جدید'!$B:$B,S65&amp;"",'درخت جدید'!$A:$A,"معین")=0,IF(V65="","کد در درخت نیست — نام برای تعریف را بنویسید","OK"),"OK"))))</x:f>
      </x:c>
      <x:c r="V65" s="27">
        <x:f>IF(S65="","",IF(COUNTIFS('درخت جدید'!$B:$B,S65&amp;"",'درخت جدید'!$A:$A,"معین")=0,D65,""))</x:f>
      </x:c>
      <x:c r="W65" s="27"/>
      <x:c r="X65" s="38"/>
    </x:row>
    <x:row r="66" spans="1:24">
      <x:c r="A66" s="21" t="s">
        <x:v>138</x:v>
      </x:c>
      <x:c r="B66" s="22" t="s">
        <x:v>239</x:v>
      </x:c>
      <x:c r="C66" s="22" t="s">
        <x:v>139</x:v>
      </x:c>
      <x:c r="D66" s="22" t="s">
        <x:v>277</x:v>
      </x:c>
      <x:c r="E66" s="22" t="s">
        <x:v>194</x:v>
      </x:c>
      <x:c r="F66" s="22" t="s">
        <x:v>195</x:v>
      </x:c>
      <x:c r="G66" s="22" t="s">
        <x:v>199</x:v>
      </x:c>
      <x:c r="H66" s="22">
        <x:v>4</x:v>
      </x:c>
      <x:c r="I66" s="22">
        <x:v>2</x:v>
      </x:c>
      <x:c r="J66" s="22">
        <x:v>21</x:v>
      </x:c>
      <x:c r="K66" s="23">
        <x:v>8186091358</x:v>
      </x:c>
      <x:c r="L66" s="23">
        <x:v>10973426660</x:v>
      </x:c>
      <x:c r="M66" s="23">
        <x:f>K66-L66</x:f>
      </x:c>
      <x:c r="N66" s="22" t="s">
        <x:v>196</x:v>
      </x:c>
      <x:c r="O66" s="24">
        <x:f>IFERROR(INDEX('تطبیق کل'!$J:$J,MATCH(A66&amp;"",'تطبیق کل'!$A:$A,0))&amp;"","")</x:f>
      </x:c>
      <x:c r="P66" s="24">
        <x:f>IF(O66="","",O66&amp;B66)</x:f>
      </x:c>
      <x:c r="Q66" s="24">
        <x:f>IF(P66="","",IFERROR(INDEX('درخت جدید'!$C:$C,MATCH(P66&amp;"",'درخت جدید'!$B:$B,0)),"— در درخت نیست؛ با نام قدیم ساخته می‌شود —"))</x:f>
      </x:c>
      <x:c r="R66" s="25"/>
      <x:c r="S66" s="26">
        <x:f>P66</x:f>
      </x:c>
      <x:c r="T66" s="22">
        <x:f>IF(S66="","",IFERROR(INDEX('درخت جدید'!$C:$C,MATCH(S66&amp;"",'درخت جدید'!$B:$B,0)),"(ساخته می‌شود) "&amp;V66))</x:f>
      </x:c>
      <x:c r="U66" s="22">
        <x:f>IF(S66="",IF(N66="بله","الزامی — تکمیل نشده",""),IF(AND(O66&lt;&gt;"",LEFT(S66&amp;"",4)&lt;&gt;O66),"زیر کل دیگری است — کل یا معین را اصلاح کنید",IF(AND(S66=P66,FALSE,W66=""),"تداخل: کد "&amp;S66&amp;" در برگهٔ درخت جدید با نام «"&amp;T66&amp;"» از قبل تعریف شده",IF(COUNTIFS('درخت جدید'!$B:$B,S66&amp;"",'درخت جدید'!$A:$A,"معین")=0,IF(V66="","کد در درخت نیست — نام برای تعریف را بنویسید","OK"),"OK"))))</x:f>
      </x:c>
      <x:c r="V66" s="27">
        <x:f>IF(S66="","",IF(COUNTIFS('درخت جدید'!$B:$B,S66&amp;"",'درخت جدید'!$A:$A,"معین")=0,D66,""))</x:f>
      </x:c>
      <x:c r="W66" s="27"/>
      <x:c r="X66" s="38"/>
    </x:row>
    <x:row r="67" spans="1:24">
      <x:c r="A67" s="21" t="s">
        <x:v>138</x:v>
      </x:c>
      <x:c r="B67" s="22" t="s">
        <x:v>270</x:v>
      </x:c>
      <x:c r="C67" s="22" t="s">
        <x:v>139</x:v>
      </x:c>
      <x:c r="D67" s="22" t="s">
        <x:v>278</x:v>
      </x:c>
      <x:c r="E67" s="22" t="s">
        <x:v>194</x:v>
      </x:c>
      <x:c r="F67" s="22" t="s">
        <x:v>195</x:v>
      </x:c>
      <x:c r="G67" s="22" t="s">
        <x:v>199</x:v>
      </x:c>
      <x:c r="H67" s="22">
        <x:v>9</x:v>
      </x:c>
      <x:c r="I67" s="22">
        <x:v>3</x:v>
      </x:c>
      <x:c r="J67" s="22">
        <x:v>75</x:v>
      </x:c>
      <x:c r="K67" s="23">
        <x:v>11364594066</x:v>
      </x:c>
      <x:c r="L67" s="23">
        <x:v>14776786206</x:v>
      </x:c>
      <x:c r="M67" s="23">
        <x:f>K67-L67</x:f>
      </x:c>
      <x:c r="N67" s="22" t="s">
        <x:v>196</x:v>
      </x:c>
      <x:c r="O67" s="24">
        <x:f>IFERROR(INDEX('تطبیق کل'!$J:$J,MATCH(A67&amp;"",'تطبیق کل'!$A:$A,0))&amp;"","")</x:f>
      </x:c>
      <x:c r="P67" s="24">
        <x:f>IF(O67="","",O67&amp;B67)</x:f>
      </x:c>
      <x:c r="Q67" s="24">
        <x:f>IF(P67="","",IFERROR(INDEX('درخت جدید'!$C:$C,MATCH(P67&amp;"",'درخت جدید'!$B:$B,0)),"— در درخت نیست؛ با نام قدیم ساخته می‌شود —"))</x:f>
      </x:c>
      <x:c r="R67" s="25"/>
      <x:c r="S67" s="26">
        <x:f>P67</x:f>
      </x:c>
      <x:c r="T67" s="22">
        <x:f>IF(S67="","",IFERROR(INDEX('درخت جدید'!$C:$C,MATCH(S67&amp;"",'درخت جدید'!$B:$B,0)),"(ساخته می‌شود) "&amp;V67))</x:f>
      </x:c>
      <x:c r="U67" s="22">
        <x:f>IF(S67="",IF(N67="بله","الزامی — تکمیل نشده",""),IF(AND(O67&lt;&gt;"",LEFT(S67&amp;"",4)&lt;&gt;O67),"زیر کل دیگری است — کل یا معین را اصلاح کنید",IF(AND(S67=P67,FALSE,W67=""),"تداخل: کد "&amp;S67&amp;" در برگهٔ درخت جدید با نام «"&amp;T67&amp;"» از قبل تعریف شده",IF(COUNTIFS('درخت جدید'!$B:$B,S67&amp;"",'درخت جدید'!$A:$A,"معین")=0,IF(V67="","کد در درخت نیست — نام برای تعریف را بنویسید","OK"),"OK"))))</x:f>
      </x:c>
      <x:c r="V67" s="27">
        <x:f>IF(S67="","",IF(COUNTIFS('درخت جدید'!$B:$B,S67&amp;"",'درخت جدید'!$A:$A,"معین")=0,D67,""))</x:f>
      </x:c>
      <x:c r="W67" s="27"/>
      <x:c r="X67" s="38"/>
    </x:row>
    <x:row r="68" spans="1:24">
      <x:c r="A68" s="21" t="s">
        <x:v>138</x:v>
      </x:c>
      <x:c r="B68" s="22" t="s">
        <x:v>279</x:v>
      </x:c>
      <x:c r="C68" s="22" t="s">
        <x:v>139</x:v>
      </x:c>
      <x:c r="D68" s="22" t="s">
        <x:v>280</x:v>
      </x:c>
      <x:c r="E68" s="22" t="s">
        <x:v>194</x:v>
      </x:c>
      <x:c r="F68" s="22" t="s">
        <x:v>195</x:v>
      </x:c>
      <x:c r="G68" s="22" t="s">
        <x:v>199</x:v>
      </x:c>
      <x:c r="H68" s="22">
        <x:v>7</x:v>
      </x:c>
      <x:c r="I68" s="22">
        <x:v>4</x:v>
      </x:c>
      <x:c r="J68" s="22">
        <x:v>10</x:v>
      </x:c>
      <x:c r="K68" s="23">
        <x:v>4819832314</x:v>
      </x:c>
      <x:c r="L68" s="23">
        <x:v>4819832314</x:v>
      </x:c>
      <x:c r="M68" s="23">
        <x:f>K68-L68</x:f>
      </x:c>
      <x:c r="N68" s="22" t="s">
        <x:v>196</x:v>
      </x:c>
      <x:c r="O68" s="24">
        <x:f>IFERROR(INDEX('تطبیق کل'!$J:$J,MATCH(A68&amp;"",'تطبیق کل'!$A:$A,0))&amp;"","")</x:f>
      </x:c>
      <x:c r="P68" s="24">
        <x:f>IF(O68="","",O68&amp;B68)</x:f>
      </x:c>
      <x:c r="Q68" s="24">
        <x:f>IF(P68="","",IFERROR(INDEX('درخت جدید'!$C:$C,MATCH(P68&amp;"",'درخت جدید'!$B:$B,0)),"— در درخت نیست؛ با نام قدیم ساخته می‌شود —"))</x:f>
      </x:c>
      <x:c r="R68" s="25"/>
      <x:c r="S68" s="26">
        <x:f>P68</x:f>
      </x:c>
      <x:c r="T68" s="22">
        <x:f>IF(S68="","",IFERROR(INDEX('درخت جدید'!$C:$C,MATCH(S68&amp;"",'درخت جدید'!$B:$B,0)),"(ساخته می‌شود) "&amp;V68))</x:f>
      </x:c>
      <x:c r="U68" s="22">
        <x:f>IF(S68="",IF(N68="بله","الزامی — تکمیل نشده",""),IF(AND(O68&lt;&gt;"",LEFT(S68&amp;"",4)&lt;&gt;O68),"زیر کل دیگری است — کل یا معین را اصلاح کنید",IF(AND(S68=P68,FALSE,W68=""),"تداخل: کد "&amp;S68&amp;" در برگهٔ درخت جدید با نام «"&amp;T68&amp;"» از قبل تعریف شده",IF(COUNTIFS('درخت جدید'!$B:$B,S68&amp;"",'درخت جدید'!$A:$A,"معین")=0,IF(V68="","کد در درخت نیست — نام برای تعریف را بنویسید","OK"),"OK"))))</x:f>
      </x:c>
      <x:c r="V68" s="27">
        <x:f>IF(S68="","",IF(COUNTIFS('درخت جدید'!$B:$B,S68&amp;"",'درخت جدید'!$A:$A,"معین")=0,D68,""))</x:f>
      </x:c>
      <x:c r="W68" s="27"/>
      <x:c r="X68" s="38"/>
    </x:row>
    <x:row r="69" spans="1:24">
      <x:c r="A69" s="21" t="s">
        <x:v>138</x:v>
      </x:c>
      <x:c r="B69" s="22" t="s">
        <x:v>192</x:v>
      </x:c>
      <x:c r="C69" s="22" t="s">
        <x:v>139</x:v>
      </x:c>
      <x:c r="D69" s="22" t="s">
        <x:v>281</x:v>
      </x:c>
      <x:c r="E69" s="22" t="s">
        <x:v>194</x:v>
      </x:c>
      <x:c r="F69" s="22" t="s">
        <x:v>195</x:v>
      </x:c>
      <x:c r="G69" s="22" t="s">
        <x:v>199</x:v>
      </x:c>
      <x:c r="H69" s="22">
        <x:v>40</x:v>
      </x:c>
      <x:c r="I69" s="22">
        <x:v>13</x:v>
      </x:c>
      <x:c r="J69" s="22">
        <x:v>45</x:v>
      </x:c>
      <x:c r="K69" s="23">
        <x:v>1452411751</x:v>
      </x:c>
      <x:c r="L69" s="23">
        <x:v>1800101995</x:v>
      </x:c>
      <x:c r="M69" s="23">
        <x:f>K69-L69</x:f>
      </x:c>
      <x:c r="N69" s="22" t="s">
        <x:v>196</x:v>
      </x:c>
      <x:c r="O69" s="24">
        <x:f>IFERROR(INDEX('تطبیق کل'!$J:$J,MATCH(A69&amp;"",'تطبیق کل'!$A:$A,0))&amp;"","")</x:f>
      </x:c>
      <x:c r="P69" s="24">
        <x:f>IF(O69="","",O69&amp;B69)</x:f>
      </x:c>
      <x:c r="Q69" s="24">
        <x:f>IF(P69="","",IFERROR(INDEX('درخت جدید'!$C:$C,MATCH(P69&amp;"",'درخت جدید'!$B:$B,0)),"— در درخت نیست؛ با نام قدیم ساخته می‌شود —"))</x:f>
      </x:c>
      <x:c r="R69" s="25"/>
      <x:c r="S69" s="26">
        <x:f>P69</x:f>
      </x:c>
      <x:c r="T69" s="22">
        <x:f>IF(S69="","",IFERROR(INDEX('درخت جدید'!$C:$C,MATCH(S69&amp;"",'درخت جدید'!$B:$B,0)),"(ساخته می‌شود) "&amp;V69))</x:f>
      </x:c>
      <x:c r="U69" s="22">
        <x:f>IF(S69="",IF(N69="بله","الزامی — تکمیل نشده",""),IF(AND(O69&lt;&gt;"",LEFT(S69&amp;"",4)&lt;&gt;O69),"زیر کل دیگری است — کل یا معین را اصلاح کنید",IF(AND(S69=P69,FALSE,W69=""),"تداخل: کد "&amp;S69&amp;" در برگهٔ درخت جدید با نام «"&amp;T69&amp;"» از قبل تعریف شده",IF(COUNTIFS('درخت جدید'!$B:$B,S69&amp;"",'درخت جدید'!$A:$A,"معین")=0,IF(V69="","کد در درخت نیست — نام برای تعریف را بنویسید","OK"),"OK"))))</x:f>
      </x:c>
      <x:c r="V69" s="27">
        <x:f>IF(S69="","",IF(COUNTIFS('درخت جدید'!$B:$B,S69&amp;"",'درخت جدید'!$A:$A,"معین")=0,D69,""))</x:f>
      </x:c>
      <x:c r="W69" s="27"/>
      <x:c r="X69" s="38"/>
    </x:row>
    <x:row r="70" spans="1:24">
      <x:c r="A70" s="21" t="s">
        <x:v>138</x:v>
      </x:c>
      <x:c r="B70" s="22" t="s">
        <x:v>14</x:v>
      </x:c>
      <x:c r="C70" s="22" t="s">
        <x:v>139</x:v>
      </x:c>
      <x:c r="D70" s="22" t="s">
        <x:v>282</x:v>
      </x:c>
      <x:c r="E70" s="22" t="s">
        <x:v>194</x:v>
      </x:c>
      <x:c r="F70" s="22" t="s">
        <x:v>195</x:v>
      </x:c>
      <x:c r="G70" s="22" t="s">
        <x:v>199</x:v>
      </x:c>
      <x:c r="H70" s="22">
        <x:v>4</x:v>
      </x:c>
      <x:c r="I70" s="22">
        <x:v>1</x:v>
      </x:c>
      <x:c r="J70" s="22">
        <x:v>2</x:v>
      </x:c>
      <x:c r="K70" s="23">
        <x:v>99318609</x:v>
      </x:c>
      <x:c r="L70" s="23">
        <x:v>99318609</x:v>
      </x:c>
      <x:c r="M70" s="23">
        <x:f>K70-L70</x:f>
      </x:c>
      <x:c r="N70" s="22" t="s">
        <x:v>196</x:v>
      </x:c>
      <x:c r="O70" s="24">
        <x:f>IFERROR(INDEX('تطبیق کل'!$J:$J,MATCH(A70&amp;"",'تطبیق کل'!$A:$A,0))&amp;"","")</x:f>
      </x:c>
      <x:c r="P70" s="24">
        <x:f>IF(O70="","",O70&amp;B70)</x:f>
      </x:c>
      <x:c r="Q70" s="24">
        <x:f>IF(P70="","",IFERROR(INDEX('درخت جدید'!$C:$C,MATCH(P70&amp;"",'درخت جدید'!$B:$B,0)),"— در درخت نیست؛ با نام قدیم ساخته می‌شود —"))</x:f>
      </x:c>
      <x:c r="R70" s="25"/>
      <x:c r="S70" s="26">
        <x:f>P70</x:f>
      </x:c>
      <x:c r="T70" s="22">
        <x:f>IF(S70="","",IFERROR(INDEX('درخت جدید'!$C:$C,MATCH(S70&amp;"",'درخت جدید'!$B:$B,0)),"(ساخته می‌شود) "&amp;V70))</x:f>
      </x:c>
      <x:c r="U70" s="22">
        <x:f>IF(S70="",IF(N70="بله","الزامی — تکمیل نشده",""),IF(AND(O70&lt;&gt;"",LEFT(S70&amp;"",4)&lt;&gt;O70),"زیر کل دیگری است — کل یا معین را اصلاح کنید",IF(AND(S70=P70,FALSE,W70=""),"تداخل: کد "&amp;S70&amp;" در برگهٔ درخت جدید با نام «"&amp;T70&amp;"» از قبل تعریف شده",IF(COUNTIFS('درخت جدید'!$B:$B,S70&amp;"",'درخت جدید'!$A:$A,"معین")=0,IF(V70="","کد در درخت نیست — نام برای تعریف را بنویسید","OK"),"OK"))))</x:f>
      </x:c>
      <x:c r="V70" s="27">
        <x:f>IF(S70="","",IF(COUNTIFS('درخت جدید'!$B:$B,S70&amp;"",'درخت جدید'!$A:$A,"معین")=0,D70,""))</x:f>
      </x:c>
      <x:c r="W70" s="27"/>
      <x:c r="X70" s="38"/>
    </x:row>
    <x:row r="71" spans="1:24">
      <x:c r="A71" s="21" t="s">
        <x:v>138</x:v>
      </x:c>
      <x:c r="B71" s="22" t="s">
        <x:v>18</x:v>
      </x:c>
      <x:c r="C71" s="22" t="s">
        <x:v>139</x:v>
      </x:c>
      <x:c r="D71" s="22" t="s">
        <x:v>283</x:v>
      </x:c>
      <x:c r="E71" s="22" t="s">
        <x:v>194</x:v>
      </x:c>
      <x:c r="F71" s="22" t="s">
        <x:v>195</x:v>
      </x:c>
      <x:c r="G71" s="22" t="s">
        <x:v>199</x:v>
      </x:c>
      <x:c r="H71" s="22">
        <x:v>4</x:v>
      </x:c>
      <x:c r="I71" s="22">
        <x:v>2</x:v>
      </x:c>
      <x:c r="J71" s="22">
        <x:v>24</x:v>
      </x:c>
      <x:c r="K71" s="23">
        <x:v>168250614</x:v>
      </x:c>
      <x:c r="L71" s="23">
        <x:v>232305950</x:v>
      </x:c>
      <x:c r="M71" s="23">
        <x:f>K71-L71</x:f>
      </x:c>
      <x:c r="N71" s="22" t="s">
        <x:v>196</x:v>
      </x:c>
      <x:c r="O71" s="24">
        <x:f>IFERROR(INDEX('تطبیق کل'!$J:$J,MATCH(A71&amp;"",'تطبیق کل'!$A:$A,0))&amp;"","")</x:f>
      </x:c>
      <x:c r="P71" s="24">
        <x:f>IF(O71="","",O71&amp;B71)</x:f>
      </x:c>
      <x:c r="Q71" s="24">
        <x:f>IF(P71="","",IFERROR(INDEX('درخت جدید'!$C:$C,MATCH(P71&amp;"",'درخت جدید'!$B:$B,0)),"— در درخت نیست؛ با نام قدیم ساخته می‌شود —"))</x:f>
      </x:c>
      <x:c r="R71" s="25"/>
      <x:c r="S71" s="26">
        <x:f>P71</x:f>
      </x:c>
      <x:c r="T71" s="22">
        <x:f>IF(S71="","",IFERROR(INDEX('درخت جدید'!$C:$C,MATCH(S71&amp;"",'درخت جدید'!$B:$B,0)),"(ساخته می‌شود) "&amp;V71))</x:f>
      </x:c>
      <x:c r="U71" s="22">
        <x:f>IF(S71="",IF(N71="بله","الزامی — تکمیل نشده",""),IF(AND(O71&lt;&gt;"",LEFT(S71&amp;"",4)&lt;&gt;O71),"زیر کل دیگری است — کل یا معین را اصلاح کنید",IF(AND(S71=P71,FALSE,W71=""),"تداخل: کد "&amp;S71&amp;" در برگهٔ درخت جدید با نام «"&amp;T71&amp;"» از قبل تعریف شده",IF(COUNTIFS('درخت جدید'!$B:$B,S71&amp;"",'درخت جدید'!$A:$A,"معین")=0,IF(V71="","کد در درخت نیست — نام برای تعریف را بنویسید","OK"),"OK"))))</x:f>
      </x:c>
      <x:c r="V71" s="27">
        <x:f>IF(S71="","",IF(COUNTIFS('درخت جدید'!$B:$B,S71&amp;"",'درخت جدید'!$A:$A,"معین")=0,D71,""))</x:f>
      </x:c>
      <x:c r="W71" s="27"/>
      <x:c r="X71" s="38"/>
    </x:row>
    <x:row r="72" spans="1:24">
      <x:c r="A72" s="21" t="s">
        <x:v>138</x:v>
      </x:c>
      <x:c r="B72" s="22" t="s">
        <x:v>21</x:v>
      </x:c>
      <x:c r="C72" s="22" t="s">
        <x:v>139</x:v>
      </x:c>
      <x:c r="D72" s="22" t="s">
        <x:v>284</x:v>
      </x:c>
      <x:c r="E72" s="22" t="s">
        <x:v>194</x:v>
      </x:c>
      <x:c r="F72" s="22" t="s">
        <x:v>195</x:v>
      </x:c>
      <x:c r="G72" s="22" t="s">
        <x:v>199</x:v>
      </x:c>
      <x:c r="H72" s="22">
        <x:v>4</x:v>
      </x:c>
      <x:c r="I72" s="22">
        <x:v>2</x:v>
      </x:c>
      <x:c r="J72" s="22">
        <x:v>24</x:v>
      </x:c>
      <x:c r="K72" s="23">
        <x:v>2664072837</x:v>
      </x:c>
      <x:c r="L72" s="23">
        <x:v>3580456385</x:v>
      </x:c>
      <x:c r="M72" s="23">
        <x:f>K72-L72</x:f>
      </x:c>
      <x:c r="N72" s="22" t="s">
        <x:v>196</x:v>
      </x:c>
      <x:c r="O72" s="24">
        <x:f>IFERROR(INDEX('تطبیق کل'!$J:$J,MATCH(A72&amp;"",'تطبیق کل'!$A:$A,0))&amp;"","")</x:f>
      </x:c>
      <x:c r="P72" s="24">
        <x:f>IF(O72="","",O72&amp;B72)</x:f>
      </x:c>
      <x:c r="Q72" s="24">
        <x:f>IF(P72="","",IFERROR(INDEX('درخت جدید'!$C:$C,MATCH(P72&amp;"",'درخت جدید'!$B:$B,0)),"— در درخت نیست؛ با نام قدیم ساخته می‌شود —"))</x:f>
      </x:c>
      <x:c r="R72" s="25"/>
      <x:c r="S72" s="26">
        <x:f>P72</x:f>
      </x:c>
      <x:c r="T72" s="22">
        <x:f>IF(S72="","",IFERROR(INDEX('درخت جدید'!$C:$C,MATCH(S72&amp;"",'درخت جدید'!$B:$B,0)),"(ساخته می‌شود) "&amp;V72))</x:f>
      </x:c>
      <x:c r="U72" s="22">
        <x:f>IF(S72="",IF(N72="بله","الزامی — تکمیل نشده",""),IF(AND(O72&lt;&gt;"",LEFT(S72&amp;"",4)&lt;&gt;O72),"زیر کل دیگری است — کل یا معین را اصلاح کنید",IF(AND(S72=P72,FALSE,W72=""),"تداخل: کد "&amp;S72&amp;" در برگهٔ درخت جدید با نام «"&amp;T72&amp;"» از قبل تعریف شده",IF(COUNTIFS('درخت جدید'!$B:$B,S72&amp;"",'درخت جدید'!$A:$A,"معین")=0,IF(V72="","کد در درخت نیست — نام برای تعریف را بنویسید","OK"),"OK"))))</x:f>
      </x:c>
      <x:c r="V72" s="27">
        <x:f>IF(S72="","",IF(COUNTIFS('درخت جدید'!$B:$B,S72&amp;"",'درخت جدید'!$A:$A,"معین")=0,D72,""))</x:f>
      </x:c>
      <x:c r="W72" s="27"/>
      <x:c r="X72" s="38"/>
    </x:row>
    <x:row r="73" spans="1:24">
      <x:c r="A73" s="21" t="s">
        <x:v>138</x:v>
      </x:c>
      <x:c r="B73" s="22" t="s">
        <x:v>24</x:v>
      </x:c>
      <x:c r="C73" s="22" t="s">
        <x:v>139</x:v>
      </x:c>
      <x:c r="D73" s="22" t="s">
        <x:v>285</x:v>
      </x:c>
      <x:c r="E73" s="22" t="s">
        <x:v>194</x:v>
      </x:c>
      <x:c r="F73" s="22" t="s">
        <x:v>195</x:v>
      </x:c>
      <x:c r="G73" s="22" t="s">
        <x:v>195</x:v>
      </x:c>
      <x:c r="H73" s="22">
        <x:v>2</x:v>
      </x:c>
      <x:c r="I73" s="22">
        <x:v>1</x:v>
      </x:c>
      <x:c r="J73" s="22">
        <x:v>76</x:v>
      </x:c>
      <x:c r="K73" s="23">
        <x:v>1671761918</x:v>
      </x:c>
      <x:c r="L73" s="23">
        <x:v>2380306308</x:v>
      </x:c>
      <x:c r="M73" s="23">
        <x:f>K73-L73</x:f>
      </x:c>
      <x:c r="N73" s="22" t="s">
        <x:v>196</x:v>
      </x:c>
      <x:c r="O73" s="24">
        <x:f>IFERROR(INDEX('تطبیق کل'!$J:$J,MATCH(A73&amp;"",'تطبیق کل'!$A:$A,0))&amp;"","")</x:f>
      </x:c>
      <x:c r="P73" s="24">
        <x:f>IF(O73="","",O73&amp;B73)</x:f>
      </x:c>
      <x:c r="Q73" s="24">
        <x:f>IF(P73="","",IFERROR(INDEX('درخت جدید'!$C:$C,MATCH(P73&amp;"",'درخت جدید'!$B:$B,0)),"— در درخت نیست؛ با نام قدیم ساخته می‌شود —"))</x:f>
      </x:c>
      <x:c r="R73" s="25"/>
      <x:c r="S73" s="26">
        <x:f>P73</x:f>
      </x:c>
      <x:c r="T73" s="22">
        <x:f>IF(S73="","",IFERROR(INDEX('درخت جدید'!$C:$C,MATCH(S73&amp;"",'درخت جدید'!$B:$B,0)),"(ساخته می‌شود) "&amp;V73))</x:f>
      </x:c>
      <x:c r="U73" s="22">
        <x:f>IF(S73="",IF(N73="بله","الزامی — تکمیل نشده",""),IF(AND(O73&lt;&gt;"",LEFT(S73&amp;"",4)&lt;&gt;O73),"زیر کل دیگری است — کل یا معین را اصلاح کنید",IF(AND(S73=P73,FALSE,W73=""),"تداخل: کد "&amp;S73&amp;" در برگهٔ درخت جدید با نام «"&amp;T73&amp;"» از قبل تعریف شده",IF(COUNTIFS('درخت جدید'!$B:$B,S73&amp;"",'درخت جدید'!$A:$A,"معین")=0,IF(V73="","کد در درخت نیست — نام برای تعریف را بنویسید","OK"),"OK"))))</x:f>
      </x:c>
      <x:c r="V73" s="27">
        <x:f>IF(S73="","",IF(COUNTIFS('درخت جدید'!$B:$B,S73&amp;"",'درخت جدید'!$A:$A,"معین")=0,D73,""))</x:f>
      </x:c>
      <x:c r="W73" s="27"/>
      <x:c r="X73" s="38"/>
    </x:row>
    <x:row r="74" spans="1:24">
      <x:c r="A74" s="21" t="s">
        <x:v>138</x:v>
      </x:c>
      <x:c r="B74" s="22" t="s">
        <x:v>286</x:v>
      </x:c>
      <x:c r="C74" s="22" t="s">
        <x:v>139</x:v>
      </x:c>
      <x:c r="D74" s="22" t="s">
        <x:v>287</x:v>
      </x:c>
      <x:c r="E74" s="22" t="s">
        <x:v>194</x:v>
      </x:c>
      <x:c r="F74" s="22" t="s">
        <x:v>195</x:v>
      </x:c>
      <x:c r="G74" s="22" t="s">
        <x:v>199</x:v>
      </x:c>
      <x:c r="H74" s="22">
        <x:v>4</x:v>
      </x:c>
      <x:c r="I74" s="22">
        <x:v>2</x:v>
      </x:c>
      <x:c r="J74" s="22">
        <x:v>25</x:v>
      </x:c>
      <x:c r="K74" s="23">
        <x:v>484965145</x:v>
      </x:c>
      <x:c r="L74" s="23">
        <x:v>666841293</x:v>
      </x:c>
      <x:c r="M74" s="23">
        <x:f>K74-L74</x:f>
      </x:c>
      <x:c r="N74" s="22" t="s">
        <x:v>196</x:v>
      </x:c>
      <x:c r="O74" s="24">
        <x:f>IFERROR(INDEX('تطبیق کل'!$J:$J,MATCH(A74&amp;"",'تطبیق کل'!$A:$A,0))&amp;"","")</x:f>
      </x:c>
      <x:c r="P74" s="24">
        <x:f>IF(O74="","",O74&amp;B74)</x:f>
      </x:c>
      <x:c r="Q74" s="24">
        <x:f>IF(P74="","",IFERROR(INDEX('درخت جدید'!$C:$C,MATCH(P74&amp;"",'درخت جدید'!$B:$B,0)),"— در درخت نیست؛ با نام قدیم ساخته می‌شود —"))</x:f>
      </x:c>
      <x:c r="R74" s="25"/>
      <x:c r="S74" s="26">
        <x:f>P74</x:f>
      </x:c>
      <x:c r="T74" s="22">
        <x:f>IF(S74="","",IFERROR(INDEX('درخت جدید'!$C:$C,MATCH(S74&amp;"",'درخت جدید'!$B:$B,0)),"(ساخته می‌شود) "&amp;V74))</x:f>
      </x:c>
      <x:c r="U74" s="22">
        <x:f>IF(S74="",IF(N74="بله","الزامی — تکمیل نشده",""),IF(AND(O74&lt;&gt;"",LEFT(S74&amp;"",4)&lt;&gt;O74),"زیر کل دیگری است — کل یا معین را اصلاح کنید",IF(AND(S74=P74,FALSE,W74=""),"تداخل: کد "&amp;S74&amp;" در برگهٔ درخت جدید با نام «"&amp;T74&amp;"» از قبل تعریف شده",IF(COUNTIFS('درخت جدید'!$B:$B,S74&amp;"",'درخت جدید'!$A:$A,"معین")=0,IF(V74="","کد در درخت نیست — نام برای تعریف را بنویسید","OK"),"OK"))))</x:f>
      </x:c>
      <x:c r="V74" s="27">
        <x:f>IF(S74="","",IF(COUNTIFS('درخت جدید'!$B:$B,S74&amp;"",'درخت جدید'!$A:$A,"معین")=0,D74,""))</x:f>
      </x:c>
      <x:c r="W74" s="27"/>
      <x:c r="X74" s="38"/>
    </x:row>
    <x:row r="75" spans="1:24">
      <x:c r="A75" s="21" t="s">
        <x:v>138</x:v>
      </x:c>
      <x:c r="B75" s="22" t="s">
        <x:v>30</x:v>
      </x:c>
      <x:c r="C75" s="22" t="s">
        <x:v>139</x:v>
      </x:c>
      <x:c r="D75" s="22" t="s">
        <x:v>288</x:v>
      </x:c>
      <x:c r="E75" s="22" t="s">
        <x:v>194</x:v>
      </x:c>
      <x:c r="F75" s="22" t="s">
        <x:v>195</x:v>
      </x:c>
      <x:c r="G75" s="22" t="s">
        <x:v>199</x:v>
      </x:c>
      <x:c r="H75" s="22">
        <x:v>11</x:v>
      </x:c>
      <x:c r="I75" s="22">
        <x:v>2</x:v>
      </x:c>
      <x:c r="J75" s="22">
        <x:v>6</x:v>
      </x:c>
      <x:c r="K75" s="23">
        <x:v>75831528</x:v>
      </x:c>
      <x:c r="L75" s="23">
        <x:v>75831528</x:v>
      </x:c>
      <x:c r="M75" s="23">
        <x:f>K75-L75</x:f>
      </x:c>
      <x:c r="N75" s="22" t="s">
        <x:v>196</x:v>
      </x:c>
      <x:c r="O75" s="24">
        <x:f>IFERROR(INDEX('تطبیق کل'!$J:$J,MATCH(A75&amp;"",'تطبیق کل'!$A:$A,0))&amp;"","")</x:f>
      </x:c>
      <x:c r="P75" s="24">
        <x:f>IF(O75="","",O75&amp;B75)</x:f>
      </x:c>
      <x:c r="Q75" s="24">
        <x:f>IF(P75="","",IFERROR(INDEX('درخت جدید'!$C:$C,MATCH(P75&amp;"",'درخت جدید'!$B:$B,0)),"— در درخت نیست؛ با نام قدیم ساخته می‌شود —"))</x:f>
      </x:c>
      <x:c r="R75" s="25"/>
      <x:c r="S75" s="26">
        <x:f>P75</x:f>
      </x:c>
      <x:c r="T75" s="22">
        <x:f>IF(S75="","",IFERROR(INDEX('درخت جدید'!$C:$C,MATCH(S75&amp;"",'درخت جدید'!$B:$B,0)),"(ساخته می‌شود) "&amp;V75))</x:f>
      </x:c>
      <x:c r="U75" s="22">
        <x:f>IF(S75="",IF(N75="بله","الزامی — تکمیل نشده",""),IF(AND(O75&lt;&gt;"",LEFT(S75&amp;"",4)&lt;&gt;O75),"زیر کل دیگری است — کل یا معین را اصلاح کنید",IF(AND(S75=P75,FALSE,W75=""),"تداخل: کد "&amp;S75&amp;" در برگهٔ درخت جدید با نام «"&amp;T75&amp;"» از قبل تعریف شده",IF(COUNTIFS('درخت جدید'!$B:$B,S75&amp;"",'درخت جدید'!$A:$A,"معین")=0,IF(V75="","کد در درخت نیست — نام برای تعریف را بنویسید","OK"),"OK"))))</x:f>
      </x:c>
      <x:c r="V75" s="27">
        <x:f>IF(S75="","",IF(COUNTIFS('درخت جدید'!$B:$B,S75&amp;"",'درخت جدید'!$A:$A,"معین")=0,D75,""))</x:f>
      </x:c>
      <x:c r="W75" s="27"/>
      <x:c r="X75" s="38"/>
    </x:row>
    <x:row r="76" spans="1:24">
      <x:c r="A76" s="21" t="s">
        <x:v>138</x:v>
      </x:c>
      <x:c r="B76" s="22" t="s">
        <x:v>34</x:v>
      </x:c>
      <x:c r="C76" s="22" t="s">
        <x:v>139</x:v>
      </x:c>
      <x:c r="D76" s="22" t="s">
        <x:v>289</x:v>
      </x:c>
      <x:c r="E76" s="22" t="s">
        <x:v>194</x:v>
      </x:c>
      <x:c r="F76" s="22" t="s">
        <x:v>195</x:v>
      </x:c>
      <x:c r="G76" s="22" t="s">
        <x:v>199</x:v>
      </x:c>
      <x:c r="H76" s="22">
        <x:v>3</x:v>
      </x:c>
      <x:c r="I76" s="22">
        <x:v>2</x:v>
      </x:c>
      <x:c r="J76" s="22">
        <x:v>27</x:v>
      </x:c>
      <x:c r="K76" s="23">
        <x:v>1822652737</x:v>
      </x:c>
      <x:c r="L76" s="23">
        <x:v>2429686045</x:v>
      </x:c>
      <x:c r="M76" s="23">
        <x:f>K76-L76</x:f>
      </x:c>
      <x:c r="N76" s="22" t="s">
        <x:v>196</x:v>
      </x:c>
      <x:c r="O76" s="24">
        <x:f>IFERROR(INDEX('تطبیق کل'!$J:$J,MATCH(A76&amp;"",'تطبیق کل'!$A:$A,0))&amp;"","")</x:f>
      </x:c>
      <x:c r="P76" s="24">
        <x:f>IF(O76="","",O76&amp;B76)</x:f>
      </x:c>
      <x:c r="Q76" s="24">
        <x:f>IF(P76="","",IFERROR(INDEX('درخت جدید'!$C:$C,MATCH(P76&amp;"",'درخت جدید'!$B:$B,0)),"— در درخت نیست؛ با نام قدیم ساخته می‌شود —"))</x:f>
      </x:c>
      <x:c r="R76" s="25"/>
      <x:c r="S76" s="26">
        <x:f>P76</x:f>
      </x:c>
      <x:c r="T76" s="22">
        <x:f>IF(S76="","",IFERROR(INDEX('درخت جدید'!$C:$C,MATCH(S76&amp;"",'درخت جدید'!$B:$B,0)),"(ساخته می‌شود) "&amp;V76))</x:f>
      </x:c>
      <x:c r="U76" s="22">
        <x:f>IF(S76="",IF(N76="بله","الزامی — تکمیل نشده",""),IF(AND(O76&lt;&gt;"",LEFT(S76&amp;"",4)&lt;&gt;O76),"زیر کل دیگری است — کل یا معین را اصلاح کنید",IF(AND(S76=P76,FALSE,W76=""),"تداخل: کد "&amp;S76&amp;" در برگهٔ درخت جدید با نام «"&amp;T76&amp;"» از قبل تعریف شده",IF(COUNTIFS('درخت جدید'!$B:$B,S76&amp;"",'درخت جدید'!$A:$A,"معین")=0,IF(V76="","کد در درخت نیست — نام برای تعریف را بنویسید","OK"),"OK"))))</x:f>
      </x:c>
      <x:c r="V76" s="27">
        <x:f>IF(S76="","",IF(COUNTIFS('درخت جدید'!$B:$B,S76&amp;"",'درخت جدید'!$A:$A,"معین")=0,D76,""))</x:f>
      </x:c>
      <x:c r="W76" s="27"/>
      <x:c r="X76" s="38"/>
    </x:row>
    <x:row r="77" spans="1:24">
      <x:c r="A77" s="21" t="s">
        <x:v>138</x:v>
      </x:c>
      <x:c r="B77" s="22" t="s">
        <x:v>290</x:v>
      </x:c>
      <x:c r="C77" s="22" t="s">
        <x:v>139</x:v>
      </x:c>
      <x:c r="D77" s="22" t="s">
        <x:v>291</x:v>
      </x:c>
      <x:c r="E77" s="22" t="s">
        <x:v>194</x:v>
      </x:c>
      <x:c r="F77" s="22" t="s">
        <x:v>195</x:v>
      </x:c>
      <x:c r="G77" s="22" t="s">
        <x:v>199</x:v>
      </x:c>
      <x:c r="H77" s="22">
        <x:v>5</x:v>
      </x:c>
      <x:c r="I77" s="22">
        <x:v>1</x:v>
      </x:c>
      <x:c r="J77" s="22">
        <x:v>5</x:v>
      </x:c>
      <x:c r="K77" s="23">
        <x:v>4238682</x:v>
      </x:c>
      <x:c r="L77" s="23">
        <x:v>4238682</x:v>
      </x:c>
      <x:c r="M77" s="23">
        <x:f>K77-L77</x:f>
      </x:c>
      <x:c r="N77" s="22" t="s">
        <x:v>196</x:v>
      </x:c>
      <x:c r="O77" s="24">
        <x:f>IFERROR(INDEX('تطبیق کل'!$J:$J,MATCH(A77&amp;"",'تطبیق کل'!$A:$A,0))&amp;"","")</x:f>
      </x:c>
      <x:c r="P77" s="24">
        <x:f>IF(O77="","",O77&amp;B77)</x:f>
      </x:c>
      <x:c r="Q77" s="24">
        <x:f>IF(P77="","",IFERROR(INDEX('درخت جدید'!$C:$C,MATCH(P77&amp;"",'درخت جدید'!$B:$B,0)),"— در درخت نیست؛ با نام قدیم ساخته می‌شود —"))</x:f>
      </x:c>
      <x:c r="R77" s="25"/>
      <x:c r="S77" s="26">
        <x:f>P77</x:f>
      </x:c>
      <x:c r="T77" s="22">
        <x:f>IF(S77="","",IFERROR(INDEX('درخت جدید'!$C:$C,MATCH(S77&amp;"",'درخت جدید'!$B:$B,0)),"(ساخته می‌شود) "&amp;V77))</x:f>
      </x:c>
      <x:c r="U77" s="22">
        <x:f>IF(S77="",IF(N77="بله","الزامی — تکمیل نشده",""),IF(AND(O77&lt;&gt;"",LEFT(S77&amp;"",4)&lt;&gt;O77),"زیر کل دیگری است — کل یا معین را اصلاح کنید",IF(AND(S77=P77,FALSE,W77=""),"تداخل: کد "&amp;S77&amp;" در برگهٔ درخت جدید با نام «"&amp;T77&amp;"» از قبل تعریف شده",IF(COUNTIFS('درخت جدید'!$B:$B,S77&amp;"",'درخت جدید'!$A:$A,"معین")=0,IF(V77="","کد در درخت نیست — نام برای تعریف را بنویسید","OK"),"OK"))))</x:f>
      </x:c>
      <x:c r="V77" s="27">
        <x:f>IF(S77="","",IF(COUNTIFS('درخت جدید'!$B:$B,S77&amp;"",'درخت جدید'!$A:$A,"معین")=0,D77,""))</x:f>
      </x:c>
      <x:c r="W77" s="27"/>
      <x:c r="X77" s="38"/>
    </x:row>
    <x:row r="78" spans="1:24">
      <x:c r="A78" s="21" t="s">
        <x:v>138</x:v>
      </x:c>
      <x:c r="B78" s="22" t="s">
        <x:v>292</x:v>
      </x:c>
      <x:c r="C78" s="22" t="s">
        <x:v>139</x:v>
      </x:c>
      <x:c r="D78" s="22" t="s">
        <x:v>293</x:v>
      </x:c>
      <x:c r="E78" s="22" t="s">
        <x:v>194</x:v>
      </x:c>
      <x:c r="F78" s="22" t="s">
        <x:v>195</x:v>
      </x:c>
      <x:c r="G78" s="22" t="s">
        <x:v>199</x:v>
      </x:c>
      <x:c r="H78" s="22">
        <x:v>4</x:v>
      </x:c>
      <x:c r="I78" s="22">
        <x:v>2</x:v>
      </x:c>
      <x:c r="J78" s="22">
        <x:v>320</x:v>
      </x:c>
      <x:c r="K78" s="23">
        <x:v>16647796975</x:v>
      </x:c>
      <x:c r="L78" s="23">
        <x:v>20115309407</x:v>
      </x:c>
      <x:c r="M78" s="23">
        <x:f>K78-L78</x:f>
      </x:c>
      <x:c r="N78" s="22" t="s">
        <x:v>196</x:v>
      </x:c>
      <x:c r="O78" s="24">
        <x:f>IFERROR(INDEX('تطبیق کل'!$J:$J,MATCH(A78&amp;"",'تطبیق کل'!$A:$A,0))&amp;"","")</x:f>
      </x:c>
      <x:c r="P78" s="24">
        <x:f>IF(O78="","",O78&amp;B78)</x:f>
      </x:c>
      <x:c r="Q78" s="24">
        <x:f>IF(P78="","",IFERROR(INDEX('درخت جدید'!$C:$C,MATCH(P78&amp;"",'درخت جدید'!$B:$B,0)),"— در درخت نیست؛ با نام قدیم ساخته می‌شود —"))</x:f>
      </x:c>
      <x:c r="R78" s="25"/>
      <x:c r="S78" s="26">
        <x:f>P78</x:f>
      </x:c>
      <x:c r="T78" s="22">
        <x:f>IF(S78="","",IFERROR(INDEX('درخت جدید'!$C:$C,MATCH(S78&amp;"",'درخت جدید'!$B:$B,0)),"(ساخته می‌شود) "&amp;V78))</x:f>
      </x:c>
      <x:c r="U78" s="22">
        <x:f>IF(S78="",IF(N78="بله","الزامی — تکمیل نشده",""),IF(AND(O78&lt;&gt;"",LEFT(S78&amp;"",4)&lt;&gt;O78),"زیر کل دیگری است — کل یا معین را اصلاح کنید",IF(AND(S78=P78,FALSE,W78=""),"تداخل: کد "&amp;S78&amp;" در برگهٔ درخت جدید با نام «"&amp;T78&amp;"» از قبل تعریف شده",IF(COUNTIFS('درخت جدید'!$B:$B,S78&amp;"",'درخت جدید'!$A:$A,"معین")=0,IF(V78="","کد در درخت نیست — نام برای تعریف را بنویسید","OK"),"OK"))))</x:f>
      </x:c>
      <x:c r="V78" s="27">
        <x:f>IF(S78="","",IF(COUNTIFS('درخت جدید'!$B:$B,S78&amp;"",'درخت جدید'!$A:$A,"معین")=0,D78,""))</x:f>
      </x:c>
      <x:c r="W78" s="27"/>
      <x:c r="X78" s="38"/>
    </x:row>
    <x:row r="79" spans="1:24">
      <x:c r="A79" s="21" t="s">
        <x:v>138</x:v>
      </x:c>
      <x:c r="B79" s="22" t="s">
        <x:v>63</x:v>
      </x:c>
      <x:c r="C79" s="22" t="s">
        <x:v>139</x:v>
      </x:c>
      <x:c r="D79" s="22" t="s">
        <x:v>294</x:v>
      </x:c>
      <x:c r="E79" s="22" t="s">
        <x:v>194</x:v>
      </x:c>
      <x:c r="F79" s="22" t="s">
        <x:v>195</x:v>
      </x:c>
      <x:c r="G79" s="22" t="s">
        <x:v>199</x:v>
      </x:c>
      <x:c r="H79" s="22">
        <x:v>4</x:v>
      </x:c>
      <x:c r="I79" s="22">
        <x:v>2</x:v>
      </x:c>
      <x:c r="J79" s="22">
        <x:v>5</x:v>
      </x:c>
      <x:c r="K79" s="23">
        <x:v>34837237486</x:v>
      </x:c>
      <x:c r="L79" s="23">
        <x:v>46793992963</x:v>
      </x:c>
      <x:c r="M79" s="23">
        <x:f>K79-L79</x:f>
      </x:c>
      <x:c r="N79" s="22" t="s">
        <x:v>196</x:v>
      </x:c>
      <x:c r="O79" s="24">
        <x:f>IFERROR(INDEX('تطبیق کل'!$J:$J,MATCH(A79&amp;"",'تطبیق کل'!$A:$A,0))&amp;"","")</x:f>
      </x:c>
      <x:c r="P79" s="24">
        <x:f>IF(O79="","",O79&amp;B79)</x:f>
      </x:c>
      <x:c r="Q79" s="24">
        <x:f>IF(P79="","",IFERROR(INDEX('درخت جدید'!$C:$C,MATCH(P79&amp;"",'درخت جدید'!$B:$B,0)),"— در درخت نیست؛ با نام قدیم ساخته می‌شود —"))</x:f>
      </x:c>
      <x:c r="R79" s="25"/>
      <x:c r="S79" s="26">
        <x:f>P79</x:f>
      </x:c>
      <x:c r="T79" s="22">
        <x:f>IF(S79="","",IFERROR(INDEX('درخت جدید'!$C:$C,MATCH(S79&amp;"",'درخت جدید'!$B:$B,0)),"(ساخته می‌شود) "&amp;V79))</x:f>
      </x:c>
      <x:c r="U79" s="22">
        <x:f>IF(S79="",IF(N79="بله","الزامی — تکمیل نشده",""),IF(AND(O79&lt;&gt;"",LEFT(S79&amp;"",4)&lt;&gt;O79),"زیر کل دیگری است — کل یا معین را اصلاح کنید",IF(AND(S79=P79,FALSE,W79=""),"تداخل: کد "&amp;S79&amp;" در برگهٔ درخت جدید با نام «"&amp;T79&amp;"» از قبل تعریف شده",IF(COUNTIFS('درخت جدید'!$B:$B,S79&amp;"",'درخت جدید'!$A:$A,"معین")=0,IF(V79="","کد در درخت نیست — نام برای تعریف را بنویسید","OK"),"OK"))))</x:f>
      </x:c>
      <x:c r="V79" s="27">
        <x:f>IF(S79="","",IF(COUNTIFS('درخت جدید'!$B:$B,S79&amp;"",'درخت جدید'!$A:$A,"معین")=0,D79,""))</x:f>
      </x:c>
      <x:c r="W79" s="27"/>
      <x:c r="X79" s="38"/>
    </x:row>
    <x:row r="80" spans="1:24">
      <x:c r="A80" s="21" t="s">
        <x:v>138</x:v>
      </x:c>
      <x:c r="B80" s="22" t="s">
        <x:v>66</x:v>
      </x:c>
      <x:c r="C80" s="22" t="s">
        <x:v>139</x:v>
      </x:c>
      <x:c r="D80" s="22" t="s">
        <x:v>295</x:v>
      </x:c>
      <x:c r="E80" s="22" t="s">
        <x:v>194</x:v>
      </x:c>
      <x:c r="F80" s="22" t="s">
        <x:v>195</x:v>
      </x:c>
      <x:c r="G80" s="22" t="s">
        <x:v>199</x:v>
      </x:c>
      <x:c r="H80" s="22">
        <x:v>7</x:v>
      </x:c>
      <x:c r="I80" s="22">
        <x:v>3</x:v>
      </x:c>
      <x:c r="J80" s="22">
        <x:v>7</x:v>
      </x:c>
      <x:c r="K80" s="23">
        <x:v>978992099</x:v>
      </x:c>
      <x:c r="L80" s="23">
        <x:v>1945424336</x:v>
      </x:c>
      <x:c r="M80" s="23">
        <x:f>K80-L80</x:f>
      </x:c>
      <x:c r="N80" s="22" t="s">
        <x:v>196</x:v>
      </x:c>
      <x:c r="O80" s="24">
        <x:f>IFERROR(INDEX('تطبیق کل'!$J:$J,MATCH(A80&amp;"",'تطبیق کل'!$A:$A,0))&amp;"","")</x:f>
      </x:c>
      <x:c r="P80" s="24">
        <x:f>IF(O80="","",O80&amp;B80)</x:f>
      </x:c>
      <x:c r="Q80" s="24">
        <x:f>IF(P80="","",IFERROR(INDEX('درخت جدید'!$C:$C,MATCH(P80&amp;"",'درخت جدید'!$B:$B,0)),"— در درخت نیست؛ با نام قدیم ساخته می‌شود —"))</x:f>
      </x:c>
      <x:c r="R80" s="25"/>
      <x:c r="S80" s="26">
        <x:f>P80</x:f>
      </x:c>
      <x:c r="T80" s="22">
        <x:f>IF(S80="","",IFERROR(INDEX('درخت جدید'!$C:$C,MATCH(S80&amp;"",'درخت جدید'!$B:$B,0)),"(ساخته می‌شود) "&amp;V80))</x:f>
      </x:c>
      <x:c r="U80" s="22">
        <x:f>IF(S80="",IF(N80="بله","الزامی — تکمیل نشده",""),IF(AND(O80&lt;&gt;"",LEFT(S80&amp;"",4)&lt;&gt;O80),"زیر کل دیگری است — کل یا معین را اصلاح کنید",IF(AND(S80=P80,FALSE,W80=""),"تداخل: کد "&amp;S80&amp;" در برگهٔ درخت جدید با نام «"&amp;T80&amp;"» از قبل تعریف شده",IF(COUNTIFS('درخت جدید'!$B:$B,S80&amp;"",'درخت جدید'!$A:$A,"معین")=0,IF(V80="","کد در درخت نیست — نام برای تعریف را بنویسید","OK"),"OK"))))</x:f>
      </x:c>
      <x:c r="V80" s="27">
        <x:f>IF(S80="","",IF(COUNTIFS('درخت جدید'!$B:$B,S80&amp;"",'درخت جدید'!$A:$A,"معین")=0,D80,""))</x:f>
      </x:c>
      <x:c r="W80" s="27"/>
      <x:c r="X80" s="38"/>
    </x:row>
    <x:row r="81" spans="1:24">
      <x:c r="A81" s="21" t="s">
        <x:v>138</x:v>
      </x:c>
      <x:c r="B81" s="22" t="s">
        <x:v>70</x:v>
      </x:c>
      <x:c r="C81" s="22" t="s">
        <x:v>139</x:v>
      </x:c>
      <x:c r="D81" s="22" t="s">
        <x:v>296</x:v>
      </x:c>
      <x:c r="E81" s="22" t="s">
        <x:v>194</x:v>
      </x:c>
      <x:c r="F81" s="22" t="s">
        <x:v>195</x:v>
      </x:c>
      <x:c r="G81" s="22" t="s">
        <x:v>195</x:v>
      </x:c>
      <x:c r="H81" s="22">
        <x:v>5</x:v>
      </x:c>
      <x:c r="I81" s="22">
        <x:v>3</x:v>
      </x:c>
      <x:c r="J81" s="22">
        <x:v>29</x:v>
      </x:c>
      <x:c r="K81" s="23">
        <x:v>19259468330</x:v>
      </x:c>
      <x:c r="L81" s="23">
        <x:v>9259468320</x:v>
      </x:c>
      <x:c r="M81" s="23">
        <x:f>K81-L81</x:f>
      </x:c>
      <x:c r="N81" s="22" t="s">
        <x:v>196</x:v>
      </x:c>
      <x:c r="O81" s="24">
        <x:f>IFERROR(INDEX('تطبیق کل'!$J:$J,MATCH(A81&amp;"",'تطبیق کل'!$A:$A,0))&amp;"","")</x:f>
      </x:c>
      <x:c r="P81" s="24">
        <x:f>IF(O81="","",O81&amp;B81)</x:f>
      </x:c>
      <x:c r="Q81" s="24">
        <x:f>IF(P81="","",IFERROR(INDEX('درخت جدید'!$C:$C,MATCH(P81&amp;"",'درخت جدید'!$B:$B,0)),"— در درخت نیست؛ با نام قدیم ساخته می‌شود —"))</x:f>
      </x:c>
      <x:c r="R81" s="25"/>
      <x:c r="S81" s="26">
        <x:f>P81</x:f>
      </x:c>
      <x:c r="T81" s="22">
        <x:f>IF(S81="","",IFERROR(INDEX('درخت جدید'!$C:$C,MATCH(S81&amp;"",'درخت جدید'!$B:$B,0)),"(ساخته می‌شود) "&amp;V81))</x:f>
      </x:c>
      <x:c r="U81" s="22">
        <x:f>IF(S81="",IF(N81="بله","الزامی — تکمیل نشده",""),IF(AND(O81&lt;&gt;"",LEFT(S81&amp;"",4)&lt;&gt;O81),"زیر کل دیگری است — کل یا معین را اصلاح کنید",IF(AND(S81=P81,FALSE,W81=""),"تداخل: کد "&amp;S81&amp;" در برگهٔ درخت جدید با نام «"&amp;T81&amp;"» از قبل تعریف شده",IF(COUNTIFS('درخت جدید'!$B:$B,S81&amp;"",'درخت جدید'!$A:$A,"معین")=0,IF(V81="","کد در درخت نیست — نام برای تعریف را بنویسید","OK"),"OK"))))</x:f>
      </x:c>
      <x:c r="V81" s="27">
        <x:f>IF(S81="","",IF(COUNTIFS('درخت جدید'!$B:$B,S81&amp;"",'درخت جدید'!$A:$A,"معین")=0,D81,""))</x:f>
      </x:c>
      <x:c r="W81" s="27"/>
      <x:c r="X81" s="38"/>
    </x:row>
    <x:row r="82" spans="1:24">
      <x:c r="A82" s="21" t="s">
        <x:v>138</x:v>
      </x:c>
      <x:c r="B82" s="22" t="s">
        <x:v>207</x:v>
      </x:c>
      <x:c r="C82" s="22" t="s">
        <x:v>139</x:v>
      </x:c>
      <x:c r="D82" s="22" t="s">
        <x:v>297</x:v>
      </x:c>
      <x:c r="E82" s="22" t="s">
        <x:v>194</x:v>
      </x:c>
      <x:c r="F82" s="22" t="s">
        <x:v>195</x:v>
      </x:c>
      <x:c r="G82" s="22" t="s">
        <x:v>199</x:v>
      </x:c>
      <x:c r="H82" s="22">
        <x:v>73</x:v>
      </x:c>
      <x:c r="I82" s="22">
        <x:v>26</x:v>
      </x:c>
      <x:c r="J82" s="22">
        <x:v>90</x:v>
      </x:c>
      <x:c r="K82" s="23">
        <x:v>5077234629</x:v>
      </x:c>
      <x:c r="L82" s="23">
        <x:v>5126383673</x:v>
      </x:c>
      <x:c r="M82" s="23">
        <x:f>K82-L82</x:f>
      </x:c>
      <x:c r="N82" s="22" t="s">
        <x:v>196</x:v>
      </x:c>
      <x:c r="O82" s="24">
        <x:f>IFERROR(INDEX('تطبیق کل'!$J:$J,MATCH(A82&amp;"",'تطبیق کل'!$A:$A,0))&amp;"","")</x:f>
      </x:c>
      <x:c r="P82" s="24">
        <x:f>IF(O82="","",O82&amp;B82)</x:f>
      </x:c>
      <x:c r="Q82" s="24">
        <x:f>IF(P82="","",IFERROR(INDEX('درخت جدید'!$C:$C,MATCH(P82&amp;"",'درخت جدید'!$B:$B,0)),"— در درخت نیست؛ با نام قدیم ساخته می‌شود —"))</x:f>
      </x:c>
      <x:c r="R82" s="25"/>
      <x:c r="S82" s="26">
        <x:f>P82</x:f>
      </x:c>
      <x:c r="T82" s="22">
        <x:f>IF(S82="","",IFERROR(INDEX('درخت جدید'!$C:$C,MATCH(S82&amp;"",'درخت جدید'!$B:$B,0)),"(ساخته می‌شود) "&amp;V82))</x:f>
      </x:c>
      <x:c r="U82" s="22">
        <x:f>IF(S82="",IF(N82="بله","الزامی — تکمیل نشده",""),IF(AND(O82&lt;&gt;"",LEFT(S82&amp;"",4)&lt;&gt;O82),"زیر کل دیگری است — کل یا معین را اصلاح کنید",IF(AND(S82=P82,FALSE,W82=""),"تداخل: کد "&amp;S82&amp;" در برگهٔ درخت جدید با نام «"&amp;T82&amp;"» از قبل تعریف شده",IF(COUNTIFS('درخت جدید'!$B:$B,S82&amp;"",'درخت جدید'!$A:$A,"معین")=0,IF(V82="","کد در درخت نیست — نام برای تعریف را بنویسید","OK"),"OK"))))</x:f>
      </x:c>
      <x:c r="V82" s="27">
        <x:f>IF(S82="","",IF(COUNTIFS('درخت جدید'!$B:$B,S82&amp;"",'درخت جدید'!$A:$A,"معین")=0,D82,""))</x:f>
      </x:c>
      <x:c r="W82" s="27"/>
      <x:c r="X82" s="38"/>
    </x:row>
    <x:row r="83" spans="1:24">
      <x:c r="A83" s="21" t="s">
        <x:v>142</x:v>
      </x:c>
      <x:c r="B83" s="22" t="s">
        <x:v>237</x:v>
      </x:c>
      <x:c r="C83" s="22" t="s">
        <x:v>143</x:v>
      </x:c>
      <x:c r="D83" s="22" t="s">
        <x:v>298</x:v>
      </x:c>
      <x:c r="E83" s="22" t="s">
        <x:v>194</x:v>
      </x:c>
      <x:c r="F83" s="22" t="s">
        <x:v>195</x:v>
      </x:c>
      <x:c r="G83" s="22" t="s">
        <x:v>199</x:v>
      </x:c>
      <x:c r="H83" s="22">
        <x:v>11</x:v>
      </x:c>
      <x:c r="I83" s="22">
        <x:v>2</x:v>
      </x:c>
      <x:c r="J83" s="22">
        <x:v>10</x:v>
      </x:c>
      <x:c r="K83" s="23">
        <x:v>6950000</x:v>
      </x:c>
      <x:c r="L83" s="23">
        <x:v>9580000</x:v>
      </x:c>
      <x:c r="M83" s="23">
        <x:f>K83-L83</x:f>
      </x:c>
      <x:c r="N83" s="22" t="s">
        <x:v>196</x:v>
      </x:c>
      <x:c r="O83" s="24">
        <x:f>IFERROR(INDEX('تطبیق کل'!$J:$J,MATCH(A83&amp;"",'تطبیق کل'!$A:$A,0))&amp;"","")</x:f>
      </x:c>
      <x:c r="P83" s="24">
        <x:f>IF(O83="","",O83&amp;B83)</x:f>
      </x:c>
      <x:c r="Q83" s="24">
        <x:f>IF(P83="","",IFERROR(INDEX('درخت جدید'!$C:$C,MATCH(P83&amp;"",'درخت جدید'!$B:$B,0)),"— در درخت نیست؛ با نام قدیم ساخته می‌شود —"))</x:f>
      </x:c>
      <x:c r="R83" s="25"/>
      <x:c r="S83" s="26">
        <x:f>P83</x:f>
      </x:c>
      <x:c r="T83" s="22">
        <x:f>IF(S83="","",IFERROR(INDEX('درخت جدید'!$C:$C,MATCH(S83&amp;"",'درخت جدید'!$B:$B,0)),"(ساخته می‌شود) "&amp;V83))</x:f>
      </x:c>
      <x:c r="U83" s="22">
        <x:f>IF(S83="",IF(N83="بله","الزامی — تکمیل نشده",""),IF(AND(O83&lt;&gt;"",LEFT(S83&amp;"",4)&lt;&gt;O83),"زیر کل دیگری است — کل یا معین را اصلاح کنید",IF(AND(S83=P83,FALSE,W83=""),"تداخل: کد "&amp;S83&amp;" در برگهٔ درخت جدید با نام «"&amp;T83&amp;"» از قبل تعریف شده",IF(COUNTIFS('درخت جدید'!$B:$B,S83&amp;"",'درخت جدید'!$A:$A,"معین")=0,IF(V83="","کد در درخت نیست — نام برای تعریف را بنویسید","OK"),"OK"))))</x:f>
      </x:c>
      <x:c r="V83" s="27">
        <x:f>IF(S83="","",IF(COUNTIFS('درخت جدید'!$B:$B,S83&amp;"",'درخت جدید'!$A:$A,"معین")=0,D83,""))</x:f>
      </x:c>
      <x:c r="W83" s="27"/>
      <x:c r="X83" s="38"/>
    </x:row>
    <x:row r="84" spans="1:24">
      <x:c r="A84" s="21" t="s">
        <x:v>142</x:v>
      </x:c>
      <x:c r="B84" s="22" t="s">
        <x:v>268</x:v>
      </x:c>
      <x:c r="C84" s="22" t="s">
        <x:v>143</x:v>
      </x:c>
      <x:c r="D84" s="22" t="s">
        <x:v>299</x:v>
      </x:c>
      <x:c r="E84" s="22" t="s">
        <x:v>194</x:v>
      </x:c>
      <x:c r="F84" s="22" t="s">
        <x:v>195</x:v>
      </x:c>
      <x:c r="G84" s="22" t="s">
        <x:v>199</x:v>
      </x:c>
      <x:c r="H84" s="22">
        <x:v>5</x:v>
      </x:c>
      <x:c r="I84" s="22">
        <x:v>1</x:v>
      </x:c>
      <x:c r="J84" s="22">
        <x:v>24</x:v>
      </x:c>
      <x:c r="K84" s="23">
        <x:v>653090000</x:v>
      </x:c>
      <x:c r="L84" s="23">
        <x:v>737090000</x:v>
      </x:c>
      <x:c r="M84" s="23">
        <x:f>K84-L84</x:f>
      </x:c>
      <x:c r="N84" s="22" t="s">
        <x:v>196</x:v>
      </x:c>
      <x:c r="O84" s="24">
        <x:f>IFERROR(INDEX('تطبیق کل'!$J:$J,MATCH(A84&amp;"",'تطبیق کل'!$A:$A,0))&amp;"","")</x:f>
      </x:c>
      <x:c r="P84" s="24">
        <x:f>IF(O84="","",O84&amp;B84)</x:f>
      </x:c>
      <x:c r="Q84" s="24">
        <x:f>IF(P84="","",IFERROR(INDEX('درخت جدید'!$C:$C,MATCH(P84&amp;"",'درخت جدید'!$B:$B,0)),"— در درخت نیست؛ با نام قدیم ساخته می‌شود —"))</x:f>
      </x:c>
      <x:c r="R84" s="25"/>
      <x:c r="S84" s="26">
        <x:f>P84</x:f>
      </x:c>
      <x:c r="T84" s="22">
        <x:f>IF(S84="","",IFERROR(INDEX('درخت جدید'!$C:$C,MATCH(S84&amp;"",'درخت جدید'!$B:$B,0)),"(ساخته می‌شود) "&amp;V84))</x:f>
      </x:c>
      <x:c r="U84" s="22">
        <x:f>IF(S84="",IF(N84="بله","الزامی — تکمیل نشده",""),IF(AND(O84&lt;&gt;"",LEFT(S84&amp;"",4)&lt;&gt;O84),"زیر کل دیگری است — کل یا معین را اصلاح کنید",IF(AND(S84=P84,FALSE,W84=""),"تداخل: کد "&amp;S84&amp;" در برگهٔ درخت جدید با نام «"&amp;T84&amp;"» از قبل تعریف شده",IF(COUNTIFS('درخت جدید'!$B:$B,S84&amp;"",'درخت جدید'!$A:$A,"معین")=0,IF(V84="","کد در درخت نیست — نام برای تعریف را بنویسید","OK"),"OK"))))</x:f>
      </x:c>
      <x:c r="V84" s="27">
        <x:f>IF(S84="","",IF(COUNTIFS('درخت جدید'!$B:$B,S84&amp;"",'درخت جدید'!$A:$A,"معین")=0,D84,""))</x:f>
      </x:c>
      <x:c r="W84" s="27"/>
      <x:c r="X84" s="38"/>
    </x:row>
    <x:row r="85" spans="1:24">
      <x:c r="A85" s="21" t="s">
        <x:v>142</x:v>
      </x:c>
      <x:c r="B85" s="22" t="s">
        <x:v>300</x:v>
      </x:c>
      <x:c r="C85" s="22" t="s">
        <x:v>143</x:v>
      </x:c>
      <x:c r="D85" s="22" t="s">
        <x:v>301</x:v>
      </x:c>
      <x:c r="E85" s="22" t="s">
        <x:v>194</x:v>
      </x:c>
      <x:c r="F85" s="22" t="s">
        <x:v>195</x:v>
      </x:c>
      <x:c r="G85" s="22" t="s">
        <x:v>199</x:v>
      </x:c>
      <x:c r="H85" s="22">
        <x:v>4</x:v>
      </x:c>
      <x:c r="I85" s="22">
        <x:v>3</x:v>
      </x:c>
      <x:c r="J85" s="22">
        <x:v>27</x:v>
      </x:c>
      <x:c r="K85" s="23">
        <x:v>257060265</x:v>
      </x:c>
      <x:c r="L85" s="23">
        <x:v>292913865</x:v>
      </x:c>
      <x:c r="M85" s="23">
        <x:f>K85-L85</x:f>
      </x:c>
      <x:c r="N85" s="22" t="s">
        <x:v>196</x:v>
      </x:c>
      <x:c r="O85" s="24">
        <x:f>IFERROR(INDEX('تطبیق کل'!$J:$J,MATCH(A85&amp;"",'تطبیق کل'!$A:$A,0))&amp;"","")</x:f>
      </x:c>
      <x:c r="P85" s="24">
        <x:f>IF(O85="","",O85&amp;B85)</x:f>
      </x:c>
      <x:c r="Q85" s="24">
        <x:f>IF(P85="","",IFERROR(INDEX('درخت جدید'!$C:$C,MATCH(P85&amp;"",'درخت جدید'!$B:$B,0)),"— در درخت نیست؛ با نام قدیم ساخته می‌شود —"))</x:f>
      </x:c>
      <x:c r="R85" s="25"/>
      <x:c r="S85" s="26">
        <x:f>P85</x:f>
      </x:c>
      <x:c r="T85" s="22">
        <x:f>IF(S85="","",IFERROR(INDEX('درخت جدید'!$C:$C,MATCH(S85&amp;"",'درخت جدید'!$B:$B,0)),"(ساخته می‌شود) "&amp;V85))</x:f>
      </x:c>
      <x:c r="U85" s="22">
        <x:f>IF(S85="",IF(N85="بله","الزامی — تکمیل نشده",""),IF(AND(O85&lt;&gt;"",LEFT(S85&amp;"",4)&lt;&gt;O85),"زیر کل دیگری است — کل یا معین را اصلاح کنید",IF(AND(S85=P85,FALSE,W85=""),"تداخل: کد "&amp;S85&amp;" در برگهٔ درخت جدید با نام «"&amp;T85&amp;"» از قبل تعریف شده",IF(COUNTIFS('درخت جدید'!$B:$B,S85&amp;"",'درخت جدید'!$A:$A,"معین")=0,IF(V85="","کد در درخت نیست — نام برای تعریف را بنویسید","OK"),"OK"))))</x:f>
      </x:c>
      <x:c r="V85" s="27">
        <x:f>IF(S85="","",IF(COUNTIFS('درخت جدید'!$B:$B,S85&amp;"",'درخت جدید'!$A:$A,"معین")=0,D85,""))</x:f>
      </x:c>
      <x:c r="W85" s="27"/>
      <x:c r="X85" s="38"/>
    </x:row>
    <x:row r="86" spans="1:24">
      <x:c r="A86" s="21" t="s">
        <x:v>142</x:v>
      </x:c>
      <x:c r="B86" s="22" t="s">
        <x:v>239</x:v>
      </x:c>
      <x:c r="C86" s="22" t="s">
        <x:v>143</x:v>
      </x:c>
      <x:c r="D86" s="22" t="s">
        <x:v>302</x:v>
      </x:c>
      <x:c r="E86" s="22" t="s">
        <x:v>194</x:v>
      </x:c>
      <x:c r="F86" s="22" t="s">
        <x:v>195</x:v>
      </x:c>
      <x:c r="G86" s="22" t="s">
        <x:v>199</x:v>
      </x:c>
      <x:c r="H86" s="22">
        <x:v>7</x:v>
      </x:c>
      <x:c r="I86" s="22">
        <x:v>1</x:v>
      </x:c>
      <x:c r="J86" s="22">
        <x:v>15</x:v>
      </x:c>
      <x:c r="K86" s="23">
        <x:v>32454108</x:v>
      </x:c>
      <x:c r="L86" s="23">
        <x:v>32454108</x:v>
      </x:c>
      <x:c r="M86" s="23">
        <x:f>K86-L86</x:f>
      </x:c>
      <x:c r="N86" s="22" t="s">
        <x:v>196</x:v>
      </x:c>
      <x:c r="O86" s="24">
        <x:f>IFERROR(INDEX('تطبیق کل'!$J:$J,MATCH(A86&amp;"",'تطبیق کل'!$A:$A,0))&amp;"","")</x:f>
      </x:c>
      <x:c r="P86" s="24">
        <x:f>IF(O86="","",O86&amp;B86)</x:f>
      </x:c>
      <x:c r="Q86" s="24">
        <x:f>IF(P86="","",IFERROR(INDEX('درخت جدید'!$C:$C,MATCH(P86&amp;"",'درخت جدید'!$B:$B,0)),"— در درخت نیست؛ با نام قدیم ساخته می‌شود —"))</x:f>
      </x:c>
      <x:c r="R86" s="25"/>
      <x:c r="S86" s="26">
        <x:f>P86</x:f>
      </x:c>
      <x:c r="T86" s="22">
        <x:f>IF(S86="","",IFERROR(INDEX('درخت جدید'!$C:$C,MATCH(S86&amp;"",'درخت جدید'!$B:$B,0)),"(ساخته می‌شود) "&amp;V86))</x:f>
      </x:c>
      <x:c r="U86" s="22">
        <x:f>IF(S86="",IF(N86="بله","الزامی — تکمیل نشده",""),IF(AND(O86&lt;&gt;"",LEFT(S86&amp;"",4)&lt;&gt;O86),"زیر کل دیگری است — کل یا معین را اصلاح کنید",IF(AND(S86=P86,FALSE,W86=""),"تداخل: کد "&amp;S86&amp;" در برگهٔ درخت جدید با نام «"&amp;T86&amp;"» از قبل تعریف شده",IF(COUNTIFS('درخت جدید'!$B:$B,S86&amp;"",'درخت جدید'!$A:$A,"معین")=0,IF(V86="","کد در درخت نیست — نام برای تعریف را بنویسید","OK"),"OK"))))</x:f>
      </x:c>
      <x:c r="V86" s="27">
        <x:f>IF(S86="","",IF(COUNTIFS('درخت جدید'!$B:$B,S86&amp;"",'درخت جدید'!$A:$A,"معین")=0,D86,""))</x:f>
      </x:c>
      <x:c r="W86" s="27"/>
      <x:c r="X86" s="38">
        <x:v>64</x:v>
      </x:c>
    </x:row>
    <x:row r="87" spans="1:24">
      <x:c r="A87" s="21" t="s">
        <x:v>142</x:v>
      </x:c>
      <x:c r="B87" s="22" t="s">
        <x:v>270</x:v>
      </x:c>
      <x:c r="C87" s="22" t="s">
        <x:v>143</x:v>
      </x:c>
      <x:c r="D87" s="22" t="s">
        <x:v>303</x:v>
      </x:c>
      <x:c r="E87" s="22" t="s">
        <x:v>194</x:v>
      </x:c>
      <x:c r="F87" s="22" t="s">
        <x:v>195</x:v>
      </x:c>
      <x:c r="G87" s="22" t="s">
        <x:v>199</x:v>
      </x:c>
      <x:c r="H87" s="22">
        <x:v>12</x:v>
      </x:c>
      <x:c r="I87" s="22">
        <x:v>6</x:v>
      </x:c>
      <x:c r="J87" s="22">
        <x:v>156</x:v>
      </x:c>
      <x:c r="K87" s="23">
        <x:v>8398839673</x:v>
      </x:c>
      <x:c r="L87" s="23">
        <x:v>8455739345</x:v>
      </x:c>
      <x:c r="M87" s="23">
        <x:f>K87-L87</x:f>
      </x:c>
      <x:c r="N87" s="22" t="s">
        <x:v>196</x:v>
      </x:c>
      <x:c r="O87" s="24">
        <x:f>IFERROR(INDEX('تطبیق کل'!$J:$J,MATCH(A87&amp;"",'تطبیق کل'!$A:$A,0))&amp;"","")</x:f>
      </x:c>
      <x:c r="P87" s="24">
        <x:f>IF(O87="","",O87&amp;B87)</x:f>
      </x:c>
      <x:c r="Q87" s="24">
        <x:f>IF(P87="","",IFERROR(INDEX('درخت جدید'!$C:$C,MATCH(P87&amp;"",'درخت جدید'!$B:$B,0)),"— در درخت نیست؛ با نام قدیم ساخته می‌شود —"))</x:f>
      </x:c>
      <x:c r="R87" s="25"/>
      <x:c r="S87" s="26">
        <x:f>P87</x:f>
      </x:c>
      <x:c r="T87" s="22">
        <x:f>IF(S87="","",IFERROR(INDEX('درخت جدید'!$C:$C,MATCH(S87&amp;"",'درخت جدید'!$B:$B,0)),"(ساخته می‌شود) "&amp;V87))</x:f>
      </x:c>
      <x:c r="U87" s="22">
        <x:f>IF(S87="",IF(N87="بله","الزامی — تکمیل نشده",""),IF(AND(O87&lt;&gt;"",LEFT(S87&amp;"",4)&lt;&gt;O87),"زیر کل دیگری است — کل یا معین را اصلاح کنید",IF(AND(S87=P87,FALSE,W87=""),"تداخل: کد "&amp;S87&amp;" در برگهٔ درخت جدید با نام «"&amp;T87&amp;"» از قبل تعریف شده",IF(COUNTIFS('درخت جدید'!$B:$B,S87&amp;"",'درخت جدید'!$A:$A,"معین")=0,IF(V87="","کد در درخت نیست — نام برای تعریف را بنویسید","OK"),"OK"))))</x:f>
      </x:c>
      <x:c r="V87" s="27">
        <x:f>IF(S87="","",IF(COUNTIFS('درخت جدید'!$B:$B,S87&amp;"",'درخت جدید'!$A:$A,"معین")=0,D87,""))</x:f>
      </x:c>
      <x:c r="W87" s="27"/>
      <x:c r="X87" s="38">
        <x:v>27</x:v>
      </x:c>
    </x:row>
    <x:row r="88" spans="1:24">
      <x:c r="A88" s="21" t="s">
        <x:v>142</x:v>
      </x:c>
      <x:c r="B88" s="22" t="s">
        <x:v>272</x:v>
      </x:c>
      <x:c r="C88" s="22" t="s">
        <x:v>143</x:v>
      </x:c>
      <x:c r="D88" s="22" t="s">
        <x:v>304</x:v>
      </x:c>
      <x:c r="E88" s="22" t="s">
        <x:v>194</x:v>
      </x:c>
      <x:c r="F88" s="22" t="s">
        <x:v>195</x:v>
      </x:c>
      <x:c r="G88" s="22" t="s">
        <x:v>199</x:v>
      </x:c>
      <x:c r="H88" s="22">
        <x:v>5</x:v>
      </x:c>
      <x:c r="I88" s="22">
        <x:v>2</x:v>
      </x:c>
      <x:c r="J88" s="22">
        <x:v>8</x:v>
      </x:c>
      <x:c r="K88" s="23">
        <x:v>74564413</x:v>
      </x:c>
      <x:c r="L88" s="23">
        <x:v>74564413</x:v>
      </x:c>
      <x:c r="M88" s="23">
        <x:f>K88-L88</x:f>
      </x:c>
      <x:c r="N88" s="22" t="s">
        <x:v>196</x:v>
      </x:c>
      <x:c r="O88" s="24">
        <x:f>IFERROR(INDEX('تطبیق کل'!$J:$J,MATCH(A88&amp;"",'تطبیق کل'!$A:$A,0))&amp;"","")</x:f>
      </x:c>
      <x:c r="P88" s="24">
        <x:f>IF(O88="","",O88&amp;B88)</x:f>
      </x:c>
      <x:c r="Q88" s="24">
        <x:f>IF(P88="","",IFERROR(INDEX('درخت جدید'!$C:$C,MATCH(P88&amp;"",'درخت جدید'!$B:$B,0)),"— در درخت نیست؛ با نام قدیم ساخته می‌شود —"))</x:f>
      </x:c>
      <x:c r="R88" s="25"/>
      <x:c r="S88" s="26">
        <x:f>P88</x:f>
      </x:c>
      <x:c r="T88" s="22">
        <x:f>IF(S88="","",IFERROR(INDEX('درخت جدید'!$C:$C,MATCH(S88&amp;"",'درخت جدید'!$B:$B,0)),"(ساخته می‌شود) "&amp;V88))</x:f>
      </x:c>
      <x:c r="U88" s="22">
        <x:f>IF(S88="",IF(N88="بله","الزامی — تکمیل نشده",""),IF(AND(O88&lt;&gt;"",LEFT(S88&amp;"",4)&lt;&gt;O88),"زیر کل دیگری است — کل یا معین را اصلاح کنید",IF(AND(S88=P88,FALSE,W88=""),"تداخل: کد "&amp;S88&amp;" در برگهٔ درخت جدید با نام «"&amp;T88&amp;"» از قبل تعریف شده",IF(COUNTIFS('درخت جدید'!$B:$B,S88&amp;"",'درخت جدید'!$A:$A,"معین")=0,IF(V88="","کد در درخت نیست — نام برای تعریف را بنویسید","OK"),"OK"))))</x:f>
      </x:c>
      <x:c r="V88" s="27">
        <x:f>IF(S88="","",IF(COUNTIFS('درخت جدید'!$B:$B,S88&amp;"",'درخت جدید'!$A:$A,"معین")=0,D88,""))</x:f>
      </x:c>
      <x:c r="W88" s="27"/>
      <x:c r="X88" s="38"/>
    </x:row>
    <x:row r="89" spans="1:24">
      <x:c r="A89" s="21" t="s">
        <x:v>142</x:v>
      </x:c>
      <x:c r="B89" s="22" t="s">
        <x:v>305</x:v>
      </x:c>
      <x:c r="C89" s="22" t="s">
        <x:v>143</x:v>
      </x:c>
      <x:c r="D89" s="22" t="s">
        <x:v>306</x:v>
      </x:c>
      <x:c r="E89" s="22" t="s">
        <x:v>194</x:v>
      </x:c>
      <x:c r="F89" s="22" t="s">
        <x:v>195</x:v>
      </x:c>
      <x:c r="G89" s="22" t="s">
        <x:v>199</x:v>
      </x:c>
      <x:c r="H89" s="22">
        <x:v>4</x:v>
      </x:c>
      <x:c r="I89" s="22">
        <x:v>1</x:v>
      </x:c>
      <x:c r="J89" s="22">
        <x:v>5</x:v>
      </x:c>
      <x:c r="K89" s="23">
        <x:v>25650000</x:v>
      </x:c>
      <x:c r="L89" s="23">
        <x:v>25650000</x:v>
      </x:c>
      <x:c r="M89" s="23">
        <x:f>K89-L89</x:f>
      </x:c>
      <x:c r="N89" s="22" t="s">
        <x:v>196</x:v>
      </x:c>
      <x:c r="O89" s="24">
        <x:f>IFERROR(INDEX('تطبیق کل'!$J:$J,MATCH(A89&amp;"",'تطبیق کل'!$A:$A,0))&amp;"","")</x:f>
      </x:c>
      <x:c r="P89" s="24">
        <x:f>IF(O89="","",O89&amp;B89)</x:f>
      </x:c>
      <x:c r="Q89" s="24">
        <x:f>IF(P89="","",IFERROR(INDEX('درخت جدید'!$C:$C,MATCH(P89&amp;"",'درخت جدید'!$B:$B,0)),"— در درخت نیست؛ با نام قدیم ساخته می‌شود —"))</x:f>
      </x:c>
      <x:c r="R89" s="25"/>
      <x:c r="S89" s="26">
        <x:f>P89</x:f>
      </x:c>
      <x:c r="T89" s="22">
        <x:f>IF(S89="","",IFERROR(INDEX('درخت جدید'!$C:$C,MATCH(S89&amp;"",'درخت جدید'!$B:$B,0)),"(ساخته می‌شود) "&amp;V89))</x:f>
      </x:c>
      <x:c r="U89" s="22">
        <x:f>IF(S89="",IF(N89="بله","الزامی — تکمیل نشده",""),IF(AND(O89&lt;&gt;"",LEFT(S89&amp;"",4)&lt;&gt;O89),"زیر کل دیگری است — کل یا معین را اصلاح کنید",IF(AND(S89=P89,FALSE,W89=""),"تداخل: کد "&amp;S89&amp;" در برگهٔ درخت جدید با نام «"&amp;T89&amp;"» از قبل تعریف شده",IF(COUNTIFS('درخت جدید'!$B:$B,S89&amp;"",'درخت جدید'!$A:$A,"معین")=0,IF(V89="","کد در درخت نیست — نام برای تعریف را بنویسید","OK"),"OK"))))</x:f>
      </x:c>
      <x:c r="V89" s="27">
        <x:f>IF(S89="","",IF(COUNTIFS('درخت جدید'!$B:$B,S89&amp;"",'درخت جدید'!$A:$A,"معین")=0,D89,""))</x:f>
      </x:c>
      <x:c r="W89" s="27"/>
      <x:c r="X89" s="38"/>
    </x:row>
    <x:row r="90" spans="1:24">
      <x:c r="A90" s="21" t="s">
        <x:v>142</x:v>
      </x:c>
      <x:c r="B90" s="22" t="s">
        <x:v>192</x:v>
      </x:c>
      <x:c r="C90" s="22" t="s">
        <x:v>143</x:v>
      </x:c>
      <x:c r="D90" s="22" t="s">
        <x:v>307</x:v>
      </x:c>
      <x:c r="E90" s="22" t="s">
        <x:v>194</x:v>
      </x:c>
      <x:c r="F90" s="22" t="s">
        <x:v>195</x:v>
      </x:c>
      <x:c r="G90" s="22" t="s">
        <x:v>199</x:v>
      </x:c>
      <x:c r="H90" s="22">
        <x:v>5</x:v>
      </x:c>
      <x:c r="I90" s="22">
        <x:v>2</x:v>
      </x:c>
      <x:c r="J90" s="22">
        <x:v>35</x:v>
      </x:c>
      <x:c r="K90" s="23">
        <x:v>198991180</x:v>
      </x:c>
      <x:c r="L90" s="23">
        <x:v>233261180</x:v>
      </x:c>
      <x:c r="M90" s="23">
        <x:f>K90-L90</x:f>
      </x:c>
      <x:c r="N90" s="22" t="s">
        <x:v>196</x:v>
      </x:c>
      <x:c r="O90" s="24">
        <x:f>IFERROR(INDEX('تطبیق کل'!$J:$J,MATCH(A90&amp;"",'تطبیق کل'!$A:$A,0))&amp;"","")</x:f>
      </x:c>
      <x:c r="P90" s="24">
        <x:f>IF(O90="","",O90&amp;B90)</x:f>
      </x:c>
      <x:c r="Q90" s="24">
        <x:f>IF(P90="","",IFERROR(INDEX('درخت جدید'!$C:$C,MATCH(P90&amp;"",'درخت جدید'!$B:$B,0)),"— در درخت نیست؛ با نام قدیم ساخته می‌شود —"))</x:f>
      </x:c>
      <x:c r="R90" s="25"/>
      <x:c r="S90" s="26">
        <x:f>P90</x:f>
      </x:c>
      <x:c r="T90" s="22">
        <x:f>IF(S90="","",IFERROR(INDEX('درخت جدید'!$C:$C,MATCH(S90&amp;"",'درخت جدید'!$B:$B,0)),"(ساخته می‌شود) "&amp;V90))</x:f>
      </x:c>
      <x:c r="U90" s="22">
        <x:f>IF(S90="",IF(N90="بله","الزامی — تکمیل نشده",""),IF(AND(O90&lt;&gt;"",LEFT(S90&amp;"",4)&lt;&gt;O90),"زیر کل دیگری است — کل یا معین را اصلاح کنید",IF(AND(S90=P90,FALSE,W90=""),"تداخل: کد "&amp;S90&amp;" در برگهٔ درخت جدید با نام «"&amp;T90&amp;"» از قبل تعریف شده",IF(COUNTIFS('درخت جدید'!$B:$B,S90&amp;"",'درخت جدید'!$A:$A,"معین")=0,IF(V90="","کد در درخت نیست — نام برای تعریف را بنویسید","OK"),"OK"))))</x:f>
      </x:c>
      <x:c r="V90" s="27">
        <x:f>IF(S90="","",IF(COUNTIFS('درخت جدید'!$B:$B,S90&amp;"",'درخت جدید'!$A:$A,"معین")=0,D90,""))</x:f>
      </x:c>
      <x:c r="W90" s="27"/>
      <x:c r="X90" s="38"/>
    </x:row>
    <x:row r="91" spans="1:24">
      <x:c r="A91" s="21" t="s">
        <x:v>142</x:v>
      </x:c>
      <x:c r="B91" s="22" t="s">
        <x:v>202</x:v>
      </x:c>
      <x:c r="C91" s="22" t="s">
        <x:v>143</x:v>
      </x:c>
      <x:c r="D91" s="22" t="s">
        <x:v>308</x:v>
      </x:c>
      <x:c r="E91" s="22" t="s">
        <x:v>194</x:v>
      </x:c>
      <x:c r="F91" s="22" t="s">
        <x:v>195</x:v>
      </x:c>
      <x:c r="G91" s="22" t="s">
        <x:v>199</x:v>
      </x:c>
      <x:c r="H91" s="22">
        <x:v>6</x:v>
      </x:c>
      <x:c r="I91" s="22">
        <x:v>2</x:v>
      </x:c>
      <x:c r="J91" s="22">
        <x:v>4</x:v>
      </x:c>
      <x:c r="K91" s="23">
        <x:v>3350000</x:v>
      </x:c>
      <x:c r="L91" s="23">
        <x:v>3350000</x:v>
      </x:c>
      <x:c r="M91" s="23">
        <x:f>K91-L91</x:f>
      </x:c>
      <x:c r="N91" s="22" t="s">
        <x:v>196</x:v>
      </x:c>
      <x:c r="O91" s="24">
        <x:f>IFERROR(INDEX('تطبیق کل'!$J:$J,MATCH(A91&amp;"",'تطبیق کل'!$A:$A,0))&amp;"","")</x:f>
      </x:c>
      <x:c r="P91" s="24">
        <x:f>IF(O91="","",O91&amp;B91)</x:f>
      </x:c>
      <x:c r="Q91" s="24">
        <x:f>IF(P91="","",IFERROR(INDEX('درخت جدید'!$C:$C,MATCH(P91&amp;"",'درخت جدید'!$B:$B,0)),"— در درخت نیست؛ با نام قدیم ساخته می‌شود —"))</x:f>
      </x:c>
      <x:c r="R91" s="25"/>
      <x:c r="S91" s="26">
        <x:f>P91</x:f>
      </x:c>
      <x:c r="T91" s="22">
        <x:f>IF(S91="","",IFERROR(INDEX('درخت جدید'!$C:$C,MATCH(S91&amp;"",'درخت جدید'!$B:$B,0)),"(ساخته می‌شود) "&amp;V91))</x:f>
      </x:c>
      <x:c r="U91" s="22">
        <x:f>IF(S91="",IF(N91="بله","الزامی — تکمیل نشده",""),IF(AND(O91&lt;&gt;"",LEFT(S91&amp;"",4)&lt;&gt;O91),"زیر کل دیگری است — کل یا معین را اصلاح کنید",IF(AND(S91=P91,FALSE,W91=""),"تداخل: کد "&amp;S91&amp;" در برگهٔ درخت جدید با نام «"&amp;T91&amp;"» از قبل تعریف شده",IF(COUNTIFS('درخت جدید'!$B:$B,S91&amp;"",'درخت جدید'!$A:$A,"معین")=0,IF(V91="","کد در درخت نیست — نام برای تعریف را بنویسید","OK"),"OK"))))</x:f>
      </x:c>
      <x:c r="V91" s="27">
        <x:f>IF(S91="","",IF(COUNTIFS('درخت جدید'!$B:$B,S91&amp;"",'درخت جدید'!$A:$A,"معین")=0,D91,""))</x:f>
      </x:c>
      <x:c r="W91" s="27"/>
      <x:c r="X91" s="38">
        <x:v>6</x:v>
      </x:c>
    </x:row>
    <x:row r="92" spans="1:24">
      <x:c r="A92" s="21" t="s">
        <x:v>142</x:v>
      </x:c>
      <x:c r="B92" s="22" t="s">
        <x:v>14</x:v>
      </x:c>
      <x:c r="C92" s="22" t="s">
        <x:v>143</x:v>
      </x:c>
      <x:c r="D92" s="22" t="s">
        <x:v>309</x:v>
      </x:c>
      <x:c r="E92" s="22" t="s">
        <x:v>194</x:v>
      </x:c>
      <x:c r="F92" s="22" t="s">
        <x:v>195</x:v>
      </x:c>
      <x:c r="G92" s="22" t="s">
        <x:v>199</x:v>
      </x:c>
      <x:c r="H92" s="22">
        <x:v>13</x:v>
      </x:c>
      <x:c r="I92" s="22">
        <x:v>2</x:v>
      </x:c>
      <x:c r="J92" s="22">
        <x:v>8</x:v>
      </x:c>
      <x:c r="K92" s="23">
        <x:v>107448977</x:v>
      </x:c>
      <x:c r="L92" s="23">
        <x:v>107448977</x:v>
      </x:c>
      <x:c r="M92" s="23">
        <x:f>K92-L92</x:f>
      </x:c>
      <x:c r="N92" s="22" t="s">
        <x:v>196</x:v>
      </x:c>
      <x:c r="O92" s="24">
        <x:f>IFERROR(INDEX('تطبیق کل'!$J:$J,MATCH(A92&amp;"",'تطبیق کل'!$A:$A,0))&amp;"","")</x:f>
      </x:c>
      <x:c r="P92" s="24">
        <x:f>IF(O92="","",O92&amp;B92)</x:f>
      </x:c>
      <x:c r="Q92" s="24">
        <x:f>IF(P92="","",IFERROR(INDEX('درخت جدید'!$C:$C,MATCH(P92&amp;"",'درخت جدید'!$B:$B,0)),"— در درخت نیست؛ با نام قدیم ساخته می‌شود —"))</x:f>
      </x:c>
      <x:c r="R92" s="25"/>
      <x:c r="S92" s="26">
        <x:f>P92</x:f>
      </x:c>
      <x:c r="T92" s="22">
        <x:f>IF(S92="","",IFERROR(INDEX('درخت جدید'!$C:$C,MATCH(S92&amp;"",'درخت جدید'!$B:$B,0)),"(ساخته می‌شود) "&amp;V92))</x:f>
      </x:c>
      <x:c r="U92" s="22">
        <x:f>IF(S92="",IF(N92="بله","الزامی — تکمیل نشده",""),IF(AND(O92&lt;&gt;"",LEFT(S92&amp;"",4)&lt;&gt;O92),"زیر کل دیگری است — کل یا معین را اصلاح کنید",IF(AND(S92=P92,FALSE,W92=""),"تداخل: کد "&amp;S92&amp;" در برگهٔ درخت جدید با نام «"&amp;T92&amp;"» از قبل تعریف شده",IF(COUNTIFS('درخت جدید'!$B:$B,S92&amp;"",'درخت جدید'!$A:$A,"معین")=0,IF(V92="","کد در درخت نیست — نام برای تعریف را بنویسید","OK"),"OK"))))</x:f>
      </x:c>
      <x:c r="V92" s="27">
        <x:f>IF(S92="","",IF(COUNTIFS('درخت جدید'!$B:$B,S92&amp;"",'درخت جدید'!$A:$A,"معین")=0,D92,""))</x:f>
      </x:c>
      <x:c r="W92" s="27"/>
      <x:c r="X92" s="38">
        <x:v>7</x:v>
      </x:c>
    </x:row>
    <x:row r="93" spans="1:24">
      <x:c r="A93" s="21" t="s">
        <x:v>142</x:v>
      </x:c>
      <x:c r="B93" s="22" t="s">
        <x:v>18</x:v>
      </x:c>
      <x:c r="C93" s="22" t="s">
        <x:v>143</x:v>
      </x:c>
      <x:c r="D93" s="22" t="s">
        <x:v>310</x:v>
      </x:c>
      <x:c r="E93" s="22" t="s">
        <x:v>194</x:v>
      </x:c>
      <x:c r="F93" s="22" t="s">
        <x:v>195</x:v>
      </x:c>
      <x:c r="G93" s="22" t="s">
        <x:v>199</x:v>
      </x:c>
      <x:c r="H93" s="22">
        <x:v>4</x:v>
      </x:c>
      <x:c r="I93" s="22">
        <x:v>1</x:v>
      </x:c>
      <x:c r="J93" s="22">
        <x:v>13</x:v>
      </x:c>
      <x:c r="K93" s="23">
        <x:v>6518626</x:v>
      </x:c>
      <x:c r="L93" s="23">
        <x:v>6861319</x:v>
      </x:c>
      <x:c r="M93" s="23">
        <x:f>K93-L93</x:f>
      </x:c>
      <x:c r="N93" s="22" t="s">
        <x:v>196</x:v>
      </x:c>
      <x:c r="O93" s="24">
        <x:f>IFERROR(INDEX('تطبیق کل'!$J:$J,MATCH(A93&amp;"",'تطبیق کل'!$A:$A,0))&amp;"","")</x:f>
      </x:c>
      <x:c r="P93" s="24">
        <x:f>IF(O93="","",O93&amp;B93)</x:f>
      </x:c>
      <x:c r="Q93" s="24">
        <x:f>IF(P93="","",IFERROR(INDEX('درخت جدید'!$C:$C,MATCH(P93&amp;"",'درخت جدید'!$B:$B,0)),"— در درخت نیست؛ با نام قدیم ساخته می‌شود —"))</x:f>
      </x:c>
      <x:c r="R93" s="25"/>
      <x:c r="S93" s="26">
        <x:f>P93</x:f>
      </x:c>
      <x:c r="T93" s="22">
        <x:f>IF(S93="","",IFERROR(INDEX('درخت جدید'!$C:$C,MATCH(S93&amp;"",'درخت جدید'!$B:$B,0)),"(ساخته می‌شود) "&amp;V93))</x:f>
      </x:c>
      <x:c r="U93" s="22">
        <x:f>IF(S93="",IF(N93="بله","الزامی — تکمیل نشده",""),IF(AND(O93&lt;&gt;"",LEFT(S93&amp;"",4)&lt;&gt;O93),"زیر کل دیگری است — کل یا معین را اصلاح کنید",IF(AND(S93=P93,FALSE,W93=""),"تداخل: کد "&amp;S93&amp;" در برگهٔ درخت جدید با نام «"&amp;T93&amp;"» از قبل تعریف شده",IF(COUNTIFS('درخت جدید'!$B:$B,S93&amp;"",'درخت جدید'!$A:$A,"معین")=0,IF(V93="","کد در درخت نیست — نام برای تعریف را بنویسید","OK"),"OK"))))</x:f>
      </x:c>
      <x:c r="V93" s="27">
        <x:f>IF(S93="","",IF(COUNTIFS('درخت جدید'!$B:$B,S93&amp;"",'درخت جدید'!$A:$A,"معین")=0,D93,""))</x:f>
      </x:c>
      <x:c r="W93" s="27"/>
      <x:c r="X93" s="38">
        <x:v>1</x:v>
      </x:c>
    </x:row>
    <x:row r="94" spans="1:24">
      <x:c r="A94" s="21" t="s">
        <x:v>142</x:v>
      </x:c>
      <x:c r="B94" s="22" t="s">
        <x:v>21</x:v>
      </x:c>
      <x:c r="C94" s="22" t="s">
        <x:v>143</x:v>
      </x:c>
      <x:c r="D94" s="22" t="s">
        <x:v>311</x:v>
      </x:c>
      <x:c r="E94" s="22" t="s">
        <x:v>194</x:v>
      </x:c>
      <x:c r="F94" s="22" t="s">
        <x:v>195</x:v>
      </x:c>
      <x:c r="G94" s="22" t="s">
        <x:v>199</x:v>
      </x:c>
      <x:c r="H94" s="22">
        <x:v>6</x:v>
      </x:c>
      <x:c r="I94" s="22">
        <x:v>4</x:v>
      </x:c>
      <x:c r="J94" s="22">
        <x:v>20</x:v>
      </x:c>
      <x:c r="K94" s="23">
        <x:v>3134912562</x:v>
      </x:c>
      <x:c r="L94" s="23">
        <x:v>3956743062</x:v>
      </x:c>
      <x:c r="M94" s="23">
        <x:f>K94-L94</x:f>
      </x:c>
      <x:c r="N94" s="22" t="s">
        <x:v>196</x:v>
      </x:c>
      <x:c r="O94" s="24">
        <x:f>IFERROR(INDEX('تطبیق کل'!$J:$J,MATCH(A94&amp;"",'تطبیق کل'!$A:$A,0))&amp;"","")</x:f>
      </x:c>
      <x:c r="P94" s="24">
        <x:f>IF(O94="","",O94&amp;B94)</x:f>
      </x:c>
      <x:c r="Q94" s="24">
        <x:f>IF(P94="","",IFERROR(INDEX('درخت جدید'!$C:$C,MATCH(P94&amp;"",'درخت جدید'!$B:$B,0)),"— در درخت نیست؛ با نام قدیم ساخته می‌شود —"))</x:f>
      </x:c>
      <x:c r="R94" s="25"/>
      <x:c r="S94" s="26">
        <x:f>P94</x:f>
      </x:c>
      <x:c r="T94" s="22">
        <x:f>IF(S94="","",IFERROR(INDEX('درخت جدید'!$C:$C,MATCH(S94&amp;"",'درخت جدید'!$B:$B,0)),"(ساخته می‌شود) "&amp;V94))</x:f>
      </x:c>
      <x:c r="U94" s="22">
        <x:f>IF(S94="",IF(N94="بله","الزامی — تکمیل نشده",""),IF(AND(O94&lt;&gt;"",LEFT(S94&amp;"",4)&lt;&gt;O94),"زیر کل دیگری است — کل یا معین را اصلاح کنید",IF(AND(S94=P94,FALSE,W94=""),"تداخل: کد "&amp;S94&amp;" در برگهٔ درخت جدید با نام «"&amp;T94&amp;"» از قبل تعریف شده",IF(COUNTIFS('درخت جدید'!$B:$B,S94&amp;"",'درخت جدید'!$A:$A,"معین")=0,IF(V94="","کد در درخت نیست — نام برای تعریف را بنویسید","OK"),"OK"))))</x:f>
      </x:c>
      <x:c r="V94" s="27">
        <x:f>IF(S94="","",IF(COUNTIFS('درخت جدید'!$B:$B,S94&amp;"",'درخت جدید'!$A:$A,"معین")=0,D94,""))</x:f>
      </x:c>
      <x:c r="W94" s="27"/>
      <x:c r="X94" s="38"/>
    </x:row>
    <x:row r="95" spans="1:24">
      <x:c r="A95" s="21" t="s">
        <x:v>142</x:v>
      </x:c>
      <x:c r="B95" s="22" t="s">
        <x:v>24</x:v>
      </x:c>
      <x:c r="C95" s="22" t="s">
        <x:v>143</x:v>
      </x:c>
      <x:c r="D95" s="22" t="s">
        <x:v>312</x:v>
      </x:c>
      <x:c r="E95" s="22" t="s">
        <x:v>194</x:v>
      </x:c>
      <x:c r="F95" s="22" t="s">
        <x:v>195</x:v>
      </x:c>
      <x:c r="G95" s="22" t="s">
        <x:v>199</x:v>
      </x:c>
      <x:c r="H95" s="22">
        <x:v>5</x:v>
      </x:c>
      <x:c r="I95" s="22">
        <x:v>1</x:v>
      </x:c>
      <x:c r="J95" s="22">
        <x:v>7</x:v>
      </x:c>
      <x:c r="K95" s="23">
        <x:v>31683776</x:v>
      </x:c>
      <x:c r="L95" s="23">
        <x:v>31683776</x:v>
      </x:c>
      <x:c r="M95" s="23">
        <x:f>K95-L95</x:f>
      </x:c>
      <x:c r="N95" s="22" t="s">
        <x:v>196</x:v>
      </x:c>
      <x:c r="O95" s="24">
        <x:f>IFERROR(INDEX('تطبیق کل'!$J:$J,MATCH(A95&amp;"",'تطبیق کل'!$A:$A,0))&amp;"","")</x:f>
      </x:c>
      <x:c r="P95" s="24">
        <x:f>IF(O95="","",O95&amp;B95)</x:f>
      </x:c>
      <x:c r="Q95" s="24">
        <x:f>IF(P95="","",IFERROR(INDEX('درخت جدید'!$C:$C,MATCH(P95&amp;"",'درخت جدید'!$B:$B,0)),"— در درخت نیست؛ با نام قدیم ساخته می‌شود —"))</x:f>
      </x:c>
      <x:c r="R95" s="25"/>
      <x:c r="S95" s="26">
        <x:f>P95</x:f>
      </x:c>
      <x:c r="T95" s="22">
        <x:f>IF(S95="","",IFERROR(INDEX('درخت جدید'!$C:$C,MATCH(S95&amp;"",'درخت جدید'!$B:$B,0)),"(ساخته می‌شود) "&amp;V95))</x:f>
      </x:c>
      <x:c r="U95" s="22">
        <x:f>IF(S95="",IF(N95="بله","الزامی — تکمیل نشده",""),IF(AND(O95&lt;&gt;"",LEFT(S95&amp;"",4)&lt;&gt;O95),"زیر کل دیگری است — کل یا معین را اصلاح کنید",IF(AND(S95=P95,FALSE,W95=""),"تداخل: کد "&amp;S95&amp;" در برگهٔ درخت جدید با نام «"&amp;T95&amp;"» از قبل تعریف شده",IF(COUNTIFS('درخت جدید'!$B:$B,S95&amp;"",'درخت جدید'!$A:$A,"معین")=0,IF(V95="","کد در درخت نیست — نام برای تعریف را بنویسید","OK"),"OK"))))</x:f>
      </x:c>
      <x:c r="V95" s="27">
        <x:f>IF(S95="","",IF(COUNTIFS('درخت جدید'!$B:$B,S95&amp;"",'درخت جدید'!$A:$A,"معین")=0,D95,""))</x:f>
      </x:c>
      <x:c r="W95" s="27"/>
      <x:c r="X95" s="38">
        <x:v>13</x:v>
      </x:c>
    </x:row>
    <x:row r="96" spans="1:24">
      <x:c r="A96" s="21" t="s">
        <x:v>142</x:v>
      </x:c>
      <x:c r="B96" s="22" t="s">
        <x:v>27</x:v>
      </x:c>
      <x:c r="C96" s="22" t="s">
        <x:v>143</x:v>
      </x:c>
      <x:c r="D96" s="22" t="s">
        <x:v>313</x:v>
      </x:c>
      <x:c r="E96" s="22" t="s">
        <x:v>194</x:v>
      </x:c>
      <x:c r="F96" s="22" t="s">
        <x:v>195</x:v>
      </x:c>
      <x:c r="G96" s="22" t="s">
        <x:v>199</x:v>
      </x:c>
      <x:c r="H96" s="22">
        <x:v>2</x:v>
      </x:c>
      <x:c r="I96" s="22">
        <x:v>1</x:v>
      </x:c>
      <x:c r="J96" s="22">
        <x:v>13</x:v>
      </x:c>
      <x:c r="K96" s="23">
        <x:v>346901945</x:v>
      </x:c>
      <x:c r="L96" s="23">
        <x:v>433004145</x:v>
      </x:c>
      <x:c r="M96" s="23">
        <x:f>K96-L96</x:f>
      </x:c>
      <x:c r="N96" s="22" t="s">
        <x:v>196</x:v>
      </x:c>
      <x:c r="O96" s="24">
        <x:f>IFERROR(INDEX('تطبیق کل'!$J:$J,MATCH(A96&amp;"",'تطبیق کل'!$A:$A,0))&amp;"","")</x:f>
      </x:c>
      <x:c r="P96" s="24">
        <x:f>IF(O96="","",O96&amp;B96)</x:f>
      </x:c>
      <x:c r="Q96" s="24">
        <x:f>IF(P96="","",IFERROR(INDEX('درخت جدید'!$C:$C,MATCH(P96&amp;"",'درخت جدید'!$B:$B,0)),"— در درخت نیست؛ با نام قدیم ساخته می‌شود —"))</x:f>
      </x:c>
      <x:c r="R96" s="25"/>
      <x:c r="S96" s="26">
        <x:f>P96</x:f>
      </x:c>
      <x:c r="T96" s="22">
        <x:f>IF(S96="","",IFERROR(INDEX('درخت جدید'!$C:$C,MATCH(S96&amp;"",'درخت جدید'!$B:$B,0)),"(ساخته می‌شود) "&amp;V96))</x:f>
      </x:c>
      <x:c r="U96" s="22">
        <x:f>IF(S96="",IF(N96="بله","الزامی — تکمیل نشده",""),IF(AND(O96&lt;&gt;"",LEFT(S96&amp;"",4)&lt;&gt;O96),"زیر کل دیگری است — کل یا معین را اصلاح کنید",IF(AND(S96=P96,FALSE,W96=""),"تداخل: کد "&amp;S96&amp;" در برگهٔ درخت جدید با نام «"&amp;T96&amp;"» از قبل تعریف شده",IF(COUNTIFS('درخت جدید'!$B:$B,S96&amp;"",'درخت جدید'!$A:$A,"معین")=0,IF(V96="","کد در درخت نیست — نام برای تعریف را بنویسید","OK"),"OK"))))</x:f>
      </x:c>
      <x:c r="V96" s="27">
        <x:f>IF(S96="","",IF(COUNTIFS('درخت جدید'!$B:$B,S96&amp;"",'درخت جدید'!$A:$A,"معین")=0,D96,""))</x:f>
      </x:c>
      <x:c r="W96" s="27"/>
      <x:c r="X96" s="38">
        <x:v>35</x:v>
      </x:c>
    </x:row>
    <x:row r="97" spans="1:24">
      <x:c r="A97" s="21" t="s">
        <x:v>142</x:v>
      </x:c>
      <x:c r="B97" s="22" t="s">
        <x:v>245</x:v>
      </x:c>
      <x:c r="C97" s="22" t="s">
        <x:v>143</x:v>
      </x:c>
      <x:c r="D97" s="22" t="s">
        <x:v>314</x:v>
      </x:c>
      <x:c r="E97" s="22" t="s">
        <x:v>194</x:v>
      </x:c>
      <x:c r="F97" s="22" t="s">
        <x:v>195</x:v>
      </x:c>
      <x:c r="G97" s="22" t="s">
        <x:v>199</x:v>
      </x:c>
      <x:c r="H97" s="22">
        <x:v>2</x:v>
      </x:c>
      <x:c r="I97" s="22">
        <x:v>1</x:v>
      </x:c>
      <x:c r="J97" s="22">
        <x:v>9</x:v>
      </x:c>
      <x:c r="K97" s="23">
        <x:v>974733769</x:v>
      </x:c>
      <x:c r="L97" s="23">
        <x:v>1541779345</x:v>
      </x:c>
      <x:c r="M97" s="23">
        <x:f>K97-L97</x:f>
      </x:c>
      <x:c r="N97" s="22" t="s">
        <x:v>196</x:v>
      </x:c>
      <x:c r="O97" s="24">
        <x:f>IFERROR(INDEX('تطبیق کل'!$J:$J,MATCH(A97&amp;"",'تطبیق کل'!$A:$A,0))&amp;"","")</x:f>
      </x:c>
      <x:c r="P97" s="24">
        <x:f>IF(O97="","",O97&amp;B97)</x:f>
      </x:c>
      <x:c r="Q97" s="24">
        <x:f>IF(P97="","",IFERROR(INDEX('درخت جدید'!$C:$C,MATCH(P97&amp;"",'درخت جدید'!$B:$B,0)),"— در درخت نیست؛ با نام قدیم ساخته می‌شود —"))</x:f>
      </x:c>
      <x:c r="R97" s="25"/>
      <x:c r="S97" s="26">
        <x:f>P97</x:f>
      </x:c>
      <x:c r="T97" s="22">
        <x:f>IF(S97="","",IFERROR(INDEX('درخت جدید'!$C:$C,MATCH(S97&amp;"",'درخت جدید'!$B:$B,0)),"(ساخته می‌شود) "&amp;V97))</x:f>
      </x:c>
      <x:c r="U97" s="22">
        <x:f>IF(S97="",IF(N97="بله","الزامی — تکمیل نشده",""),IF(AND(O97&lt;&gt;"",LEFT(S97&amp;"",4)&lt;&gt;O97),"زیر کل دیگری است — کل یا معین را اصلاح کنید",IF(AND(S97=P97,FALSE,W97=""),"تداخل: کد "&amp;S97&amp;" در برگهٔ درخت جدید با نام «"&amp;T97&amp;"» از قبل تعریف شده",IF(COUNTIFS('درخت جدید'!$B:$B,S97&amp;"",'درخت جدید'!$A:$A,"معین")=0,IF(V97="","کد در درخت نیست — نام برای تعریف را بنویسید","OK"),"OK"))))</x:f>
      </x:c>
      <x:c r="V97" s="27">
        <x:f>IF(S97="","",IF(COUNTIFS('درخت جدید'!$B:$B,S97&amp;"",'درخت جدید'!$A:$A,"معین")=0,D97,""))</x:f>
      </x:c>
      <x:c r="W97" s="27"/>
      <x:c r="X97" s="38">
        <x:v>14</x:v>
      </x:c>
    </x:row>
    <x:row r="98" spans="1:24">
      <x:c r="A98" s="21" t="s">
        <x:v>142</x:v>
      </x:c>
      <x:c r="B98" s="22" t="s">
        <x:v>315</x:v>
      </x:c>
      <x:c r="C98" s="22" t="s">
        <x:v>143</x:v>
      </x:c>
      <x:c r="D98" s="22" t="s">
        <x:v>316</x:v>
      </x:c>
      <x:c r="E98" s="22" t="s">
        <x:v>194</x:v>
      </x:c>
      <x:c r="F98" s="22" t="s">
        <x:v>195</x:v>
      </x:c>
      <x:c r="G98" s="22" t="s">
        <x:v>199</x:v>
      </x:c>
      <x:c r="H98" s="22">
        <x:v>3</x:v>
      </x:c>
      <x:c r="I98" s="22">
        <x:v>2</x:v>
      </x:c>
      <x:c r="J98" s="22">
        <x:v>14</x:v>
      </x:c>
      <x:c r="K98" s="23">
        <x:v>17508000</x:v>
      </x:c>
      <x:c r="L98" s="23">
        <x:v>17508000</x:v>
      </x:c>
      <x:c r="M98" s="23">
        <x:f>K98-L98</x:f>
      </x:c>
      <x:c r="N98" s="22" t="s">
        <x:v>196</x:v>
      </x:c>
      <x:c r="O98" s="24">
        <x:f>IFERROR(INDEX('تطبیق کل'!$J:$J,MATCH(A98&amp;"",'تطبیق کل'!$A:$A,0))&amp;"","")</x:f>
      </x:c>
      <x:c r="P98" s="24">
        <x:f>IF(O98="","",O98&amp;B98)</x:f>
      </x:c>
      <x:c r="Q98" s="24">
        <x:f>IF(P98="","",IFERROR(INDEX('درخت جدید'!$C:$C,MATCH(P98&amp;"",'درخت جدید'!$B:$B,0)),"— در درخت نیست؛ با نام قدیم ساخته می‌شود —"))</x:f>
      </x:c>
      <x:c r="R98" s="25"/>
      <x:c r="S98" s="26">
        <x:f>P98</x:f>
      </x:c>
      <x:c r="T98" s="22">
        <x:f>IF(S98="","",IFERROR(INDEX('درخت جدید'!$C:$C,MATCH(S98&amp;"",'درخت جدید'!$B:$B,0)),"(ساخته می‌شود) "&amp;V98))</x:f>
      </x:c>
      <x:c r="U98" s="22">
        <x:f>IF(S98="",IF(N98="بله","الزامی — تکمیل نشده",""),IF(AND(O98&lt;&gt;"",LEFT(S98&amp;"",4)&lt;&gt;O98),"زیر کل دیگری است — کل یا معین را اصلاح کنید",IF(AND(S98=P98,FALSE,W98=""),"تداخل: کد "&amp;S98&amp;" در برگهٔ درخت جدید با نام «"&amp;T98&amp;"» از قبل تعریف شده",IF(COUNTIFS('درخت جدید'!$B:$B,S98&amp;"",'درخت جدید'!$A:$A,"معین")=0,IF(V98="","کد در درخت نیست — نام برای تعریف را بنویسید","OK"),"OK"))))</x:f>
      </x:c>
      <x:c r="V98" s="27">
        <x:f>IF(S98="","",IF(COUNTIFS('درخت جدید'!$B:$B,S98&amp;"",'درخت جدید'!$A:$A,"معین")=0,D98,""))</x:f>
      </x:c>
      <x:c r="W98" s="27"/>
      <x:c r="X98" s="38">
        <x:v>20</x:v>
      </x:c>
    </x:row>
    <x:row r="99" spans="1:24">
      <x:c r="A99" s="21" t="s">
        <x:v>142</x:v>
      </x:c>
      <x:c r="B99" s="22" t="s">
        <x:v>247</x:v>
      </x:c>
      <x:c r="C99" s="22" t="s">
        <x:v>143</x:v>
      </x:c>
      <x:c r="D99" s="22" t="s">
        <x:v>317</x:v>
      </x:c>
      <x:c r="E99" s="22" t="s">
        <x:v>194</x:v>
      </x:c>
      <x:c r="F99" s="22" t="s">
        <x:v>195</x:v>
      </x:c>
      <x:c r="G99" s="22" t="s">
        <x:v>199</x:v>
      </x:c>
      <x:c r="H99" s="22">
        <x:v>3</x:v>
      </x:c>
      <x:c r="I99" s="22">
        <x:v>2</x:v>
      </x:c>
      <x:c r="J99" s="22">
        <x:v>7</x:v>
      </x:c>
      <x:c r="K99" s="23">
        <x:v>473779482</x:v>
      </x:c>
      <x:c r="L99" s="23">
        <x:v>473779482</x:v>
      </x:c>
      <x:c r="M99" s="23">
        <x:f>K99-L99</x:f>
      </x:c>
      <x:c r="N99" s="22" t="s">
        <x:v>196</x:v>
      </x:c>
      <x:c r="O99" s="24">
        <x:f>IFERROR(INDEX('تطبیق کل'!$J:$J,MATCH(A99&amp;"",'تطبیق کل'!$A:$A,0))&amp;"","")</x:f>
      </x:c>
      <x:c r="P99" s="24">
        <x:f>IF(O99="","",O99&amp;B99)</x:f>
      </x:c>
      <x:c r="Q99" s="24">
        <x:f>IF(P99="","",IFERROR(INDEX('درخت جدید'!$C:$C,MATCH(P99&amp;"",'درخت جدید'!$B:$B,0)),"— در درخت نیست؛ با نام قدیم ساخته می‌شود —"))</x:f>
      </x:c>
      <x:c r="R99" s="25"/>
      <x:c r="S99" s="26">
        <x:f>P99</x:f>
      </x:c>
      <x:c r="T99" s="22">
        <x:f>IF(S99="","",IFERROR(INDEX('درخت جدید'!$C:$C,MATCH(S99&amp;"",'درخت جدید'!$B:$B,0)),"(ساخته می‌شود) "&amp;V99))</x:f>
      </x:c>
      <x:c r="U99" s="22">
        <x:f>IF(S99="",IF(N99="بله","الزامی — تکمیل نشده",""),IF(AND(O99&lt;&gt;"",LEFT(S99&amp;"",4)&lt;&gt;O99),"زیر کل دیگری است — کل یا معین را اصلاح کنید",IF(AND(S99=P99,FALSE,W99=""),"تداخل: کد "&amp;S99&amp;" در برگهٔ درخت جدید با نام «"&amp;T99&amp;"» از قبل تعریف شده",IF(COUNTIFS('درخت جدید'!$B:$B,S99&amp;"",'درخت جدید'!$A:$A,"معین")=0,IF(V99="","کد در درخت نیست — نام برای تعریف را بنویسید","OK"),"OK"))))</x:f>
      </x:c>
      <x:c r="V99" s="27">
        <x:f>IF(S99="","",IF(COUNTIFS('درخت جدید'!$B:$B,S99&amp;"",'درخت جدید'!$A:$A,"معین")=0,D99,""))</x:f>
      </x:c>
      <x:c r="W99" s="27"/>
      <x:c r="X99" s="38"/>
    </x:row>
    <x:row r="100" spans="1:24">
      <x:c r="A100" s="21" t="s">
        <x:v>142</x:v>
      </x:c>
      <x:c r="B100" s="22" t="s">
        <x:v>34</x:v>
      </x:c>
      <x:c r="C100" s="22" t="s">
        <x:v>143</x:v>
      </x:c>
      <x:c r="D100" s="22" t="s">
        <x:v>318</x:v>
      </x:c>
      <x:c r="E100" s="22" t="s">
        <x:v>194</x:v>
      </x:c>
      <x:c r="F100" s="22" t="s">
        <x:v>195</x:v>
      </x:c>
      <x:c r="G100" s="22" t="s">
        <x:v>199</x:v>
      </x:c>
      <x:c r="H100" s="22">
        <x:v>15</x:v>
      </x:c>
      <x:c r="I100" s="22">
        <x:v>1</x:v>
      </x:c>
      <x:c r="J100" s="22">
        <x:v>127</x:v>
      </x:c>
      <x:c r="K100" s="23">
        <x:v>1395344795</x:v>
      </x:c>
      <x:c r="L100" s="23">
        <x:v>1749559935</x:v>
      </x:c>
      <x:c r="M100" s="23">
        <x:f>K100-L100</x:f>
      </x:c>
      <x:c r="N100" s="22" t="s">
        <x:v>196</x:v>
      </x:c>
      <x:c r="O100" s="24">
        <x:f>IFERROR(INDEX('تطبیق کل'!$J:$J,MATCH(A100&amp;"",'تطبیق کل'!$A:$A,0))&amp;"","")</x:f>
      </x:c>
      <x:c r="P100" s="24">
        <x:f>IF(O100="","",O100&amp;B100)</x:f>
      </x:c>
      <x:c r="Q100" s="24">
        <x:f>IF(P100="","",IFERROR(INDEX('درخت جدید'!$C:$C,MATCH(P100&amp;"",'درخت جدید'!$B:$B,0)),"— در درخت نیست؛ با نام قدیم ساخته می‌شود —"))</x:f>
      </x:c>
      <x:c r="R100" s="25"/>
      <x:c r="S100" s="26">
        <x:f>P100</x:f>
      </x:c>
      <x:c r="T100" s="22">
        <x:f>IF(S100="","",IFERROR(INDEX('درخت جدید'!$C:$C,MATCH(S100&amp;"",'درخت جدید'!$B:$B,0)),"(ساخته می‌شود) "&amp;V100))</x:f>
      </x:c>
      <x:c r="U100" s="22">
        <x:f>IF(S100="",IF(N100="بله","الزامی — تکمیل نشده",""),IF(AND(O100&lt;&gt;"",LEFT(S100&amp;"",4)&lt;&gt;O100),"زیر کل دیگری است — کل یا معین را اصلاح کنید",IF(AND(S100=P100,FALSE,W100=""),"تداخل: کد "&amp;S100&amp;" در برگهٔ درخت جدید با نام «"&amp;T100&amp;"» از قبل تعریف شده",IF(COUNTIFS('درخت جدید'!$B:$B,S100&amp;"",'درخت جدید'!$A:$A,"معین")=0,IF(V100="","کد در درخت نیست — نام برای تعریف را بنویسید","OK"),"OK"))))</x:f>
      </x:c>
      <x:c r="V100" s="27">
        <x:f>IF(S100="","",IF(COUNTIFS('درخت جدید'!$B:$B,S100&amp;"",'درخت جدید'!$A:$A,"معین")=0,D100,""))</x:f>
      </x:c>
      <x:c r="W100" s="27"/>
      <x:c r="X100" s="38"/>
    </x:row>
    <x:row r="101" spans="1:24">
      <x:c r="A101" s="21" t="s">
        <x:v>142</x:v>
      </x:c>
      <x:c r="B101" s="22" t="s">
        <x:v>41</x:v>
      </x:c>
      <x:c r="C101" s="22" t="s">
        <x:v>143</x:v>
      </x:c>
      <x:c r="D101" s="22" t="s">
        <x:v>319</x:v>
      </x:c>
      <x:c r="E101" s="22" t="s">
        <x:v>194</x:v>
      </x:c>
      <x:c r="F101" s="22" t="s">
        <x:v>195</x:v>
      </x:c>
      <x:c r="G101" s="22" t="s">
        <x:v>195</x:v>
      </x:c>
      <x:c r="H101" s="22">
        <x:v>3</x:v>
      </x:c>
      <x:c r="I101" s="22">
        <x:v>1</x:v>
      </x:c>
      <x:c r="J101" s="22">
        <x:v>2</x:v>
      </x:c>
      <x:c r="K101" s="23">
        <x:v>10300500</x:v>
      </x:c>
      <x:c r="L101" s="23">
        <x:v>10300500</x:v>
      </x:c>
      <x:c r="M101" s="23">
        <x:f>K101-L101</x:f>
      </x:c>
      <x:c r="N101" s="22" t="s">
        <x:v>196</x:v>
      </x:c>
      <x:c r="O101" s="24">
        <x:f>IFERROR(INDEX('تطبیق کل'!$J:$J,MATCH(A101&amp;"",'تطبیق کل'!$A:$A,0))&amp;"","")</x:f>
      </x:c>
      <x:c r="P101" s="24">
        <x:f>IF(O101="","",O101&amp;B101)</x:f>
      </x:c>
      <x:c r="Q101" s="24">
        <x:f>IF(P101="","",IFERROR(INDEX('درخت جدید'!$C:$C,MATCH(P101&amp;"",'درخت جدید'!$B:$B,0)),"— در درخت نیست؛ با نام قدیم ساخته می‌شود —"))</x:f>
      </x:c>
      <x:c r="R101" s="25"/>
      <x:c r="S101" s="26">
        <x:f>P101</x:f>
      </x:c>
      <x:c r="T101" s="22">
        <x:f>IF(S101="","",IFERROR(INDEX('درخت جدید'!$C:$C,MATCH(S101&amp;"",'درخت جدید'!$B:$B,0)),"(ساخته می‌شود) "&amp;V101))</x:f>
      </x:c>
      <x:c r="U101" s="22">
        <x:f>IF(S101="",IF(N101="بله","الزامی — تکمیل نشده",""),IF(AND(O101&lt;&gt;"",LEFT(S101&amp;"",4)&lt;&gt;O101),"زیر کل دیگری است — کل یا معین را اصلاح کنید",IF(AND(S101=P101,FALSE,W101=""),"تداخل: کد "&amp;S101&amp;" در برگهٔ درخت جدید با نام «"&amp;T101&amp;"» از قبل تعریف شده",IF(COUNTIFS('درخت جدید'!$B:$B,S101&amp;"",'درخت جدید'!$A:$A,"معین")=0,IF(V101="","کد در درخت نیست — نام برای تعریف را بنویسید","OK"),"OK"))))</x:f>
      </x:c>
      <x:c r="V101" s="27">
        <x:f>IF(S101="","",IF(COUNTIFS('درخت جدید'!$B:$B,S101&amp;"",'درخت جدید'!$A:$A,"معین")=0,D101,""))</x:f>
      </x:c>
      <x:c r="W101" s="27"/>
      <x:c r="X101" s="38"/>
    </x:row>
    <x:row r="102" spans="1:24">
      <x:c r="A102" s="21" t="s">
        <x:v>142</x:v>
      </x:c>
      <x:c r="B102" s="22" t="s">
        <x:v>262</x:v>
      </x:c>
      <x:c r="C102" s="22" t="s">
        <x:v>143</x:v>
      </x:c>
      <x:c r="D102" s="22" t="s">
        <x:v>320</x:v>
      </x:c>
      <x:c r="E102" s="22" t="s">
        <x:v>194</x:v>
      </x:c>
      <x:c r="F102" s="22" t="s">
        <x:v>195</x:v>
      </x:c>
      <x:c r="G102" s="22" t="s">
        <x:v>199</x:v>
      </x:c>
      <x:c r="H102" s="22">
        <x:v>3</x:v>
      </x:c>
      <x:c r="I102" s="22">
        <x:v>1</x:v>
      </x:c>
      <x:c r="J102" s="22">
        <x:v>2</x:v>
      </x:c>
      <x:c r="K102" s="23">
        <x:v>37800000</x:v>
      </x:c>
      <x:c r="L102" s="23">
        <x:v>37800000</x:v>
      </x:c>
      <x:c r="M102" s="23">
        <x:f>K102-L102</x:f>
      </x:c>
      <x:c r="N102" s="22" t="s">
        <x:v>196</x:v>
      </x:c>
      <x:c r="O102" s="24">
        <x:f>IFERROR(INDEX('تطبیق کل'!$J:$J,MATCH(A102&amp;"",'تطبیق کل'!$A:$A,0))&amp;"","")</x:f>
      </x:c>
      <x:c r="P102" s="24">
        <x:f>IF(O102="","",O102&amp;B102)</x:f>
      </x:c>
      <x:c r="Q102" s="24">
        <x:f>IF(P102="","",IFERROR(INDEX('درخت جدید'!$C:$C,MATCH(P102&amp;"",'درخت جدید'!$B:$B,0)),"— در درخت نیست؛ با نام قدیم ساخته می‌شود —"))</x:f>
      </x:c>
      <x:c r="R102" s="25"/>
      <x:c r="S102" s="26">
        <x:f>P102</x:f>
      </x:c>
      <x:c r="T102" s="22">
        <x:f>IF(S102="","",IFERROR(INDEX('درخت جدید'!$C:$C,MATCH(S102&amp;"",'درخت جدید'!$B:$B,0)),"(ساخته می‌شود) "&amp;V102))</x:f>
      </x:c>
      <x:c r="U102" s="22">
        <x:f>IF(S102="",IF(N102="بله","الزامی — تکمیل نشده",""),IF(AND(O102&lt;&gt;"",LEFT(S102&amp;"",4)&lt;&gt;O102),"زیر کل دیگری است — کل یا معین را اصلاح کنید",IF(AND(S102=P102,FALSE,W102=""),"تداخل: کد "&amp;S102&amp;" در برگهٔ درخت جدید با نام «"&amp;T102&amp;"» از قبل تعریف شده",IF(COUNTIFS('درخت جدید'!$B:$B,S102&amp;"",'درخت جدید'!$A:$A,"معین")=0,IF(V102="","کد در درخت نیست — نام برای تعریف را بنویسید","OK"),"OK"))))</x:f>
      </x:c>
      <x:c r="V102" s="27">
        <x:f>IF(S102="","",IF(COUNTIFS('درخت جدید'!$B:$B,S102&amp;"",'درخت جدید'!$A:$A,"معین")=0,D102,""))</x:f>
      </x:c>
      <x:c r="W102" s="27"/>
      <x:c r="X102" s="38"/>
    </x:row>
    <x:row r="103" spans="1:24">
      <x:c r="A103" s="21" t="s">
        <x:v>142</x:v>
      </x:c>
      <x:c r="B103" s="22" t="s">
        <x:v>321</x:v>
      </x:c>
      <x:c r="C103" s="22" t="s">
        <x:v>143</x:v>
      </x:c>
      <x:c r="D103" s="22" t="s">
        <x:v>322</x:v>
      </x:c>
      <x:c r="E103" s="22" t="s">
        <x:v>194</x:v>
      </x:c>
      <x:c r="F103" s="22" t="s">
        <x:v>195</x:v>
      </x:c>
      <x:c r="G103" s="22" t="s">
        <x:v>199</x:v>
      </x:c>
      <x:c r="H103" s="22">
        <x:v>8</x:v>
      </x:c>
      <x:c r="I103" s="22">
        <x:v>3</x:v>
      </x:c>
      <x:c r="J103" s="22">
        <x:v>26</x:v>
      </x:c>
      <x:c r="K103" s="23">
        <x:v>70636080</x:v>
      </x:c>
      <x:c r="L103" s="23">
        <x:v>75285480</x:v>
      </x:c>
      <x:c r="M103" s="23">
        <x:f>K103-L103</x:f>
      </x:c>
      <x:c r="N103" s="22" t="s">
        <x:v>196</x:v>
      </x:c>
      <x:c r="O103" s="24">
        <x:f>IFERROR(INDEX('تطبیق کل'!$J:$J,MATCH(A103&amp;"",'تطبیق کل'!$A:$A,0))&amp;"","")</x:f>
      </x:c>
      <x:c r="P103" s="24">
        <x:f>IF(O103="","",O103&amp;B103)</x:f>
      </x:c>
      <x:c r="Q103" s="24">
        <x:f>IF(P103="","",IFERROR(INDEX('درخت جدید'!$C:$C,MATCH(P103&amp;"",'درخت جدید'!$B:$B,0)),"— در درخت نیست؛ با نام قدیم ساخته می‌شود —"))</x:f>
      </x:c>
      <x:c r="R103" s="25"/>
      <x:c r="S103" s="26">
        <x:f>P103</x:f>
      </x:c>
      <x:c r="T103" s="22">
        <x:f>IF(S103="","",IFERROR(INDEX('درخت جدید'!$C:$C,MATCH(S103&amp;"",'درخت جدید'!$B:$B,0)),"(ساخته می‌شود) "&amp;V103))</x:f>
      </x:c>
      <x:c r="U103" s="22">
        <x:f>IF(S103="",IF(N103="بله","الزامی — تکمیل نشده",""),IF(AND(O103&lt;&gt;"",LEFT(S103&amp;"",4)&lt;&gt;O103),"زیر کل دیگری است — کل یا معین را اصلاح کنید",IF(AND(S103=P103,FALSE,W103=""),"تداخل: کد "&amp;S103&amp;" در برگهٔ درخت جدید با نام «"&amp;T103&amp;"» از قبل تعریف شده",IF(COUNTIFS('درخت جدید'!$B:$B,S103&amp;"",'درخت جدید'!$A:$A,"معین")=0,IF(V103="","کد در درخت نیست — نام برای تعریف را بنویسید","OK"),"OK"))))</x:f>
      </x:c>
      <x:c r="V103" s="27">
        <x:f>IF(S103="","",IF(COUNTIFS('درخت جدید'!$B:$B,S103&amp;"",'درخت جدید'!$A:$A,"معین")=0,D103,""))</x:f>
      </x:c>
      <x:c r="W103" s="27"/>
      <x:c r="X103" s="38"/>
    </x:row>
    <x:row r="104" spans="1:24">
      <x:c r="A104" s="21" t="s">
        <x:v>142</x:v>
      </x:c>
      <x:c r="B104" s="22" t="s">
        <x:v>323</x:v>
      </x:c>
      <x:c r="C104" s="22" t="s">
        <x:v>143</x:v>
      </x:c>
      <x:c r="D104" s="22" t="s">
        <x:v>324</x:v>
      </x:c>
      <x:c r="E104" s="22" t="s">
        <x:v>194</x:v>
      </x:c>
      <x:c r="F104" s="22" t="s">
        <x:v>195</x:v>
      </x:c>
      <x:c r="G104" s="22" t="s">
        <x:v>199</x:v>
      </x:c>
      <x:c r="H104" s="22">
        <x:v>1</x:v>
      </x:c>
      <x:c r="I104" s="22">
        <x:v>1</x:v>
      </x:c>
      <x:c r="J104" s="22">
        <x:v>17</x:v>
      </x:c>
      <x:c r="K104" s="23">
        <x:v>50603562</x:v>
      </x:c>
      <x:c r="L104" s="23">
        <x:v>50603562</x:v>
      </x:c>
      <x:c r="M104" s="23">
        <x:f>K104-L104</x:f>
      </x:c>
      <x:c r="N104" s="22" t="s">
        <x:v>196</x:v>
      </x:c>
      <x:c r="O104" s="24">
        <x:f>IFERROR(INDEX('تطبیق کل'!$J:$J,MATCH(A104&amp;"",'تطبیق کل'!$A:$A,0))&amp;"","")</x:f>
      </x:c>
      <x:c r="P104" s="24">
        <x:f>IF(O104="","",O104&amp;B104)</x:f>
      </x:c>
      <x:c r="Q104" s="24">
        <x:f>IF(P104="","",IFERROR(INDEX('درخت جدید'!$C:$C,MATCH(P104&amp;"",'درخت جدید'!$B:$B,0)),"— در درخت نیست؛ با نام قدیم ساخته می‌شود —"))</x:f>
      </x:c>
      <x:c r="R104" s="25"/>
      <x:c r="S104" s="26">
        <x:f>P104</x:f>
      </x:c>
      <x:c r="T104" s="22">
        <x:f>IF(S104="","",IFERROR(INDEX('درخت جدید'!$C:$C,MATCH(S104&amp;"",'درخت جدید'!$B:$B,0)),"(ساخته می‌شود) "&amp;V104))</x:f>
      </x:c>
      <x:c r="U104" s="22">
        <x:f>IF(S104="",IF(N104="بله","الزامی — تکمیل نشده",""),IF(AND(O104&lt;&gt;"",LEFT(S104&amp;"",4)&lt;&gt;O104),"زیر کل دیگری است — کل یا معین را اصلاح کنید",IF(AND(S104=P104,FALSE,W104=""),"تداخل: کد "&amp;S104&amp;" در برگهٔ درخت جدید با نام «"&amp;T104&amp;"» از قبل تعریف شده",IF(COUNTIFS('درخت جدید'!$B:$B,S104&amp;"",'درخت جدید'!$A:$A,"معین")=0,IF(V104="","کد در درخت نیست — نام برای تعریف را بنویسید","OK"),"OK"))))</x:f>
      </x:c>
      <x:c r="V104" s="27">
        <x:f>IF(S104="","",IF(COUNTIFS('درخت جدید'!$B:$B,S104&amp;"",'درخت جدید'!$A:$A,"معین")=0,D104,""))</x:f>
      </x:c>
      <x:c r="W104" s="27"/>
      <x:c r="X104" s="38"/>
    </x:row>
    <x:row r="105" spans="1:24">
      <x:c r="A105" s="21" t="s">
        <x:v>142</x:v>
      </x:c>
      <x:c r="B105" s="22" t="s">
        <x:v>292</x:v>
      </x:c>
      <x:c r="C105" s="22" t="s">
        <x:v>143</x:v>
      </x:c>
      <x:c r="D105" s="22" t="s">
        <x:v>325</x:v>
      </x:c>
      <x:c r="E105" s="22" t="s">
        <x:v>194</x:v>
      </x:c>
      <x:c r="F105" s="22" t="s">
        <x:v>195</x:v>
      </x:c>
      <x:c r="G105" s="22" t="s">
        <x:v>199</x:v>
      </x:c>
      <x:c r="H105" s="22">
        <x:v>1</x:v>
      </x:c>
      <x:c r="I105" s="22">
        <x:v>1</x:v>
      </x:c>
      <x:c r="J105" s="22">
        <x:v>2</x:v>
      </x:c>
      <x:c r="K105" s="23">
        <x:v>100500</x:v>
      </x:c>
      <x:c r="L105" s="23">
        <x:v>0</x:v>
      </x:c>
      <x:c r="M105" s="23">
        <x:f>K105-L105</x:f>
      </x:c>
      <x:c r="N105" s="22" t="s">
        <x:v>196</x:v>
      </x:c>
      <x:c r="O105" s="24">
        <x:f>IFERROR(INDEX('تطبیق کل'!$J:$J,MATCH(A105&amp;"",'تطبیق کل'!$A:$A,0))&amp;"","")</x:f>
      </x:c>
      <x:c r="P105" s="24">
        <x:f>IF(O105="","",O105&amp;B105)</x:f>
      </x:c>
      <x:c r="Q105" s="24">
        <x:f>IF(P105="","",IFERROR(INDEX('درخت جدید'!$C:$C,MATCH(P105&amp;"",'درخت جدید'!$B:$B,0)),"— در درخت نیست؛ با نام قدیم ساخته می‌شود —"))</x:f>
      </x:c>
      <x:c r="R105" s="25"/>
      <x:c r="S105" s="26">
        <x:f>P105</x:f>
      </x:c>
      <x:c r="T105" s="22">
        <x:f>IF(S105="","",IFERROR(INDEX('درخت جدید'!$C:$C,MATCH(S105&amp;"",'درخت جدید'!$B:$B,0)),"(ساخته می‌شود) "&amp;V105))</x:f>
      </x:c>
      <x:c r="U105" s="22">
        <x:f>IF(S105="",IF(N105="بله","الزامی — تکمیل نشده",""),IF(AND(O105&lt;&gt;"",LEFT(S105&amp;"",4)&lt;&gt;O105),"زیر کل دیگری است — کل یا معین را اصلاح کنید",IF(AND(S105=P105,FALSE,W105=""),"تداخل: کد "&amp;S105&amp;" در برگهٔ درخت جدید با نام «"&amp;T105&amp;"» از قبل تعریف شده",IF(COUNTIFS('درخت جدید'!$B:$B,S105&amp;"",'درخت جدید'!$A:$A,"معین")=0,IF(V105="","کد در درخت نیست — نام برای تعریف را بنویسید","OK"),"OK"))))</x:f>
      </x:c>
      <x:c r="V105" s="27">
        <x:f>IF(S105="","",IF(COUNTIFS('درخت جدید'!$B:$B,S105&amp;"",'درخت جدید'!$A:$A,"معین")=0,D105,""))</x:f>
      </x:c>
      <x:c r="W105" s="27"/>
      <x:c r="X105" s="38"/>
    </x:row>
    <x:row r="106" spans="1:24">
      <x:c r="A106" s="21" t="s">
        <x:v>142</x:v>
      </x:c>
      <x:c r="B106" s="22" t="s">
        <x:v>205</x:v>
      </x:c>
      <x:c r="C106" s="22" t="s">
        <x:v>143</x:v>
      </x:c>
      <x:c r="D106" s="22" t="s">
        <x:v>326</x:v>
      </x:c>
      <x:c r="E106" s="22" t="s">
        <x:v>194</x:v>
      </x:c>
      <x:c r="F106" s="22" t="s">
        <x:v>195</x:v>
      </x:c>
      <x:c r="G106" s="22" t="s">
        <x:v>199</x:v>
      </x:c>
      <x:c r="H106" s="22">
        <x:v>3</x:v>
      </x:c>
      <x:c r="I106" s="22">
        <x:v>1</x:v>
      </x:c>
      <x:c r="J106" s="22">
        <x:v>14</x:v>
      </x:c>
      <x:c r="K106" s="23">
        <x:v>154727898</x:v>
      </x:c>
      <x:c r="L106" s="23">
        <x:v>183754893</x:v>
      </x:c>
      <x:c r="M106" s="23">
        <x:f>K106-L106</x:f>
      </x:c>
      <x:c r="N106" s="22" t="s">
        <x:v>196</x:v>
      </x:c>
      <x:c r="O106" s="24">
        <x:f>IFERROR(INDEX('تطبیق کل'!$J:$J,MATCH(A106&amp;"",'تطبیق کل'!$A:$A,0))&amp;"","")</x:f>
      </x:c>
      <x:c r="P106" s="24">
        <x:f>IF(O106="","",O106&amp;B106)</x:f>
      </x:c>
      <x:c r="Q106" s="24">
        <x:f>IF(P106="","",IFERROR(INDEX('درخت جدید'!$C:$C,MATCH(P106&amp;"",'درخت جدید'!$B:$B,0)),"— در درخت نیست؛ با نام قدیم ساخته می‌شود —"))</x:f>
      </x:c>
      <x:c r="R106" s="25"/>
      <x:c r="S106" s="26">
        <x:f>P106</x:f>
      </x:c>
      <x:c r="T106" s="22">
        <x:f>IF(S106="","",IFERROR(INDEX('درخت جدید'!$C:$C,MATCH(S106&amp;"",'درخت جدید'!$B:$B,0)),"(ساخته می‌شود) "&amp;V106))</x:f>
      </x:c>
      <x:c r="U106" s="22">
        <x:f>IF(S106="",IF(N106="بله","الزامی — تکمیل نشده",""),IF(AND(O106&lt;&gt;"",LEFT(S106&amp;"",4)&lt;&gt;O106),"زیر کل دیگری است — کل یا معین را اصلاح کنید",IF(AND(S106=P106,FALSE,W106=""),"تداخل: کد "&amp;S106&amp;" در برگهٔ درخت جدید با نام «"&amp;T106&amp;"» از قبل تعریف شده",IF(COUNTIFS('درخت جدید'!$B:$B,S106&amp;"",'درخت جدید'!$A:$A,"معین")=0,IF(V106="","کد در درخت نیست — نام برای تعریف را بنویسید","OK"),"OK"))))</x:f>
      </x:c>
      <x:c r="V106" s="27">
        <x:f>IF(S106="","",IF(COUNTIFS('درخت جدید'!$B:$B,S106&amp;"",'درخت جدید'!$A:$A,"معین")=0,D106,""))</x:f>
      </x:c>
      <x:c r="W106" s="27"/>
      <x:c r="X106" s="38"/>
    </x:row>
    <x:row r="107" spans="1:24">
      <x:c r="A107" s="21" t="s">
        <x:v>142</x:v>
      </x:c>
      <x:c r="B107" s="22" t="s">
        <x:v>327</x:v>
      </x:c>
      <x:c r="C107" s="22" t="s">
        <x:v>143</x:v>
      </x:c>
      <x:c r="D107" s="22" t="s">
        <x:v>328</x:v>
      </x:c>
      <x:c r="E107" s="22" t="s">
        <x:v>194</x:v>
      </x:c>
      <x:c r="F107" s="22" t="s">
        <x:v>195</x:v>
      </x:c>
      <x:c r="G107" s="22" t="s">
        <x:v>199</x:v>
      </x:c>
      <x:c r="H107" s="22">
        <x:v>1</x:v>
      </x:c>
      <x:c r="I107" s="22">
        <x:v>1</x:v>
      </x:c>
      <x:c r="J107" s="22">
        <x:v>40</x:v>
      </x:c>
      <x:c r="K107" s="23">
        <x:v>1341107738</x:v>
      </x:c>
      <x:c r="L107" s="23">
        <x:v>1342307638</x:v>
      </x:c>
      <x:c r="M107" s="23">
        <x:f>K107-L107</x:f>
      </x:c>
      <x:c r="N107" s="22" t="s">
        <x:v>196</x:v>
      </x:c>
      <x:c r="O107" s="24">
        <x:f>IFERROR(INDEX('تطبیق کل'!$J:$J,MATCH(A107&amp;"",'تطبیق کل'!$A:$A,0))&amp;"","")</x:f>
      </x:c>
      <x:c r="P107" s="24">
        <x:f>IF(O107="","",O107&amp;B107)</x:f>
      </x:c>
      <x:c r="Q107" s="24">
        <x:f>IF(P107="","",IFERROR(INDEX('درخت جدید'!$C:$C,MATCH(P107&amp;"",'درخت جدید'!$B:$B,0)),"— در درخت نیست؛ با نام قدیم ساخته می‌شود —"))</x:f>
      </x:c>
      <x:c r="R107" s="25"/>
      <x:c r="S107" s="26">
        <x:f>P107</x:f>
      </x:c>
      <x:c r="T107" s="22">
        <x:f>IF(S107="","",IFERROR(INDEX('درخت جدید'!$C:$C,MATCH(S107&amp;"",'درخت جدید'!$B:$B,0)),"(ساخته می‌شود) "&amp;V107))</x:f>
      </x:c>
      <x:c r="U107" s="22">
        <x:f>IF(S107="",IF(N107="بله","الزامی — تکمیل نشده",""),IF(AND(O107&lt;&gt;"",LEFT(S107&amp;"",4)&lt;&gt;O107),"زیر کل دیگری است — کل یا معین را اصلاح کنید",IF(AND(S107=P107,FALSE,W107=""),"تداخل: کد "&amp;S107&amp;" در برگهٔ درخت جدید با نام «"&amp;T107&amp;"» از قبل تعریف شده",IF(COUNTIFS('درخت جدید'!$B:$B,S107&amp;"",'درخت جدید'!$A:$A,"معین")=0,IF(V107="","کد در درخت نیست — نام برای تعریف را بنویسید","OK"),"OK"))))</x:f>
      </x:c>
      <x:c r="V107" s="27">
        <x:f>IF(S107="","",IF(COUNTIFS('درخت جدید'!$B:$B,S107&amp;"",'درخت جدید'!$A:$A,"معین")=0,D107,""))</x:f>
      </x:c>
      <x:c r="W107" s="27"/>
      <x:c r="X107" s="38"/>
    </x:row>
    <x:row r="108" spans="1:24">
      <x:c r="A108" s="21" t="s">
        <x:v>142</x:v>
      </x:c>
      <x:c r="B108" s="22" t="s">
        <x:v>70</x:v>
      </x:c>
      <x:c r="C108" s="22" t="s">
        <x:v>143</x:v>
      </x:c>
      <x:c r="D108" s="22" t="s">
        <x:v>329</x:v>
      </x:c>
      <x:c r="E108" s="22" t="s">
        <x:v>194</x:v>
      </x:c>
      <x:c r="F108" s="22" t="s">
        <x:v>195</x:v>
      </x:c>
      <x:c r="G108" s="22" t="s">
        <x:v>199</x:v>
      </x:c>
      <x:c r="H108" s="22">
        <x:v>19</x:v>
      </x:c>
      <x:c r="I108" s="22">
        <x:v>2</x:v>
      </x:c>
      <x:c r="J108" s="22">
        <x:v>60</x:v>
      </x:c>
      <x:c r="K108" s="23">
        <x:v>1018490617</x:v>
      </x:c>
      <x:c r="L108" s="23">
        <x:v>1380055672</x:v>
      </x:c>
      <x:c r="M108" s="23">
        <x:f>K108-L108</x:f>
      </x:c>
      <x:c r="N108" s="22" t="s">
        <x:v>196</x:v>
      </x:c>
      <x:c r="O108" s="24">
        <x:f>IFERROR(INDEX('تطبیق کل'!$J:$J,MATCH(A108&amp;"",'تطبیق کل'!$A:$A,0))&amp;"","")</x:f>
      </x:c>
      <x:c r="P108" s="24">
        <x:f>IF(O108="","",O108&amp;B108)</x:f>
      </x:c>
      <x:c r="Q108" s="24">
        <x:f>IF(P108="","",IFERROR(INDEX('درخت جدید'!$C:$C,MATCH(P108&amp;"",'درخت جدید'!$B:$B,0)),"— در درخت نیست؛ با نام قدیم ساخته می‌شود —"))</x:f>
      </x:c>
      <x:c r="R108" s="25"/>
      <x:c r="S108" s="26">
        <x:f>P108</x:f>
      </x:c>
      <x:c r="T108" s="22">
        <x:f>IF(S108="","",IFERROR(INDEX('درخت جدید'!$C:$C,MATCH(S108&amp;"",'درخت جدید'!$B:$B,0)),"(ساخته می‌شود) "&amp;V108))</x:f>
      </x:c>
      <x:c r="U108" s="22">
        <x:f>IF(S108="",IF(N108="بله","الزامی — تکمیل نشده",""),IF(AND(O108&lt;&gt;"",LEFT(S108&amp;"",4)&lt;&gt;O108),"زیر کل دیگری است — کل یا معین را اصلاح کنید",IF(AND(S108=P108,FALSE,W108=""),"تداخل: کد "&amp;S108&amp;" در برگهٔ درخت جدید با نام «"&amp;T108&amp;"» از قبل تعریف شده",IF(COUNTIFS('درخت جدید'!$B:$B,S108&amp;"",'درخت جدید'!$A:$A,"معین")=0,IF(V108="","کد در درخت نیست — نام برای تعریف را بنویسید","OK"),"OK"))))</x:f>
      </x:c>
      <x:c r="V108" s="27">
        <x:f>IF(S108="","",IF(COUNTIFS('درخت جدید'!$B:$B,S108&amp;"",'درخت جدید'!$A:$A,"معین")=0,D108,""))</x:f>
      </x:c>
      <x:c r="W108" s="27"/>
      <x:c r="X108" s="38"/>
    </x:row>
    <x:row r="109" spans="1:24">
      <x:c r="A109" s="21" t="s">
        <x:v>142</x:v>
      </x:c>
      <x:c r="B109" s="22" t="s">
        <x:v>330</x:v>
      </x:c>
      <x:c r="C109" s="22" t="s">
        <x:v>143</x:v>
      </x:c>
      <x:c r="D109" s="22" t="s">
        <x:v>260</x:v>
      </x:c>
      <x:c r="E109" s="22" t="s">
        <x:v>194</x:v>
      </x:c>
      <x:c r="F109" s="22" t="s">
        <x:v>195</x:v>
      </x:c>
      <x:c r="G109" s="22" t="s">
        <x:v>195</x:v>
      </x:c>
      <x:c r="H109" s="22">
        <x:v>3</x:v>
      </x:c>
      <x:c r="I109" s="22">
        <x:v>1</x:v>
      </x:c>
      <x:c r="J109" s="22">
        <x:v>4</x:v>
      </x:c>
      <x:c r="K109" s="23">
        <x:v>2000010</x:v>
      </x:c>
      <x:c r="L109" s="23">
        <x:v>1000</x:v>
      </x:c>
      <x:c r="M109" s="23">
        <x:f>K109-L109</x:f>
      </x:c>
      <x:c r="N109" s="22" t="s">
        <x:v>196</x:v>
      </x:c>
      <x:c r="O109" s="24">
        <x:f>IFERROR(INDEX('تطبیق کل'!$J:$J,MATCH(A109&amp;"",'تطبیق کل'!$A:$A,0))&amp;"","")</x:f>
      </x:c>
      <x:c r="P109" s="24">
        <x:f>IF(O109="","",O109&amp;B109)</x:f>
      </x:c>
      <x:c r="Q109" s="24">
        <x:f>IF(P109="","",IFERROR(INDEX('درخت جدید'!$C:$C,MATCH(P109&amp;"",'درخت جدید'!$B:$B,0)),"— در درخت نیست؛ با نام قدیم ساخته می‌شود —"))</x:f>
      </x:c>
      <x:c r="R109" s="25"/>
      <x:c r="S109" s="26">
        <x:f>P109</x:f>
      </x:c>
      <x:c r="T109" s="22">
        <x:f>IF(S109="","",IFERROR(INDEX('درخت جدید'!$C:$C,MATCH(S109&amp;"",'درخت جدید'!$B:$B,0)),"(ساخته می‌شود) "&amp;V109))</x:f>
      </x:c>
      <x:c r="U109" s="22">
        <x:f>IF(S109="",IF(N109="بله","الزامی — تکمیل نشده",""),IF(AND(O109&lt;&gt;"",LEFT(S109&amp;"",4)&lt;&gt;O109),"زیر کل دیگری است — کل یا معین را اصلاح کنید",IF(AND(S109=P109,FALSE,W109=""),"تداخل: کد "&amp;S109&amp;" در برگهٔ درخت جدید با نام «"&amp;T109&amp;"» از قبل تعریف شده",IF(COUNTIFS('درخت جدید'!$B:$B,S109&amp;"",'درخت جدید'!$A:$A,"معین")=0,IF(V109="","کد در درخت نیست — نام برای تعریف را بنویسید","OK"),"OK"))))</x:f>
      </x:c>
      <x:c r="V109" s="27">
        <x:f>IF(S109="","",IF(COUNTIFS('درخت جدید'!$B:$B,S109&amp;"",'درخت جدید'!$A:$A,"معین")=0,D109,""))</x:f>
      </x:c>
      <x:c r="W109" s="27"/>
      <x:c r="X109" s="38"/>
    </x:row>
    <x:row r="110" spans="1:24">
      <x:c r="A110" s="21" t="s">
        <x:v>142</x:v>
      </x:c>
      <x:c r="B110" s="22" t="s">
        <x:v>331</x:v>
      </x:c>
      <x:c r="C110" s="22" t="s">
        <x:v>143</x:v>
      </x:c>
      <x:c r="D110" s="22" t="s">
        <x:v>332</x:v>
      </x:c>
      <x:c r="E110" s="22" t="s">
        <x:v>194</x:v>
      </x:c>
      <x:c r="F110" s="22" t="s">
        <x:v>195</x:v>
      </x:c>
      <x:c r="G110" s="22" t="s">
        <x:v>195</x:v>
      </x:c>
      <x:c r="H110" s="22">
        <x:v>3</x:v>
      </x:c>
      <x:c r="I110" s="22">
        <x:v>2</x:v>
      </x:c>
      <x:c r="J110" s="22">
        <x:v>4</x:v>
      </x:c>
      <x:c r="K110" s="23">
        <x:v>78408387</x:v>
      </x:c>
      <x:c r="L110" s="23">
        <x:v>78408387</x:v>
      </x:c>
      <x:c r="M110" s="23">
        <x:f>K110-L110</x:f>
      </x:c>
      <x:c r="N110" s="22" t="s">
        <x:v>196</x:v>
      </x:c>
      <x:c r="O110" s="24">
        <x:f>IFERROR(INDEX('تطبیق کل'!$J:$J,MATCH(A110&amp;"",'تطبیق کل'!$A:$A,0))&amp;"","")</x:f>
      </x:c>
      <x:c r="P110" s="24">
        <x:f>IF(O110="","",O110&amp;B110)</x:f>
      </x:c>
      <x:c r="Q110" s="24">
        <x:f>IF(P110="","",IFERROR(INDEX('درخت جدید'!$C:$C,MATCH(P110&amp;"",'درخت جدید'!$B:$B,0)),"— در درخت نیست؛ با نام قدیم ساخته می‌شود —"))</x:f>
      </x:c>
      <x:c r="R110" s="25"/>
      <x:c r="S110" s="26">
        <x:f>P110</x:f>
      </x:c>
      <x:c r="T110" s="22">
        <x:f>IF(S110="","",IFERROR(INDEX('درخت جدید'!$C:$C,MATCH(S110&amp;"",'درخت جدید'!$B:$B,0)),"(ساخته می‌شود) "&amp;V110))</x:f>
      </x:c>
      <x:c r="U110" s="22">
        <x:f>IF(S110="",IF(N110="بله","الزامی — تکمیل نشده",""),IF(AND(O110&lt;&gt;"",LEFT(S110&amp;"",4)&lt;&gt;O110),"زیر کل دیگری است — کل یا معین را اصلاح کنید",IF(AND(S110=P110,FALSE,W110=""),"تداخل: کد "&amp;S110&amp;" در برگهٔ درخت جدید با نام «"&amp;T110&amp;"» از قبل تعریف شده",IF(COUNTIFS('درخت جدید'!$B:$B,S110&amp;"",'درخت جدید'!$A:$A,"معین")=0,IF(V110="","کد در درخت نیست — نام برای تعریف را بنویسید","OK"),"OK"))))</x:f>
      </x:c>
      <x:c r="V110" s="27">
        <x:f>IF(S110="","",IF(COUNTIFS('درخت جدید'!$B:$B,S110&amp;"",'درخت جدید'!$A:$A,"معین")=0,D110,""))</x:f>
      </x:c>
      <x:c r="W110" s="27"/>
      <x:c r="X110" s="38"/>
    </x:row>
    <x:row r="111" spans="1:24">
      <x:c r="A111" s="21" t="s">
        <x:v>149</x:v>
      </x:c>
      <x:c r="B111" s="22" t="s">
        <x:v>202</x:v>
      </x:c>
      <x:c r="C111" s="22" t="s">
        <x:v>150</x:v>
      </x:c>
      <x:c r="D111" s="22" t="s">
        <x:v>333</x:v>
      </x:c>
      <x:c r="E111" s="22" t="s">
        <x:v>334</x:v>
      </x:c>
      <x:c r="F111" s="22" t="s">
        <x:v>195</x:v>
      </x:c>
      <x:c r="G111" s="22" t="s">
        <x:v>199</x:v>
      </x:c>
      <x:c r="H111" s="22">
        <x:v>1</x:v>
      </x:c>
      <x:c r="I111" s="22">
        <x:v>1</x:v>
      </x:c>
      <x:c r="J111" s="22">
        <x:v>228</x:v>
      </x:c>
      <x:c r="K111" s="23">
        <x:v>204299612859</x:v>
      </x:c>
      <x:c r="L111" s="23">
        <x:v>430218235810</x:v>
      </x:c>
      <x:c r="M111" s="23">
        <x:f>K111-L111</x:f>
      </x:c>
      <x:c r="N111" s="22" t="s">
        <x:v>196</x:v>
      </x:c>
      <x:c r="O111" s="24">
        <x:f>IFERROR(INDEX('تطبیق کل'!$J:$J,MATCH(A111&amp;"",'تطبیق کل'!$A:$A,0))&amp;"","")</x:f>
      </x:c>
      <x:c r="P111" s="24">
        <x:f>IF(O111="","",O111&amp;B111)</x:f>
      </x:c>
      <x:c r="Q111" s="24">
        <x:f>IF(P111="","",IFERROR(INDEX('درخت جدید'!$C:$C,MATCH(P111&amp;"",'درخت جدید'!$B:$B,0)),"— در درخت نیست؛ با نام قدیم ساخته می‌شود —"))</x:f>
      </x:c>
      <x:c r="R111" s="25"/>
      <x:c r="S111" s="26">
        <x:f>P111</x:f>
      </x:c>
      <x:c r="T111" s="22">
        <x:f>IF(S111="","",IFERROR(INDEX('درخت جدید'!$C:$C,MATCH(S111&amp;"",'درخت جدید'!$B:$B,0)),"(ساخته می‌شود) "&amp;V111))</x:f>
      </x:c>
      <x:c r="U111" s="22">
        <x:f>IF(S111="",IF(N111="بله","الزامی — تکمیل نشده",""),IF(AND(O111&lt;&gt;"",LEFT(S111&amp;"",4)&lt;&gt;O111),"زیر کل دیگری است — کل یا معین را اصلاح کنید",IF(AND(S111=P111,FALSE,W111=""),"تداخل: کد "&amp;S111&amp;" در برگهٔ درخت جدید با نام «"&amp;T111&amp;"» از قبل تعریف شده",IF(COUNTIFS('درخت جدید'!$B:$B,S111&amp;"",'درخت جدید'!$A:$A,"معین")=0,IF(V111="","کد در درخت نیست — نام برای تعریف را بنویسید","OK"),"OK"))))</x:f>
      </x:c>
      <x:c r="V111" s="27">
        <x:f>IF(S111="","",IF(COUNTIFS('درخت جدید'!$B:$B,S111&amp;"",'درخت جدید'!$A:$A,"معین")=0,D111,""))</x:f>
      </x:c>
      <x:c r="W111" s="27"/>
      <x:c r="X111" s="38"/>
    </x:row>
    <x:row r="112" spans="1:24">
      <x:c r="A112" s="21" t="s">
        <x:v>152</x:v>
      </x:c>
      <x:c r="B112" s="22" t="s">
        <x:v>202</x:v>
      </x:c>
      <x:c r="C112" s="22" t="s">
        <x:v>153</x:v>
      </x:c>
      <x:c r="D112" s="22" t="s">
        <x:v>335</x:v>
      </x:c>
      <x:c r="E112" s="22" t="s">
        <x:v>334</x:v>
      </x:c>
      <x:c r="F112" s="22" t="s">
        <x:v>195</x:v>
      </x:c>
      <x:c r="G112" s="22" t="s">
        <x:v>199</x:v>
      </x:c>
      <x:c r="H112" s="22">
        <x:v>1</x:v>
      </x:c>
      <x:c r="I112" s="22">
        <x:v>1</x:v>
      </x:c>
      <x:c r="J112" s="22">
        <x:v>96</x:v>
      </x:c>
      <x:c r="K112" s="23">
        <x:v>3000</x:v>
      </x:c>
      <x:c r="L112" s="23">
        <x:v>34070287307</x:v>
      </x:c>
      <x:c r="M112" s="23">
        <x:f>K112-L112</x:f>
      </x:c>
      <x:c r="N112" s="22" t="s">
        <x:v>196</x:v>
      </x:c>
      <x:c r="O112" s="24">
        <x:f>IFERROR(INDEX('تطبیق کل'!$J:$J,MATCH(A112&amp;"",'تطبیق کل'!$A:$A,0))&amp;"","")</x:f>
      </x:c>
      <x:c r="P112" s="24">
        <x:f>IF(O112="","",O112&amp;B112)</x:f>
      </x:c>
      <x:c r="Q112" s="24">
        <x:f>IF(P112="","",IFERROR(INDEX('درخت جدید'!$C:$C,MATCH(P112&amp;"",'درخت جدید'!$B:$B,0)),"— در درخت نیست؛ با نام قدیم ساخته می‌شود —"))</x:f>
      </x:c>
      <x:c r="R112" s="25"/>
      <x:c r="S112" s="26">
        <x:f>P112</x:f>
      </x:c>
      <x:c r="T112" s="22">
        <x:f>IF(S112="","",IFERROR(INDEX('درخت جدید'!$C:$C,MATCH(S112&amp;"",'درخت جدید'!$B:$B,0)),"(ساخته می‌شود) "&amp;V112))</x:f>
      </x:c>
      <x:c r="U112" s="22">
        <x:f>IF(S112="",IF(N112="بله","الزامی — تکمیل نشده",""),IF(AND(O112&lt;&gt;"",LEFT(S112&amp;"",4)&lt;&gt;O112),"زیر کل دیگری است — کل یا معین را اصلاح کنید",IF(AND(S112=P112,FALSE,W112=""),"تداخل: کد "&amp;S112&amp;" در برگهٔ درخت جدید با نام «"&amp;T112&amp;"» از قبل تعریف شده",IF(COUNTIFS('درخت جدید'!$B:$B,S112&amp;"",'درخت جدید'!$A:$A,"معین")=0,IF(V112="","کد در درخت نیست — نام برای تعریف را بنویسید","OK"),"OK"))))</x:f>
      </x:c>
      <x:c r="V112" s="27">
        <x:f>IF(S112="","",IF(COUNTIFS('درخت جدید'!$B:$B,S112&amp;"",'درخت جدید'!$A:$A,"معین")=0,D112,""))</x:f>
      </x:c>
      <x:c r="W112" s="27"/>
      <x:c r="X112" s="38"/>
    </x:row>
    <x:row r="113" spans="1:24">
      <x:c r="A113" s="21" t="s">
        <x:v>152</x:v>
      </x:c>
      <x:c r="B113" s="22" t="s">
        <x:v>14</x:v>
      </x:c>
      <x:c r="C113" s="22" t="s">
        <x:v>153</x:v>
      </x:c>
      <x:c r="D113" s="22" t="s">
        <x:v>336</x:v>
      </x:c>
      <x:c r="E113" s="22" t="s">
        <x:v>194</x:v>
      </x:c>
      <x:c r="F113" s="22" t="s">
        <x:v>194</x:v>
      </x:c>
      <x:c r="G113" s="22" t="s">
        <x:v>199</x:v>
      </x:c>
      <x:c r="H113" s="22">
        <x:v>1</x:v>
      </x:c>
      <x:c r="I113" s="22">
        <x:v>1</x:v>
      </x:c>
      <x:c r="J113" s="22">
        <x:v>6</x:v>
      </x:c>
      <x:c r="K113" s="23">
        <x:v>67630000</x:v>
      </x:c>
      <x:c r="L113" s="23">
        <x:v>0</x:v>
      </x:c>
      <x:c r="M113" s="23">
        <x:f>K113-L113</x:f>
      </x:c>
      <x:c r="N113" s="22" t="s">
        <x:v>196</x:v>
      </x:c>
      <x:c r="O113" s="24">
        <x:f>IFERROR(INDEX('تطبیق کل'!$J:$J,MATCH(A113&amp;"",'تطبیق کل'!$A:$A,0))&amp;"","")</x:f>
      </x:c>
      <x:c r="P113" s="24">
        <x:f>IF(O113="","",O113&amp;B113)</x:f>
      </x:c>
      <x:c r="Q113" s="24">
        <x:f>IF(P113="","",IFERROR(INDEX('درخت جدید'!$C:$C,MATCH(P113&amp;"",'درخت جدید'!$B:$B,0)),"— در درخت نیست؛ با نام قدیم ساخته می‌شود —"))</x:f>
      </x:c>
      <x:c r="R113" s="25"/>
      <x:c r="S113" s="26">
        <x:f>P113</x:f>
      </x:c>
      <x:c r="T113" s="22">
        <x:f>IF(S113="","",IFERROR(INDEX('درخت جدید'!$C:$C,MATCH(S113&amp;"",'درخت جدید'!$B:$B,0)),"(ساخته می‌شود) "&amp;V113))</x:f>
      </x:c>
      <x:c r="U113" s="22">
        <x:f>IF(S113="",IF(N113="بله","الزامی — تکمیل نشده",""),IF(AND(O113&lt;&gt;"",LEFT(S113&amp;"",4)&lt;&gt;O113),"زیر کل دیگری است — کل یا معین را اصلاح کنید",IF(AND(S113=P113,FALSE,W113=""),"تداخل: کد "&amp;S113&amp;" در برگهٔ درخت جدید با نام «"&amp;T113&amp;"» از قبل تعریف شده",IF(COUNTIFS('درخت جدید'!$B:$B,S113&amp;"",'درخت جدید'!$A:$A,"معین")=0,IF(V113="","کد در درخت نیست — نام برای تعریف را بنویسید","OK"),"OK"))))</x:f>
      </x:c>
      <x:c r="V113" s="27">
        <x:f>IF(S113="","",IF(COUNTIFS('درخت جدید'!$B:$B,S113&amp;"",'درخت جدید'!$A:$A,"معین")=0,D113,""))</x:f>
      </x:c>
      <x:c r="W113" s="27"/>
      <x:c r="X113" s="38"/>
    </x:row>
    <x:row r="114" spans="1:24">
      <x:c r="A114" s="21" t="s">
        <x:v>152</x:v>
      </x:c>
      <x:c r="B114" s="22" t="s">
        <x:v>205</x:v>
      </x:c>
      <x:c r="C114" s="22" t="s">
        <x:v>153</x:v>
      </x:c>
      <x:c r="D114" s="22" t="s">
        <x:v>337</x:v>
      </x:c>
      <x:c r="E114" s="22" t="s">
        <x:v>334</x:v>
      </x:c>
      <x:c r="F114" s="22" t="s">
        <x:v>195</x:v>
      </x:c>
      <x:c r="G114" s="22" t="s">
        <x:v>199</x:v>
      </x:c>
      <x:c r="H114" s="22">
        <x:v>1</x:v>
      </x:c>
      <x:c r="I114" s="22">
        <x:v>1</x:v>
      </x:c>
      <x:c r="J114" s="22">
        <x:v>179</x:v>
      </x:c>
      <x:c r="K114" s="23">
        <x:v>2174409068</x:v>
      </x:c>
      <x:c r="L114" s="23">
        <x:v>27495362256</x:v>
      </x:c>
      <x:c r="M114" s="23">
        <x:f>K114-L114</x:f>
      </x:c>
      <x:c r="N114" s="22" t="s">
        <x:v>196</x:v>
      </x:c>
      <x:c r="O114" s="24">
        <x:f>IFERROR(INDEX('تطبیق کل'!$J:$J,MATCH(A114&amp;"",'تطبیق کل'!$A:$A,0))&amp;"","")</x:f>
      </x:c>
      <x:c r="P114" s="24">
        <x:f>IF(O114="","",O114&amp;B114)</x:f>
      </x:c>
      <x:c r="Q114" s="24">
        <x:f>IF(P114="","",IFERROR(INDEX('درخت جدید'!$C:$C,MATCH(P114&amp;"",'درخت جدید'!$B:$B,0)),"— در درخت نیست؛ با نام قدیم ساخته می‌شود —"))</x:f>
      </x:c>
      <x:c r="R114" s="25"/>
      <x:c r="S114" s="26">
        <x:f>P114</x:f>
      </x:c>
      <x:c r="T114" s="22">
        <x:f>IF(S114="","",IFERROR(INDEX('درخت جدید'!$C:$C,MATCH(S114&amp;"",'درخت جدید'!$B:$B,0)),"(ساخته می‌شود) "&amp;V114))</x:f>
      </x:c>
      <x:c r="U114" s="22">
        <x:f>IF(S114="",IF(N114="بله","الزامی — تکمیل نشده",""),IF(AND(O114&lt;&gt;"",LEFT(S114&amp;"",4)&lt;&gt;O114),"زیر کل دیگری است — کل یا معین را اصلاح کنید",IF(AND(S114=P114,FALSE,W114=""),"تداخل: کد "&amp;S114&amp;" در برگهٔ درخت جدید با نام «"&amp;T114&amp;"» از قبل تعریف شده",IF(COUNTIFS('درخت جدید'!$B:$B,S114&amp;"",'درخت جدید'!$A:$A,"معین")=0,IF(V114="","کد در درخت نیست — نام برای تعریف را بنویسید","OK"),"OK"))))</x:f>
      </x:c>
      <x:c r="V114" s="27">
        <x:f>IF(S114="","",IF(COUNTIFS('درخت جدید'!$B:$B,S114&amp;"",'درخت جدید'!$A:$A,"معین")=0,D114,""))</x:f>
      </x:c>
      <x:c r="W114" s="27"/>
      <x:c r="X114" s="38"/>
    </x:row>
    <x:row r="115" spans="1:24">
      <x:c r="A115" s="21" t="s">
        <x:v>152</x:v>
      </x:c>
      <x:c r="B115" s="22" t="s">
        <x:v>200</x:v>
      </x:c>
      <x:c r="C115" s="22" t="s">
        <x:v>153</x:v>
      </x:c>
      <x:c r="D115" s="22" t="s">
        <x:v>338</x:v>
      </x:c>
      <x:c r="E115" s="22" t="s">
        <x:v>334</x:v>
      </x:c>
      <x:c r="F115" s="22" t="s">
        <x:v>195</x:v>
      </x:c>
      <x:c r="G115" s="22" t="s">
        <x:v>199</x:v>
      </x:c>
      <x:c r="H115" s="22">
        <x:v>1</x:v>
      </x:c>
      <x:c r="I115" s="22">
        <x:v>1</x:v>
      </x:c>
      <x:c r="J115" s="22">
        <x:v>94</x:v>
      </x:c>
      <x:c r="K115" s="23">
        <x:v>47343614809</x:v>
      </x:c>
      <x:c r="L115" s="23">
        <x:v>104780856</x:v>
      </x:c>
      <x:c r="M115" s="23">
        <x:f>K115-L115</x:f>
      </x:c>
      <x:c r="N115" s="22" t="s">
        <x:v>196</x:v>
      </x:c>
      <x:c r="O115" s="24">
        <x:f>IFERROR(INDEX('تطبیق کل'!$J:$J,MATCH(A115&amp;"",'تطبیق کل'!$A:$A,0))&amp;"","")</x:f>
      </x:c>
      <x:c r="P115" s="24">
        <x:f>IF(O115="","",O115&amp;B115)</x:f>
      </x:c>
      <x:c r="Q115" s="24">
        <x:f>IF(P115="","",IFERROR(INDEX('درخت جدید'!$C:$C,MATCH(P115&amp;"",'درخت جدید'!$B:$B,0)),"— در درخت نیست؛ با نام قدیم ساخته می‌شود —"))</x:f>
      </x:c>
      <x:c r="R115" s="25"/>
      <x:c r="S115" s="26">
        <x:f>P115</x:f>
      </x:c>
      <x:c r="T115" s="22">
        <x:f>IF(S115="","",IFERROR(INDEX('درخت جدید'!$C:$C,MATCH(S115&amp;"",'درخت جدید'!$B:$B,0)),"(ساخته می‌شود) "&amp;V115))</x:f>
      </x:c>
      <x:c r="U115" s="22">
        <x:f>IF(S115="",IF(N115="بله","الزامی — تکمیل نشده",""),IF(AND(O115&lt;&gt;"",LEFT(S115&amp;"",4)&lt;&gt;O115),"زیر کل دیگری است — کل یا معین را اصلاح کنید",IF(AND(S115=P115,FALSE,W115=""),"تداخل: کد "&amp;S115&amp;" در برگهٔ درخت جدید با نام «"&amp;T115&amp;"» از قبل تعریف شده",IF(COUNTIFS('درخت جدید'!$B:$B,S115&amp;"",'درخت جدید'!$A:$A,"معین")=0,IF(V115="","کد در درخت نیست — نام برای تعریف را بنویسید","OK"),"OK"))))</x:f>
      </x:c>
      <x:c r="V115" s="27">
        <x:f>IF(S115="","",IF(COUNTIFS('درخت جدید'!$B:$B,S115&amp;"",'درخت جدید'!$A:$A,"معین")=0,D115,""))</x:f>
      </x:c>
      <x:c r="W115" s="27"/>
      <x:c r="X115" s="38"/>
    </x:row>
    <x:row r="116" spans="1:24">
      <x:c r="A116" s="21" t="s">
        <x:v>152</x:v>
      </x:c>
      <x:c r="B116" s="22" t="s">
        <x:v>207</x:v>
      </x:c>
      <x:c r="C116" s="22" t="s">
        <x:v>153</x:v>
      </x:c>
      <x:c r="D116" s="22" t="s">
        <x:v>339</x:v>
      </x:c>
      <x:c r="E116" s="22" t="s">
        <x:v>334</x:v>
      </x:c>
      <x:c r="F116" s="22" t="s">
        <x:v>195</x:v>
      </x:c>
      <x:c r="G116" s="22" t="s">
        <x:v>199</x:v>
      </x:c>
      <x:c r="H116" s="22">
        <x:v>7</x:v>
      </x:c>
      <x:c r="I116" s="22">
        <x:v>6</x:v>
      </x:c>
      <x:c r="J116" s="22">
        <x:v>6</x:v>
      </x:c>
      <x:c r="K116" s="23">
        <x:v>744825999</x:v>
      </x:c>
      <x:c r="L116" s="23">
        <x:v>0</x:v>
      </x:c>
      <x:c r="M116" s="23">
        <x:f>K116-L116</x:f>
      </x:c>
      <x:c r="N116" s="22" t="s">
        <x:v>196</x:v>
      </x:c>
      <x:c r="O116" s="24">
        <x:f>IFERROR(INDEX('تطبیق کل'!$J:$J,MATCH(A116&amp;"",'تطبیق کل'!$A:$A,0))&amp;"","")</x:f>
      </x:c>
      <x:c r="P116" s="24">
        <x:f>IF(O116="","",O116&amp;B116)</x:f>
      </x:c>
      <x:c r="Q116" s="24">
        <x:f>IF(P116="","",IFERROR(INDEX('درخت جدید'!$C:$C,MATCH(P116&amp;"",'درخت جدید'!$B:$B,0)),"— در درخت نیست؛ با نام قدیم ساخته می‌شود —"))</x:f>
      </x:c>
      <x:c r="R116" s="25"/>
      <x:c r="S116" s="26">
        <x:f>P116</x:f>
      </x:c>
      <x:c r="T116" s="22">
        <x:f>IF(S116="","",IFERROR(INDEX('درخت جدید'!$C:$C,MATCH(S116&amp;"",'درخت جدید'!$B:$B,0)),"(ساخته می‌شود) "&amp;V116))</x:f>
      </x:c>
      <x:c r="U116" s="22">
        <x:f>IF(S116="",IF(N116="بله","الزامی — تکمیل نشده",""),IF(AND(O116&lt;&gt;"",LEFT(S116&amp;"",4)&lt;&gt;O116),"زیر کل دیگری است — کل یا معین را اصلاح کنید",IF(AND(S116=P116,FALSE,W116=""),"تداخل: کد "&amp;S116&amp;" در برگهٔ درخت جدید با نام «"&amp;T116&amp;"» از قبل تعریف شده",IF(COUNTIFS('درخت جدید'!$B:$B,S116&amp;"",'درخت جدید'!$A:$A,"معین")=0,IF(V116="","کد در درخت نیست — نام برای تعریف را بنویسید","OK"),"OK"))))</x:f>
      </x:c>
      <x:c r="V116" s="27">
        <x:f>IF(S116="","",IF(COUNTIFS('درخت جدید'!$B:$B,S116&amp;"",'درخت جدید'!$A:$A,"معین")=0,D116,""))</x:f>
      </x:c>
      <x:c r="W116" s="27"/>
      <x:c r="X116" s="38"/>
    </x:row>
    <x:row r="117" spans="1:24">
      <x:c r="A117" s="21" t="s">
        <x:v>152</x:v>
      </x:c>
      <x:c r="B117" s="22" t="s">
        <x:v>149</x:v>
      </x:c>
      <x:c r="C117" s="22" t="s">
        <x:v>153</x:v>
      </x:c>
      <x:c r="D117" s="22" t="s">
        <x:v>340</x:v>
      </x:c>
      <x:c r="E117" s="22" t="s">
        <x:v>334</x:v>
      </x:c>
      <x:c r="F117" s="22" t="s">
        <x:v>195</x:v>
      </x:c>
      <x:c r="G117" s="22" t="s">
        <x:v>195</x:v>
      </x:c>
      <x:c r="H117" s="22">
        <x:v>3</x:v>
      </x:c>
      <x:c r="I117" s="22">
        <x:v>1</x:v>
      </x:c>
      <x:c r="J117" s="22">
        <x:v>4</x:v>
      </x:c>
      <x:c r="K117" s="23">
        <x:v>2864044</x:v>
      </x:c>
      <x:c r="L117" s="23">
        <x:v>6861000000</x:v>
      </x:c>
      <x:c r="M117" s="23">
        <x:f>K117-L117</x:f>
      </x:c>
      <x:c r="N117" s="22" t="s">
        <x:v>196</x:v>
      </x:c>
      <x:c r="O117" s="24">
        <x:f>IFERROR(INDEX('تطبیق کل'!$J:$J,MATCH(A117&amp;"",'تطبیق کل'!$A:$A,0))&amp;"","")</x:f>
      </x:c>
      <x:c r="P117" s="24">
        <x:f>IF(O117="","",O117&amp;B117)</x:f>
      </x:c>
      <x:c r="Q117" s="24">
        <x:f>IF(P117="","",IFERROR(INDEX('درخت جدید'!$C:$C,MATCH(P117&amp;"",'درخت جدید'!$B:$B,0)),"— در درخت نیست؛ با نام قدیم ساخته می‌شود —"))</x:f>
      </x:c>
      <x:c r="R117" s="25"/>
      <x:c r="S117" s="26">
        <x:f>P117</x:f>
      </x:c>
      <x:c r="T117" s="22">
        <x:f>IF(S117="","",IFERROR(INDEX('درخت جدید'!$C:$C,MATCH(S117&amp;"",'درخت جدید'!$B:$B,0)),"(ساخته می‌شود) "&amp;V117))</x:f>
      </x:c>
      <x:c r="U117" s="22">
        <x:f>IF(S117="",IF(N117="بله","الزامی — تکمیل نشده",""),IF(AND(O117&lt;&gt;"",LEFT(S117&amp;"",4)&lt;&gt;O117),"زیر کل دیگری است — کل یا معین را اصلاح کنید",IF(AND(S117=P117,FALSE,W117=""),"تداخل: کد "&amp;S117&amp;" در برگهٔ درخت جدید با نام «"&amp;T117&amp;"» از قبل تعریف شده",IF(COUNTIFS('درخت جدید'!$B:$B,S117&amp;"",'درخت جدید'!$A:$A,"معین")=0,IF(V117="","کد در درخت نیست — نام برای تعریف را بنویسید","OK"),"OK"))))</x:f>
      </x:c>
      <x:c r="V117" s="27">
        <x:f>IF(S117="","",IF(COUNTIFS('درخت جدید'!$B:$B,S117&amp;"",'درخت جدید'!$A:$A,"معین")=0,D117,""))</x:f>
      </x:c>
      <x:c r="W117" s="27"/>
      <x:c r="X117" s="38"/>
    </x:row>
    <x:row r="118" spans="1:24">
      <x:c r="A118" s="21" t="s">
        <x:v>155</x:v>
      </x:c>
      <x:c r="B118" s="22" t="s">
        <x:v>197</x:v>
      </x:c>
      <x:c r="C118" s="22" t="s">
        <x:v>156</x:v>
      </x:c>
      <x:c r="D118" s="22" t="s">
        <x:v>341</x:v>
      </x:c>
      <x:c r="E118" s="22" t="s">
        <x:v>334</x:v>
      </x:c>
      <x:c r="F118" s="22" t="s">
        <x:v>195</x:v>
      </x:c>
      <x:c r="G118" s="22" t="s">
        <x:v>195</x:v>
      </x:c>
      <x:c r="H118" s="22">
        <x:v>2</x:v>
      </x:c>
      <x:c r="I118" s="22">
        <x:v>1</x:v>
      </x:c>
      <x:c r="J118" s="22">
        <x:v>1</x:v>
      </x:c>
      <x:c r="K118" s="23">
        <x:v>178102618188</x:v>
      </x:c>
      <x:c r="L118" s="23">
        <x:v>0</x:v>
      </x:c>
      <x:c r="M118" s="23">
        <x:f>K118-L118</x:f>
      </x:c>
      <x:c r="N118" s="22" t="s">
        <x:v>196</x:v>
      </x:c>
      <x:c r="O118" s="24">
        <x:f>IFERROR(INDEX('تطبیق کل'!$J:$J,MATCH(A118&amp;"",'تطبیق کل'!$A:$A,0))&amp;"","")</x:f>
      </x:c>
      <x:c r="P118" s="24">
        <x:f>IF(O118="","",O118&amp;B118)</x:f>
      </x:c>
      <x:c r="Q118" s="24">
        <x:f>IF(P118="","",IFERROR(INDEX('درخت جدید'!$C:$C,MATCH(P118&amp;"",'درخت جدید'!$B:$B,0)),"— در درخت نیست؛ با نام قدیم ساخته می‌شود —"))</x:f>
      </x:c>
      <x:c r="R118" s="25"/>
      <x:c r="S118" s="26">
        <x:f>P118</x:f>
      </x:c>
      <x:c r="T118" s="22">
        <x:f>IF(S118="","",IFERROR(INDEX('درخت جدید'!$C:$C,MATCH(S118&amp;"",'درخت جدید'!$B:$B,0)),"(ساخته می‌شود) "&amp;V118))</x:f>
      </x:c>
      <x:c r="U118" s="22">
        <x:f>IF(S118="",IF(N118="بله","الزامی — تکمیل نشده",""),IF(AND(O118&lt;&gt;"",LEFT(S118&amp;"",4)&lt;&gt;O118),"زیر کل دیگری است — کل یا معین را اصلاح کنید",IF(AND(S118=P118,FALSE,W118=""),"تداخل: کد "&amp;S118&amp;" در برگهٔ درخت جدید با نام «"&amp;T118&amp;"» از قبل تعریف شده",IF(COUNTIFS('درخت جدید'!$B:$B,S118&amp;"",'درخت جدید'!$A:$A,"معین")=0,IF(V118="","کد در درخت نیست — نام برای تعریف را بنویسید","OK"),"OK"))))</x:f>
      </x:c>
      <x:c r="V118" s="27">
        <x:f>IF(S118="","",IF(COUNTIFS('درخت جدید'!$B:$B,S118&amp;"",'درخت جدید'!$A:$A,"معین")=0,D118,""))</x:f>
      </x:c>
      <x:c r="W118" s="27"/>
      <x:c r="X118" s="38"/>
    </x:row>
    <x:row r="119" spans="1:24">
      <x:c r="A119" s="21" t="s">
        <x:v>158</x:v>
      </x:c>
      <x:c r="B119" s="22" t="s">
        <x:v>63</x:v>
      </x:c>
      <x:c r="C119" s="22" t="s">
        <x:v>159</x:v>
      </x:c>
      <x:c r="D119" s="22" t="s">
        <x:v>342</x:v>
      </x:c>
      <x:c r="E119" s="22" t="s">
        <x:v>334</x:v>
      </x:c>
      <x:c r="F119" s="22" t="s">
        <x:v>195</x:v>
      </x:c>
      <x:c r="G119" s="22" t="s">
        <x:v>199</x:v>
      </x:c>
      <x:c r="H119" s="22">
        <x:v>1</x:v>
      </x:c>
      <x:c r="I119" s="22">
        <x:v>1</x:v>
      </x:c>
      <x:c r="J119" s="22">
        <x:v>33</x:v>
      </x:c>
      <x:c r="K119" s="23">
        <x:v>0</x:v>
      </x:c>
      <x:c r="L119" s="23">
        <x:v>150250000000</x:v>
      </x:c>
      <x:c r="M119" s="23">
        <x:f>K119-L119</x:f>
      </x:c>
      <x:c r="N119" s="22" t="s">
        <x:v>196</x:v>
      </x:c>
      <x:c r="O119" s="24">
        <x:f>IFERROR(INDEX('تطبیق کل'!$J:$J,MATCH(A119&amp;"",'تطبیق کل'!$A:$A,0))&amp;"","")</x:f>
      </x:c>
      <x:c r="P119" s="24">
        <x:f>IF(O119="","",O119&amp;B119)</x:f>
      </x:c>
      <x:c r="Q119" s="24">
        <x:f>IF(P119="","",IFERROR(INDEX('درخت جدید'!$C:$C,MATCH(P119&amp;"",'درخت جدید'!$B:$B,0)),"— در درخت نیست؛ با نام قدیم ساخته می‌شود —"))</x:f>
      </x:c>
      <x:c r="R119" s="25"/>
      <x:c r="S119" s="26">
        <x:f>P119</x:f>
      </x:c>
      <x:c r="T119" s="22">
        <x:f>IF(S119="","",IFERROR(INDEX('درخت جدید'!$C:$C,MATCH(S119&amp;"",'درخت جدید'!$B:$B,0)),"(ساخته می‌شود) "&amp;V119))</x:f>
      </x:c>
      <x:c r="U119" s="22">
        <x:f>IF(S119="",IF(N119="بله","الزامی — تکمیل نشده",""),IF(AND(O119&lt;&gt;"",LEFT(S119&amp;"",4)&lt;&gt;O119),"زیر کل دیگری است — کل یا معین را اصلاح کنید",IF(AND(S119=P119,FALSE,W119=""),"تداخل: کد "&amp;S119&amp;" در برگهٔ درخت جدید با نام «"&amp;T119&amp;"» از قبل تعریف شده",IF(COUNTIFS('درخت جدید'!$B:$B,S119&amp;"",'درخت جدید'!$A:$A,"معین")=0,IF(V119="","کد در درخت نیست — نام برای تعریف را بنویسید","OK"),"OK"))))</x:f>
      </x:c>
      <x:c r="V119" s="27">
        <x:f>IF(S119="","",IF(COUNTIFS('درخت جدید'!$B:$B,S119&amp;"",'درخت جدید'!$A:$A,"معین")=0,D119,""))</x:f>
      </x:c>
      <x:c r="W119" s="27"/>
      <x:c r="X119" s="38"/>
    </x:row>
    <x:row r="120" spans="1:24">
      <x:c r="A120" s="21" t="s">
        <x:v>158</x:v>
      </x:c>
      <x:c r="B120" s="22" t="s">
        <x:v>66</x:v>
      </x:c>
      <x:c r="C120" s="22" t="s">
        <x:v>159</x:v>
      </x:c>
      <x:c r="D120" s="22" t="s">
        <x:v>343</x:v>
      </x:c>
      <x:c r="E120" s="22" t="s">
        <x:v>334</x:v>
      </x:c>
      <x:c r="F120" s="22" t="s">
        <x:v>195</x:v>
      </x:c>
      <x:c r="G120" s="22" t="s">
        <x:v>199</x:v>
      </x:c>
      <x:c r="H120" s="22">
        <x:v>1</x:v>
      </x:c>
      <x:c r="I120" s="22">
        <x:v>1</x:v>
      </x:c>
      <x:c r="J120" s="22">
        <x:v>11</x:v>
      </x:c>
      <x:c r="K120" s="23">
        <x:v>0</x:v>
      </x:c>
      <x:c r="L120" s="23">
        <x:v>1379553395</x:v>
      </x:c>
      <x:c r="M120" s="23">
        <x:f>K120-L120</x:f>
      </x:c>
      <x:c r="N120" s="22" t="s">
        <x:v>196</x:v>
      </x:c>
      <x:c r="O120" s="24">
        <x:f>IFERROR(INDEX('تطبیق کل'!$J:$J,MATCH(A120&amp;"",'تطبیق کل'!$A:$A,0))&amp;"","")</x:f>
      </x:c>
      <x:c r="P120" s="24">
        <x:f>IF(O120="","",O120&amp;B120)</x:f>
      </x:c>
      <x:c r="Q120" s="24">
        <x:f>IF(P120="","",IFERROR(INDEX('درخت جدید'!$C:$C,MATCH(P120&amp;"",'درخت جدید'!$B:$B,0)),"— در درخت نیست؛ با نام قدیم ساخته می‌شود —"))</x:f>
      </x:c>
      <x:c r="R120" s="25"/>
      <x:c r="S120" s="26">
        <x:f>P120</x:f>
      </x:c>
      <x:c r="T120" s="22">
        <x:f>IF(S120="","",IFERROR(INDEX('درخت جدید'!$C:$C,MATCH(S120&amp;"",'درخت جدید'!$B:$B,0)),"(ساخته می‌شود) "&amp;V120))</x:f>
      </x:c>
      <x:c r="U120" s="22">
        <x:f>IF(S120="",IF(N120="بله","الزامی — تکمیل نشده",""),IF(AND(O120&lt;&gt;"",LEFT(S120&amp;"",4)&lt;&gt;O120),"زیر کل دیگری است — کل یا معین را اصلاح کنید",IF(AND(S120=P120,FALSE,W120=""),"تداخل: کد "&amp;S120&amp;" در برگهٔ درخت جدید با نام «"&amp;T120&amp;"» از قبل تعریف شده",IF(COUNTIFS('درخت جدید'!$B:$B,S120&amp;"",'درخت جدید'!$A:$A,"معین")=0,IF(V120="","کد در درخت نیست — نام برای تعریف را بنویسید","OK"),"OK"))))</x:f>
      </x:c>
      <x:c r="V120" s="27">
        <x:f>IF(S120="","",IF(COUNTIFS('درخت جدید'!$B:$B,S120&amp;"",'درخت جدید'!$A:$A,"معین")=0,D120,""))</x:f>
      </x:c>
      <x:c r="W120" s="27"/>
      <x:c r="X120" s="38"/>
    </x:row>
    <x:row r="121" spans="1:24">
      <x:c r="A121" s="21" t="s">
        <x:v>158</x:v>
      </x:c>
      <x:c r="B121" s="22" t="s">
        <x:v>344</x:v>
      </x:c>
      <x:c r="C121" s="22" t="s">
        <x:v>159</x:v>
      </x:c>
      <x:c r="D121" s="22" t="s">
        <x:v>345</x:v>
      </x:c>
      <x:c r="E121" s="22" t="s">
        <x:v>334</x:v>
      </x:c>
      <x:c r="F121" s="22" t="s">
        <x:v>195</x:v>
      </x:c>
      <x:c r="G121" s="22" t="s">
        <x:v>199</x:v>
      </x:c>
      <x:c r="H121" s="22">
        <x:v>1</x:v>
      </x:c>
      <x:c r="I121" s="22">
        <x:v>1</x:v>
      </x:c>
      <x:c r="J121" s="22">
        <x:v>10</x:v>
      </x:c>
      <x:c r="K121" s="23">
        <x:v>1299160000</x:v>
      </x:c>
      <x:c r="L121" s="23">
        <x:v>0</x:v>
      </x:c>
      <x:c r="M121" s="23">
        <x:f>K121-L121</x:f>
      </x:c>
      <x:c r="N121" s="22" t="s">
        <x:v>196</x:v>
      </x:c>
      <x:c r="O121" s="24">
        <x:f>IFERROR(INDEX('تطبیق کل'!$J:$J,MATCH(A121&amp;"",'تطبیق کل'!$A:$A,0))&amp;"","")</x:f>
      </x:c>
      <x:c r="P121" s="24">
        <x:f>IF(O121="","",O121&amp;B121)</x:f>
      </x:c>
      <x:c r="Q121" s="24">
        <x:f>IF(P121="","",IFERROR(INDEX('درخت جدید'!$C:$C,MATCH(P121&amp;"",'درخت جدید'!$B:$B,0)),"— در درخت نیست؛ با نام قدیم ساخته می‌شود —"))</x:f>
      </x:c>
      <x:c r="R121" s="25"/>
      <x:c r="S121" s="26">
        <x:f>P121</x:f>
      </x:c>
      <x:c r="T121" s="22">
        <x:f>IF(S121="","",IFERROR(INDEX('درخت جدید'!$C:$C,MATCH(S121&amp;"",'درخت جدید'!$B:$B,0)),"(ساخته می‌شود) "&amp;V121))</x:f>
      </x:c>
      <x:c r="U121" s="22">
        <x:f>IF(S121="",IF(N121="بله","الزامی — تکمیل نشده",""),IF(AND(O121&lt;&gt;"",LEFT(S121&amp;"",4)&lt;&gt;O121),"زیر کل دیگری است — کل یا معین را اصلاح کنید",IF(AND(S121=P121,FALSE,W121=""),"تداخل: کد "&amp;S121&amp;" در برگهٔ درخت جدید با نام «"&amp;T121&amp;"» از قبل تعریف شده",IF(COUNTIFS('درخت جدید'!$B:$B,S121&amp;"",'درخت جدید'!$A:$A,"معین")=0,IF(V121="","کد در درخت نیست — نام برای تعریف را بنویسید","OK"),"OK"))))</x:f>
      </x:c>
      <x:c r="V121" s="27">
        <x:f>IF(S121="","",IF(COUNTIFS('درخت جدید'!$B:$B,S121&amp;"",'درخت جدید'!$A:$A,"معین")=0,D121,""))</x:f>
      </x:c>
      <x:c r="W121" s="27"/>
      <x:c r="X121" s="38"/>
    </x:row>
    <x:row r="122" spans="1:24">
      <x:c r="A122" s="21" t="s">
        <x:v>162</x:v>
      </x:c>
      <x:c r="B122" s="22" t="s">
        <x:v>30</x:v>
      </x:c>
      <x:c r="C122" s="22" t="s">
        <x:v>163</x:v>
      </x:c>
      <x:c r="D122" s="22" t="s">
        <x:v>346</x:v>
      </x:c>
      <x:c r="E122" s="22" t="s">
        <x:v>194</x:v>
      </x:c>
      <x:c r="F122" s="22" t="s">
        <x:v>194</x:v>
      </x:c>
      <x:c r="G122" s="22" t="s">
        <x:v>199</x:v>
      </x:c>
      <x:c r="H122" s="22">
        <x:v>12</x:v>
      </x:c>
      <x:c r="I122" s="22">
        <x:v>1</x:v>
      </x:c>
      <x:c r="J122" s="22">
        <x:v>5</x:v>
      </x:c>
      <x:c r="K122" s="23">
        <x:v>60000000</x:v>
      </x:c>
      <x:c r="L122" s="23">
        <x:v>240000000</x:v>
      </x:c>
      <x:c r="M122" s="23">
        <x:f>K122-L122</x:f>
      </x:c>
      <x:c r="N122" s="22" t="s">
        <x:v>196</x:v>
      </x:c>
      <x:c r="O122" s="24">
        <x:f>IFERROR(INDEX('تطبیق کل'!$J:$J,MATCH(A122&amp;"",'تطبیق کل'!$A:$A,0))&amp;"","")</x:f>
      </x:c>
      <x:c r="P122" s="24">
        <x:f>IF(O122="","",O122&amp;B122)</x:f>
      </x:c>
      <x:c r="Q122" s="24">
        <x:f>IF(P122="","",IFERROR(INDEX('درخت جدید'!$C:$C,MATCH(P122&amp;"",'درخت جدید'!$B:$B,0)),"— در درخت نیست؛ با نام قدیم ساخته می‌شود —"))</x:f>
      </x:c>
      <x:c r="R122" s="25"/>
      <x:c r="S122" s="26">
        <x:f>P122</x:f>
      </x:c>
      <x:c r="T122" s="22">
        <x:f>IF(S122="","",IFERROR(INDEX('درخت جدید'!$C:$C,MATCH(S122&amp;"",'درخت جدید'!$B:$B,0)),"(ساخته می‌شود) "&amp;V122))</x:f>
      </x:c>
      <x:c r="U122" s="22">
        <x:f>IF(S122="",IF(N122="بله","الزامی — تکمیل نشده",""),IF(AND(O122&lt;&gt;"",LEFT(S122&amp;"",4)&lt;&gt;O122),"زیر کل دیگری است — کل یا معین را اصلاح کنید",IF(AND(S122=P122,FALSE,W122=""),"تداخل: کد "&amp;S122&amp;" در برگهٔ درخت جدید با نام «"&amp;T122&amp;"» از قبل تعریف شده",IF(COUNTIFS('درخت جدید'!$B:$B,S122&amp;"",'درخت جدید'!$A:$A,"معین")=0,IF(V122="","کد در درخت نیست — نام برای تعریف را بنویسید","OK"),"OK"))))</x:f>
      </x:c>
      <x:c r="V122" s="27">
        <x:f>IF(S122="","",IF(COUNTIFS('درخت جدید'!$B:$B,S122&amp;"",'درخت جدید'!$A:$A,"معین")=0,D122,""))</x:f>
      </x:c>
      <x:c r="W122" s="27"/>
      <x:c r="X122" s="38"/>
    </x:row>
    <x:row r="123" spans="1:24">
      <x:c r="A123" s="21" t="s">
        <x:v>162</x:v>
      </x:c>
      <x:c r="B123" s="22" t="s">
        <x:v>262</x:v>
      </x:c>
      <x:c r="C123" s="22" t="s">
        <x:v>163</x:v>
      </x:c>
      <x:c r="D123" s="22" t="s">
        <x:v>347</x:v>
      </x:c>
      <x:c r="E123" s="22" t="s">
        <x:v>194</x:v>
      </x:c>
      <x:c r="F123" s="22" t="s">
        <x:v>194</x:v>
      </x:c>
      <x:c r="G123" s="22" t="s">
        <x:v>199</x:v>
      </x:c>
      <x:c r="H123" s="22">
        <x:v>23</x:v>
      </x:c>
      <x:c r="I123" s="22">
        <x:v>1</x:v>
      </x:c>
      <x:c r="J123" s="22">
        <x:v>10</x:v>
      </x:c>
      <x:c r="K123" s="23">
        <x:v>83941133</x:v>
      </x:c>
      <x:c r="L123" s="23">
        <x:v>335764532</x:v>
      </x:c>
      <x:c r="M123" s="23">
        <x:f>K123-L123</x:f>
      </x:c>
      <x:c r="N123" s="22" t="s">
        <x:v>196</x:v>
      </x:c>
      <x:c r="O123" s="24">
        <x:f>IFERROR(INDEX('تطبیق کل'!$J:$J,MATCH(A123&amp;"",'تطبیق کل'!$A:$A,0))&amp;"","")</x:f>
      </x:c>
      <x:c r="P123" s="24">
        <x:f>IF(O123="","",O123&amp;B123)</x:f>
      </x:c>
      <x:c r="Q123" s="24">
        <x:f>IF(P123="","",IFERROR(INDEX('درخت جدید'!$C:$C,MATCH(P123&amp;"",'درخت جدید'!$B:$B,0)),"— در درخت نیست؛ با نام قدیم ساخته می‌شود —"))</x:f>
      </x:c>
      <x:c r="R123" s="25"/>
      <x:c r="S123" s="26">
        <x:f>P123</x:f>
      </x:c>
      <x:c r="T123" s="22">
        <x:f>IF(S123="","",IFERROR(INDEX('درخت جدید'!$C:$C,MATCH(S123&amp;"",'درخت جدید'!$B:$B,0)),"(ساخته می‌شود) "&amp;V123))</x:f>
      </x:c>
      <x:c r="U123" s="22">
        <x:f>IF(S123="",IF(N123="بله","الزامی — تکمیل نشده",""),IF(AND(O123&lt;&gt;"",LEFT(S123&amp;"",4)&lt;&gt;O123),"زیر کل دیگری است — کل یا معین را اصلاح کنید",IF(AND(S123=P123,FALSE,W123=""),"تداخل: کد "&amp;S123&amp;" در برگهٔ درخت جدید با نام «"&amp;T123&amp;"» از قبل تعریف شده",IF(COUNTIFS('درخت جدید'!$B:$B,S123&amp;"",'درخت جدید'!$A:$A,"معین")=0,IF(V123="","کد در درخت نیست — نام برای تعریف را بنویسید","OK"),"OK"))))</x:f>
      </x:c>
      <x:c r="V123" s="27">
        <x:f>IF(S123="","",IF(COUNTIFS('درخت جدید'!$B:$B,S123&amp;"",'درخت جدید'!$A:$A,"معین")=0,D123,""))</x:f>
      </x:c>
      <x:c r="W123" s="27"/>
      <x:c r="X123" s="38"/>
    </x:row>
    <x:row r="124" spans="1:24">
      <x:c r="A124" s="21" t="s">
        <x:v>166</x:v>
      </x:c>
      <x:c r="B124" s="22" t="s">
        <x:v>30</x:v>
      </x:c>
      <x:c r="C124" s="22" t="s">
        <x:v>167</x:v>
      </x:c>
      <x:c r="D124" s="22" t="s">
        <x:v>348</x:v>
      </x:c>
      <x:c r="E124" s="22" t="s">
        <x:v>195</x:v>
      </x:c>
      <x:c r="F124" s="22" t="s">
        <x:v>194</x:v>
      </x:c>
      <x:c r="G124" s="22" t="s">
        <x:v>199</x:v>
      </x:c>
      <x:c r="H124" s="22">
        <x:v>2</x:v>
      </x:c>
      <x:c r="I124" s="22">
        <x:v>1</x:v>
      </x:c>
      <x:c r="J124" s="22">
        <x:v>5</x:v>
      </x:c>
      <x:c r="K124" s="23">
        <x:v>240000000</x:v>
      </x:c>
      <x:c r="L124" s="23">
        <x:v>60000000</x:v>
      </x:c>
      <x:c r="M124" s="23">
        <x:f>K124-L124</x:f>
      </x:c>
      <x:c r="N124" s="22" t="s">
        <x:v>196</x:v>
      </x:c>
      <x:c r="O124" s="24">
        <x:f>IFERROR(INDEX('تطبیق کل'!$J:$J,MATCH(A124&amp;"",'تطبیق کل'!$A:$A,0))&amp;"","")</x:f>
      </x:c>
      <x:c r="P124" s="24">
        <x:f>IF(O124="","",O124&amp;B124)</x:f>
      </x:c>
      <x:c r="Q124" s="24">
        <x:f>IF(P124="","",IFERROR(INDEX('درخت جدید'!$C:$C,MATCH(P124&amp;"",'درخت جدید'!$B:$B,0)),"— در درخت نیست؛ با نام قدیم ساخته می‌شود —"))</x:f>
      </x:c>
      <x:c r="R124" s="25"/>
      <x:c r="S124" s="26">
        <x:f>P124</x:f>
      </x:c>
      <x:c r="T124" s="22">
        <x:f>IF(S124="","",IFERROR(INDEX('درخت جدید'!$C:$C,MATCH(S124&amp;"",'درخت جدید'!$B:$B,0)),"(ساخته می‌شود) "&amp;V124))</x:f>
      </x:c>
      <x:c r="U124" s="22">
        <x:f>IF(S124="",IF(N124="بله","الزامی — تکمیل نشده",""),IF(AND(O124&lt;&gt;"",LEFT(S124&amp;"",4)&lt;&gt;O124),"زیر کل دیگری است — کل یا معین را اصلاح کنید",IF(AND(S124=P124,FALSE,W124=""),"تداخل: کد "&amp;S124&amp;" در برگهٔ درخت جدید با نام «"&amp;T124&amp;"» از قبل تعریف شده",IF(COUNTIFS('درخت جدید'!$B:$B,S124&amp;"",'درخت جدید'!$A:$A,"معین")=0,IF(V124="","کد در درخت نیست — نام برای تعریف را بنویسید","OK"),"OK"))))</x:f>
      </x:c>
      <x:c r="V124" s="27">
        <x:f>IF(S124="","",IF(COUNTIFS('درخت جدید'!$B:$B,S124&amp;"",'درخت جدید'!$A:$A,"معین")=0,D124,""))</x:f>
      </x:c>
      <x:c r="W124" s="27"/>
      <x:c r="X124" s="38"/>
    </x:row>
    <x:row r="125" spans="1:24">
      <x:c r="A125" s="21" t="s">
        <x:v>166</x:v>
      </x:c>
      <x:c r="B125" s="22" t="s">
        <x:v>262</x:v>
      </x:c>
      <x:c r="C125" s="22" t="s">
        <x:v>167</x:v>
      </x:c>
      <x:c r="D125" s="22" t="s">
        <x:v>349</x:v>
      </x:c>
      <x:c r="E125" s="22" t="s">
        <x:v>195</x:v>
      </x:c>
      <x:c r="F125" s="22" t="s">
        <x:v>194</x:v>
      </x:c>
      <x:c r="G125" s="22" t="s">
        <x:v>199</x:v>
      </x:c>
      <x:c r="H125" s="22">
        <x:v>23</x:v>
      </x:c>
      <x:c r="I125" s="22">
        <x:v>1</x:v>
      </x:c>
      <x:c r="J125" s="22">
        <x:v>10</x:v>
      </x:c>
      <x:c r="K125" s="23">
        <x:v>335764532</x:v>
      </x:c>
      <x:c r="L125" s="23">
        <x:v>83941133</x:v>
      </x:c>
      <x:c r="M125" s="23">
        <x:f>K125-L125</x:f>
      </x:c>
      <x:c r="N125" s="22" t="s">
        <x:v>196</x:v>
      </x:c>
      <x:c r="O125" s="24">
        <x:f>IFERROR(INDEX('تطبیق کل'!$J:$J,MATCH(A125&amp;"",'تطبیق کل'!$A:$A,0))&amp;"","")</x:f>
      </x:c>
      <x:c r="P125" s="24">
        <x:f>IF(O125="","",O125&amp;B125)</x:f>
      </x:c>
      <x:c r="Q125" s="24">
        <x:f>IF(P125="","",IFERROR(INDEX('درخت جدید'!$C:$C,MATCH(P125&amp;"",'درخت جدید'!$B:$B,0)),"— در درخت نیست؛ با نام قدیم ساخته می‌شود —"))</x:f>
      </x:c>
      <x:c r="R125" s="25"/>
      <x:c r="S125" s="26">
        <x:f>P125</x:f>
      </x:c>
      <x:c r="T125" s="22">
        <x:f>IF(S125="","",IFERROR(INDEX('درخت جدید'!$C:$C,MATCH(S125&amp;"",'درخت جدید'!$B:$B,0)),"(ساخته می‌شود) "&amp;V125))</x:f>
      </x:c>
      <x:c r="U125" s="22">
        <x:f>IF(S125="",IF(N125="بله","الزامی — تکمیل نشده",""),IF(AND(O125&lt;&gt;"",LEFT(S125&amp;"",4)&lt;&gt;O125),"زیر کل دیگری است — کل یا معین را اصلاح کنید",IF(AND(S125=P125,FALSE,W125=""),"تداخل: کد "&amp;S125&amp;" در برگهٔ درخت جدید با نام «"&amp;T125&amp;"» از قبل تعریف شده",IF(COUNTIFS('درخت جدید'!$B:$B,S125&amp;"",'درخت جدید'!$A:$A,"معین")=0,IF(V125="","کد در درخت نیست — نام برای تعریف را بنویسید","OK"),"OK"))))</x:f>
      </x:c>
      <x:c r="V125" s="27">
        <x:f>IF(S125="","",IF(COUNTIFS('درخت جدید'!$B:$B,S125&amp;"",'درخت جدید'!$A:$A,"معین")=0,D125,""))</x:f>
      </x:c>
      <x:c r="W125" s="27"/>
      <x:c r="X125" s="38"/>
    </x:row>
    <x:row r="126" spans="1:24">
      <x:c r="A126" s="21" t="s">
        <x:v>14</x:v>
      </x:c>
      <x:c r="B126" s="22" t="s">
        <x:v>200</x:v>
      </x:c>
      <x:c r="C126" s="22" t="s">
        <x:v>15</x:v>
      </x:c>
      <x:c r="D126" s="22" t="s">
        <x:v>350</x:v>
      </x:c>
      <x:c r="E126" s="22" t="s">
        <x:v>194</x:v>
      </x:c>
      <x:c r="F126" s="22" t="s">
        <x:v>194</x:v>
      </x:c>
      <x:c r="G126" s="22" t="s">
        <x:v>195</x:v>
      </x:c>
      <x:c r="H126" s="22">
        <x:v>1</x:v>
      </x:c>
      <x:c r="I126" s="22">
        <x:v>0</x:v>
      </x:c>
      <x:c r="J126" s="22">
        <x:v>0</x:v>
      </x:c>
      <x:c r="K126" s="23">
        <x:v>0</x:v>
      </x:c>
      <x:c r="L126" s="23">
        <x:v>0</x:v>
      </x:c>
      <x:c r="M126" s="23">
        <x:f>K126-L126</x:f>
      </x:c>
      <x:c r="N126" s="22" t="s">
        <x:v>351</x:v>
      </x:c>
      <x:c r="O126" s="24">
        <x:f>IFERROR(INDEX('تطبیق کل'!$J:$J,MATCH(A126&amp;"",'تطبیق کل'!$A:$A,0))&amp;"","")</x:f>
      </x:c>
      <x:c r="P126" s="24">
        <x:f>IF(O126="","",O126&amp;B126)</x:f>
      </x:c>
      <x:c r="Q126" s="24">
        <x:f>IF(P126="","",IFERROR(INDEX('درخت جدید'!$C:$C,MATCH(P126&amp;"",'درخت جدید'!$B:$B,0)),"— در درخت نیست؛ با نام قدیم ساخته می‌شود —"))</x:f>
      </x:c>
      <x:c r="R126" s="25"/>
      <x:c r="S126" s="26">
        <x:f>P126</x:f>
      </x:c>
      <x:c r="T126" s="22">
        <x:f>IF(S126="","",IFERROR(INDEX('درخت جدید'!$C:$C,MATCH(S126&amp;"",'درخت جدید'!$B:$B,0)),"(ساخته می‌شود) "&amp;V126))</x:f>
      </x:c>
      <x:c r="U126" s="22">
        <x:f>IF(S126="",IF(N126="بله","الزامی — تکمیل نشده",""),IF(AND(O126&lt;&gt;"",LEFT(S126&amp;"",4)&lt;&gt;O126),"زیر کل دیگری است — کل یا معین را اصلاح کنید",IF(AND(S126=P126,FALSE,W126=""),"تداخل: کد "&amp;S126&amp;" در برگهٔ درخت جدید با نام «"&amp;T126&amp;"» از قبل تعریف شده",IF(COUNTIFS('درخت جدید'!$B:$B,S126&amp;"",'درخت جدید'!$A:$A,"معین")=0,IF(V126="","کد در درخت نیست — نام برای تعریف را بنویسید","OK"),"OK"))))</x:f>
      </x:c>
      <x:c r="V126" s="27">
        <x:f>IF(S126="","",IF(COUNTIFS('درخت جدید'!$B:$B,S126&amp;"",'درخت جدید'!$A:$A,"معین")=0,D126,""))</x:f>
      </x:c>
      <x:c r="W126" s="27"/>
      <x:c r="X126" s="38"/>
    </x:row>
    <x:row r="127" spans="1:24">
      <x:c r="A127" s="21" t="s">
        <x:v>30</x:v>
      </x:c>
      <x:c r="B127" s="22" t="s">
        <x:v>202</x:v>
      </x:c>
      <x:c r="C127" s="22" t="s">
        <x:v>31</x:v>
      </x:c>
      <x:c r="D127" s="22" t="s">
        <x:v>352</x:v>
      </x:c>
      <x:c r="E127" s="22" t="s">
        <x:v>194</x:v>
      </x:c>
      <x:c r="F127" s="22" t="s">
        <x:v>194</x:v>
      </x:c>
      <x:c r="G127" s="22" t="s">
        <x:v>199</x:v>
      </x:c>
      <x:c r="H127" s="22">
        <x:v>1</x:v>
      </x:c>
      <x:c r="I127" s="22">
        <x:v>0</x:v>
      </x:c>
      <x:c r="J127" s="22">
        <x:v>0</x:v>
      </x:c>
      <x:c r="K127" s="23">
        <x:v>0</x:v>
      </x:c>
      <x:c r="L127" s="23">
        <x:v>0</x:v>
      </x:c>
      <x:c r="M127" s="23">
        <x:f>K127-L127</x:f>
      </x:c>
      <x:c r="N127" s="22" t="s">
        <x:v>351</x:v>
      </x:c>
      <x:c r="O127" s="24">
        <x:f>IFERROR(INDEX('تطبیق کل'!$J:$J,MATCH(A127&amp;"",'تطبیق کل'!$A:$A,0))&amp;"","")</x:f>
      </x:c>
      <x:c r="P127" s="24">
        <x:f>IF(O127="","",O127&amp;B127)</x:f>
      </x:c>
      <x:c r="Q127" s="24">
        <x:f>IF(P127="","",IFERROR(INDEX('درخت جدید'!$C:$C,MATCH(P127&amp;"",'درخت جدید'!$B:$B,0)),"— در درخت نیست؛ با نام قدیم ساخته می‌شود —"))</x:f>
      </x:c>
      <x:c r="R127" s="25">
        <x:v>0</x:v>
      </x:c>
      <x:c r="S127" s="26">
        <x:f>P127</x:f>
      </x:c>
      <x:c r="T127" s="22">
        <x:f>IF(S127="","",IFERROR(INDEX('درخت جدید'!$C:$C,MATCH(S127&amp;"",'درخت جدید'!$B:$B,0)),"(ساخته می‌شود) "&amp;V127))</x:f>
      </x:c>
      <x:c r="U127" s="22">
        <x:f>IF(S127="",IF(N127="بله","الزامی — تکمیل نشده",""),IF(AND(O127&lt;&gt;"",LEFT(S127&amp;"",4)&lt;&gt;O127),"زیر کل دیگری است — کل یا معین را اصلاح کنید",IF(AND(S127=P127,TRUE,W127=""),"تداخل: کد "&amp;S127&amp;" در برگهٔ درخت جدید با نام «"&amp;T127&amp;"» از قبل تعریف شده",IF(COUNTIFS('درخت جدید'!$B:$B,S127&amp;"",'درخت جدید'!$A:$A,"معین")=0,IF(V127="","کد در درخت نیست — نام برای تعریف را بنویسید","OK"),"OK"))))</x:f>
      </x:c>
      <x:c r="V127" s="27">
        <x:f>IF(S127="","",IF(COUNTIFS('درخت جدید'!$B:$B,S127&amp;"",'درخت جدید'!$A:$A,"معین")=0,D127,""))</x:f>
      </x:c>
      <x:c r="W127" s="27"/>
      <x:c r="X127" s="38"/>
    </x:row>
    <x:row r="128" spans="1:24">
      <x:c r="A128" s="21" t="s">
        <x:v>30</x:v>
      </x:c>
      <x:c r="B128" s="22" t="s">
        <x:v>197</x:v>
      </x:c>
      <x:c r="C128" s="22" t="s">
        <x:v>31</x:v>
      </x:c>
      <x:c r="D128" s="22" t="s">
        <x:v>353</x:v>
      </x:c>
      <x:c r="E128" s="22" t="s">
        <x:v>194</x:v>
      </x:c>
      <x:c r="F128" s="22" t="s">
        <x:v>194</x:v>
      </x:c>
      <x:c r="G128" s="22" t="s">
        <x:v>199</x:v>
      </x:c>
      <x:c r="H128" s="22">
        <x:v>1</x:v>
      </x:c>
      <x:c r="I128" s="22">
        <x:v>0</x:v>
      </x:c>
      <x:c r="J128" s="22">
        <x:v>0</x:v>
      </x:c>
      <x:c r="K128" s="23">
        <x:v>0</x:v>
      </x:c>
      <x:c r="L128" s="23">
        <x:v>0</x:v>
      </x:c>
      <x:c r="M128" s="23">
        <x:f>K128-L128</x:f>
      </x:c>
      <x:c r="N128" s="22" t="s">
        <x:v>351</x:v>
      </x:c>
      <x:c r="O128" s="24">
        <x:f>IFERROR(INDEX('تطبیق کل'!$J:$J,MATCH(A128&amp;"",'تطبیق کل'!$A:$A,0))&amp;"","")</x:f>
      </x:c>
      <x:c r="P128" s="24">
        <x:f>IF(O128="","",O128&amp;B128)</x:f>
      </x:c>
      <x:c r="Q128" s="24">
        <x:f>IF(P128="","",IFERROR(INDEX('درخت جدید'!$C:$C,MATCH(P128&amp;"",'درخت جدید'!$B:$B,0)),"— در درخت نیست؛ با نام قدیم ساخته می‌شود —"))</x:f>
      </x:c>
      <x:c r="R128" s="25"/>
      <x:c r="S128" s="26">
        <x:f>P128</x:f>
      </x:c>
      <x:c r="T128" s="22">
        <x:f>IF(S128="","",IFERROR(INDEX('درخت جدید'!$C:$C,MATCH(S128&amp;"",'درخت جدید'!$B:$B,0)),"(ساخته می‌شود) "&amp;V128))</x:f>
      </x:c>
      <x:c r="U128" s="22">
        <x:f>IF(S128="",IF(N128="بله","الزامی — تکمیل نشده",""),IF(AND(O128&lt;&gt;"",LEFT(S128&amp;"",4)&lt;&gt;O128),"زیر کل دیگری است — کل یا معین را اصلاح کنید",IF(AND(S128=P128,FALSE,W128=""),"تداخل: کد "&amp;S128&amp;" در برگهٔ درخت جدید با نام «"&amp;T128&amp;"» از قبل تعریف شده",IF(COUNTIFS('درخت جدید'!$B:$B,S128&amp;"",'درخت جدید'!$A:$A,"معین")=0,IF(V128="","کد در درخت نیست — نام برای تعریف را بنویسید","OK"),"OK"))))</x:f>
      </x:c>
      <x:c r="V128" s="27">
        <x:f>IF(S128="","",IF(COUNTIFS('درخت جدید'!$B:$B,S128&amp;"",'درخت جدید'!$A:$A,"معین")=0,D128,""))</x:f>
      </x:c>
      <x:c r="W128" s="27"/>
      <x:c r="X128" s="38"/>
    </x:row>
    <x:row r="129" spans="1:24">
      <x:c r="A129" s="21" t="s">
        <x:v>30</x:v>
      </x:c>
      <x:c r="B129" s="22" t="s">
        <x:v>205</x:v>
      </x:c>
      <x:c r="C129" s="22" t="s">
        <x:v>31</x:v>
      </x:c>
      <x:c r="D129" s="22" t="s">
        <x:v>354</x:v>
      </x:c>
      <x:c r="E129" s="22" t="s">
        <x:v>194</x:v>
      </x:c>
      <x:c r="F129" s="22" t="s">
        <x:v>194</x:v>
      </x:c>
      <x:c r="G129" s="22" t="s">
        <x:v>199</x:v>
      </x:c>
      <x:c r="H129" s="22">
        <x:v>1</x:v>
      </x:c>
      <x:c r="I129" s="22">
        <x:v>0</x:v>
      </x:c>
      <x:c r="J129" s="22">
        <x:v>0</x:v>
      </x:c>
      <x:c r="K129" s="23">
        <x:v>0</x:v>
      </x:c>
      <x:c r="L129" s="23">
        <x:v>0</x:v>
      </x:c>
      <x:c r="M129" s="23">
        <x:f>K129-L129</x:f>
      </x:c>
      <x:c r="N129" s="22" t="s">
        <x:v>351</x:v>
      </x:c>
      <x:c r="O129" s="24">
        <x:f>IFERROR(INDEX('تطبیق کل'!$J:$J,MATCH(A129&amp;"",'تطبیق کل'!$A:$A,0))&amp;"","")</x:f>
      </x:c>
      <x:c r="P129" s="24">
        <x:f>IF(O129="","",O129&amp;B129)</x:f>
      </x:c>
      <x:c r="Q129" s="24">
        <x:f>IF(P129="","",IFERROR(INDEX('درخت جدید'!$C:$C,MATCH(P129&amp;"",'درخت جدید'!$B:$B,0)),"— در درخت نیست؛ با نام قدیم ساخته می‌شود —"))</x:f>
      </x:c>
      <x:c r="R129" s="25"/>
      <x:c r="S129" s="26">
        <x:f>P129</x:f>
      </x:c>
      <x:c r="T129" s="22">
        <x:f>IF(S129="","",IFERROR(INDEX('درخت جدید'!$C:$C,MATCH(S129&amp;"",'درخت جدید'!$B:$B,0)),"(ساخته می‌شود) "&amp;V129))</x:f>
      </x:c>
      <x:c r="U129" s="22">
        <x:f>IF(S129="",IF(N129="بله","الزامی — تکمیل نشده",""),IF(AND(O129&lt;&gt;"",LEFT(S129&amp;"",4)&lt;&gt;O129),"زیر کل دیگری است — کل یا معین را اصلاح کنید",IF(AND(S129=P129,FALSE,W129=""),"تداخل: کد "&amp;S129&amp;" در برگهٔ درخت جدید با نام «"&amp;T129&amp;"» از قبل تعریف شده",IF(COUNTIFS('درخت جدید'!$B:$B,S129&amp;"",'درخت جدید'!$A:$A,"معین")=0,IF(V129="","کد در درخت نیست — نام برای تعریف را بنویسید","OK"),"OK"))))</x:f>
      </x:c>
      <x:c r="V129" s="27">
        <x:f>IF(S129="","",IF(COUNTIFS('درخت جدید'!$B:$B,S129&amp;"",'درخت جدید'!$A:$A,"معین")=0,D129,""))</x:f>
      </x:c>
      <x:c r="W129" s="27"/>
      <x:c r="X129" s="38"/>
    </x:row>
    <x:row r="130" spans="1:24">
      <x:c r="A130" s="21" t="s">
        <x:v>30</x:v>
      </x:c>
      <x:c r="B130" s="22" t="s">
        <x:v>207</x:v>
      </x:c>
      <x:c r="C130" s="22" t="s">
        <x:v>31</x:v>
      </x:c>
      <x:c r="D130" s="22" t="s">
        <x:v>355</x:v>
      </x:c>
      <x:c r="E130" s="22" t="s">
        <x:v>194</x:v>
      </x:c>
      <x:c r="F130" s="22" t="s">
        <x:v>194</x:v>
      </x:c>
      <x:c r="G130" s="22" t="s">
        <x:v>199</x:v>
      </x:c>
      <x:c r="H130" s="22">
        <x:v>1</x:v>
      </x:c>
      <x:c r="I130" s="22">
        <x:v>0</x:v>
      </x:c>
      <x:c r="J130" s="22">
        <x:v>0</x:v>
      </x:c>
      <x:c r="K130" s="23">
        <x:v>0</x:v>
      </x:c>
      <x:c r="L130" s="23">
        <x:v>0</x:v>
      </x:c>
      <x:c r="M130" s="23">
        <x:f>K130-L130</x:f>
      </x:c>
      <x:c r="N130" s="22" t="s">
        <x:v>351</x:v>
      </x:c>
      <x:c r="O130" s="24">
        <x:f>IFERROR(INDEX('تطبیق کل'!$J:$J,MATCH(A130&amp;"",'تطبیق کل'!$A:$A,0))&amp;"","")</x:f>
      </x:c>
      <x:c r="P130" s="24">
        <x:f>IF(O130="","",O130&amp;B130)</x:f>
      </x:c>
      <x:c r="Q130" s="24">
        <x:f>IF(P130="","",IFERROR(INDEX('درخت جدید'!$C:$C,MATCH(P130&amp;"",'درخت جدید'!$B:$B,0)),"— در درخت نیست؛ با نام قدیم ساخته می‌شود —"))</x:f>
      </x:c>
      <x:c r="R130" s="25"/>
      <x:c r="S130" s="26">
        <x:f>P130</x:f>
      </x:c>
      <x:c r="T130" s="22">
        <x:f>IF(S130="","",IFERROR(INDEX('درخت جدید'!$C:$C,MATCH(S130&amp;"",'درخت جدید'!$B:$B,0)),"(ساخته می‌شود) "&amp;V130))</x:f>
      </x:c>
      <x:c r="U130" s="22">
        <x:f>IF(S130="",IF(N130="بله","الزامی — تکمیل نشده",""),IF(AND(O130&lt;&gt;"",LEFT(S130&amp;"",4)&lt;&gt;O130),"زیر کل دیگری است — کل یا معین را اصلاح کنید",IF(AND(S130=P130,FALSE,W130=""),"تداخل: کد "&amp;S130&amp;" در برگهٔ درخت جدید با نام «"&amp;T130&amp;"» از قبل تعریف شده",IF(COUNTIFS('درخت جدید'!$B:$B,S130&amp;"",'درخت جدید'!$A:$A,"معین")=0,IF(V130="","کد در درخت نیست — نام برای تعریف را بنویسید","OK"),"OK"))))</x:f>
      </x:c>
      <x:c r="V130" s="27">
        <x:f>IF(S130="","",IF(COUNTIFS('درخت جدید'!$B:$B,S130&amp;"",'درخت جدید'!$A:$A,"معین")=0,D130,""))</x:f>
      </x:c>
      <x:c r="W130" s="27"/>
      <x:c r="X130" s="38"/>
    </x:row>
    <x:row r="131" spans="1:24">
      <x:c r="A131" s="21" t="s">
        <x:v>30</x:v>
      </x:c>
      <x:c r="B131" s="22" t="s">
        <x:v>209</x:v>
      </x:c>
      <x:c r="C131" s="22" t="s">
        <x:v>31</x:v>
      </x:c>
      <x:c r="D131" s="22" t="s">
        <x:v>356</x:v>
      </x:c>
      <x:c r="E131" s="22" t="s">
        <x:v>194</x:v>
      </x:c>
      <x:c r="F131" s="22" t="s">
        <x:v>194</x:v>
      </x:c>
      <x:c r="G131" s="22" t="s">
        <x:v>199</x:v>
      </x:c>
      <x:c r="H131" s="22">
        <x:v>5</x:v>
      </x:c>
      <x:c r="I131" s="22">
        <x:v>0</x:v>
      </x:c>
      <x:c r="J131" s="22">
        <x:v>0</x:v>
      </x:c>
      <x:c r="K131" s="23">
        <x:v>0</x:v>
      </x:c>
      <x:c r="L131" s="23">
        <x:v>0</x:v>
      </x:c>
      <x:c r="M131" s="23">
        <x:f>K131-L131</x:f>
      </x:c>
      <x:c r="N131" s="22" t="s">
        <x:v>351</x:v>
      </x:c>
      <x:c r="O131" s="24">
        <x:f>IFERROR(INDEX('تطبیق کل'!$J:$J,MATCH(A131&amp;"",'تطبیق کل'!$A:$A,0))&amp;"","")</x:f>
      </x:c>
      <x:c r="P131" s="24">
        <x:f>IF(O131="","",O131&amp;B131)</x:f>
      </x:c>
      <x:c r="Q131" s="24">
        <x:f>IF(P131="","",IFERROR(INDEX('درخت جدید'!$C:$C,MATCH(P131&amp;"",'درخت جدید'!$B:$B,0)),"— در درخت نیست؛ با نام قدیم ساخته می‌شود —"))</x:f>
      </x:c>
      <x:c r="R131" s="25"/>
      <x:c r="S131" s="26">
        <x:f>P131</x:f>
      </x:c>
      <x:c r="T131" s="22">
        <x:f>IF(S131="","",IFERROR(INDEX('درخت جدید'!$C:$C,MATCH(S131&amp;"",'درخت جدید'!$B:$B,0)),"(ساخته می‌شود) "&amp;V131))</x:f>
      </x:c>
      <x:c r="U131" s="22">
        <x:f>IF(S131="",IF(N131="بله","الزامی — تکمیل نشده",""),IF(AND(O131&lt;&gt;"",LEFT(S131&amp;"",4)&lt;&gt;O131),"زیر کل دیگری است — کل یا معین را اصلاح کنید",IF(AND(S131=P131,FALSE,W131=""),"تداخل: کد "&amp;S131&amp;" در برگهٔ درخت جدید با نام «"&amp;T131&amp;"» از قبل تعریف شده",IF(COUNTIFS('درخت جدید'!$B:$B,S131&amp;"",'درخت جدید'!$A:$A,"معین")=0,IF(V131="","کد در درخت نیست — نام برای تعریف را بنویسید","OK"),"OK"))))</x:f>
      </x:c>
      <x:c r="V131" s="27">
        <x:f>IF(S131="","",IF(COUNTIFS('درخت جدید'!$B:$B,S131&amp;"",'درخت جدید'!$A:$A,"معین")=0,D131,""))</x:f>
      </x:c>
      <x:c r="W131" s="27"/>
      <x:c r="X131" s="38"/>
    </x:row>
    <x:row r="132" spans="1:24">
      <x:c r="A132" s="21" t="s">
        <x:v>30</x:v>
      </x:c>
      <x:c r="B132" s="22" t="s">
        <x:v>85</x:v>
      </x:c>
      <x:c r="C132" s="22" t="s">
        <x:v>31</x:v>
      </x:c>
      <x:c r="D132" s="22" t="s">
        <x:v>357</x:v>
      </x:c>
      <x:c r="E132" s="22" t="s">
        <x:v>194</x:v>
      </x:c>
      <x:c r="F132" s="22" t="s">
        <x:v>194</x:v>
      </x:c>
      <x:c r="G132" s="22" t="s">
        <x:v>199</x:v>
      </x:c>
      <x:c r="H132" s="22">
        <x:v>5</x:v>
      </x:c>
      <x:c r="I132" s="22">
        <x:v>0</x:v>
      </x:c>
      <x:c r="J132" s="22">
        <x:v>0</x:v>
      </x:c>
      <x:c r="K132" s="23">
        <x:v>0</x:v>
      </x:c>
      <x:c r="L132" s="23">
        <x:v>0</x:v>
      </x:c>
      <x:c r="M132" s="23">
        <x:f>K132-L132</x:f>
      </x:c>
      <x:c r="N132" s="22" t="s">
        <x:v>351</x:v>
      </x:c>
      <x:c r="O132" s="24">
        <x:f>IFERROR(INDEX('تطبیق کل'!$J:$J,MATCH(A132&amp;"",'تطبیق کل'!$A:$A,0))&amp;"","")</x:f>
      </x:c>
      <x:c r="P132" s="24">
        <x:f>IF(O132="","",O132&amp;B132)</x:f>
      </x:c>
      <x:c r="Q132" s="24">
        <x:f>IF(P132="","",IFERROR(INDEX('درخت جدید'!$C:$C,MATCH(P132&amp;"",'درخت جدید'!$B:$B,0)),"— در درخت نیست؛ با نام قدیم ساخته می‌شود —"))</x:f>
      </x:c>
      <x:c r="R132" s="25"/>
      <x:c r="S132" s="26">
        <x:f>P132</x:f>
      </x:c>
      <x:c r="T132" s="22">
        <x:f>IF(S132="","",IFERROR(INDEX('درخت جدید'!$C:$C,MATCH(S132&amp;"",'درخت جدید'!$B:$B,0)),"(ساخته می‌شود) "&amp;V132))</x:f>
      </x:c>
      <x:c r="U132" s="22">
        <x:f>IF(S132="",IF(N132="بله","الزامی — تکمیل نشده",""),IF(AND(O132&lt;&gt;"",LEFT(S132&amp;"",4)&lt;&gt;O132),"زیر کل دیگری است — کل یا معین را اصلاح کنید",IF(AND(S132=P132,FALSE,W132=""),"تداخل: کد "&amp;S132&amp;" در برگهٔ درخت جدید با نام «"&amp;T132&amp;"» از قبل تعریف شده",IF(COUNTIFS('درخت جدید'!$B:$B,S132&amp;"",'درخت جدید'!$A:$A,"معین")=0,IF(V132="","کد در درخت نیست — نام برای تعریف را بنویسید","OK"),"OK"))))</x:f>
      </x:c>
      <x:c r="V132" s="27">
        <x:f>IF(S132="","",IF(COUNTIFS('درخت جدید'!$B:$B,S132&amp;"",'درخت جدید'!$A:$A,"معین")=0,D132,""))</x:f>
      </x:c>
      <x:c r="W132" s="27"/>
      <x:c r="X132" s="38"/>
    </x:row>
    <x:row r="133" spans="1:24">
      <x:c r="A133" s="21" t="s">
        <x:v>34</x:v>
      </x:c>
      <x:c r="B133" s="22" t="s">
        <x:v>237</x:v>
      </x:c>
      <x:c r="C133" s="22" t="s">
        <x:v>35</x:v>
      </x:c>
      <x:c r="D133" s="22" t="s">
        <x:v>358</x:v>
      </x:c>
      <x:c r="E133" s="22" t="s">
        <x:v>194</x:v>
      </x:c>
      <x:c r="F133" s="22" t="s">
        <x:v>194</x:v>
      </x:c>
      <x:c r="G133" s="22" t="s">
        <x:v>199</x:v>
      </x:c>
      <x:c r="H133" s="22">
        <x:v>15</x:v>
      </x:c>
      <x:c r="I133" s="22">
        <x:v>0</x:v>
      </x:c>
      <x:c r="J133" s="22">
        <x:v>0</x:v>
      </x:c>
      <x:c r="K133" s="23">
        <x:v>0</x:v>
      </x:c>
      <x:c r="L133" s="23">
        <x:v>0</x:v>
      </x:c>
      <x:c r="M133" s="23">
        <x:f>K133-L133</x:f>
      </x:c>
      <x:c r="N133" s="22" t="s">
        <x:v>351</x:v>
      </x:c>
      <x:c r="O133" s="24">
        <x:f>IFERROR(INDEX('تطبیق کل'!$J:$J,MATCH(A133&amp;"",'تطبیق کل'!$A:$A,0))&amp;"","")</x:f>
      </x:c>
      <x:c r="P133" s="24">
        <x:f>IF(O133="","",O133&amp;B133)</x:f>
      </x:c>
      <x:c r="Q133" s="24">
        <x:f>IF(P133="","",IFERROR(INDEX('درخت جدید'!$C:$C,MATCH(P133&amp;"",'درخت جدید'!$B:$B,0)),"— در درخت نیست؛ با نام قدیم ساخته می‌شود —"))</x:f>
      </x:c>
      <x:c r="R133" s="25"/>
      <x:c r="S133" s="26">
        <x:f>P133</x:f>
      </x:c>
      <x:c r="T133" s="22">
        <x:f>IF(S133="","",IFERROR(INDEX('درخت جدید'!$C:$C,MATCH(S133&amp;"",'درخت جدید'!$B:$B,0)),"(ساخته می‌شود) "&amp;V133))</x:f>
      </x:c>
      <x:c r="U133" s="22">
        <x:f>IF(S133="",IF(N133="بله","الزامی — تکمیل نشده",""),IF(AND(O133&lt;&gt;"",LEFT(S133&amp;"",4)&lt;&gt;O133),"زیر کل دیگری است — کل یا معین را اصلاح کنید",IF(AND(S133=P133,FALSE,W133=""),"تداخل: کد "&amp;S133&amp;" در برگهٔ درخت جدید با نام «"&amp;T133&amp;"» از قبل تعریف شده",IF(COUNTIFS('درخت جدید'!$B:$B,S133&amp;"",'درخت جدید'!$A:$A,"معین")=0,IF(V133="","کد در درخت نیست — نام برای تعریف را بنویسید","OK"),"OK"))))</x:f>
      </x:c>
      <x:c r="V133" s="27">
        <x:f>IF(S133="","",IF(COUNTIFS('درخت جدید'!$B:$B,S133&amp;"",'درخت جدید'!$A:$A,"معین")=0,D133,""))</x:f>
      </x:c>
      <x:c r="W133" s="27"/>
      <x:c r="X133" s="38"/>
    </x:row>
    <x:row r="134" spans="1:24">
      <x:c r="A134" s="21" t="s">
        <x:v>34</x:v>
      </x:c>
      <x:c r="B134" s="22" t="s">
        <x:v>14</x:v>
      </x:c>
      <x:c r="C134" s="22" t="s">
        <x:v>35</x:v>
      </x:c>
      <x:c r="D134" s="22" t="s">
        <x:v>359</x:v>
      </x:c>
      <x:c r="E134" s="22" t="s">
        <x:v>194</x:v>
      </x:c>
      <x:c r="F134" s="22" t="s">
        <x:v>194</x:v>
      </x:c>
      <x:c r="G134" s="22" t="s">
        <x:v>199</x:v>
      </x:c>
      <x:c r="H134" s="22">
        <x:v>1</x:v>
      </x:c>
      <x:c r="I134" s="22">
        <x:v>0</x:v>
      </x:c>
      <x:c r="J134" s="22">
        <x:v>0</x:v>
      </x:c>
      <x:c r="K134" s="23">
        <x:v>0</x:v>
      </x:c>
      <x:c r="L134" s="23">
        <x:v>0</x:v>
      </x:c>
      <x:c r="M134" s="23">
        <x:f>K134-L134</x:f>
      </x:c>
      <x:c r="N134" s="22" t="s">
        <x:v>351</x:v>
      </x:c>
      <x:c r="O134" s="24">
        <x:f>IFERROR(INDEX('تطبیق کل'!$J:$J,MATCH(A134&amp;"",'تطبیق کل'!$A:$A,0))&amp;"","")</x:f>
      </x:c>
      <x:c r="P134" s="24">
        <x:f>IF(O134="","",O134&amp;B134)</x:f>
      </x:c>
      <x:c r="Q134" s="24">
        <x:f>IF(P134="","",IFERROR(INDEX('درخت جدید'!$C:$C,MATCH(P134&amp;"",'درخت جدید'!$B:$B,0)),"— در درخت نیست؛ با نام قدیم ساخته می‌شود —"))</x:f>
      </x:c>
      <x:c r="R134" s="25"/>
      <x:c r="S134" s="26">
        <x:f>P134</x:f>
      </x:c>
      <x:c r="T134" s="22">
        <x:f>IF(S134="","",IFERROR(INDEX('درخت جدید'!$C:$C,MATCH(S134&amp;"",'درخت جدید'!$B:$B,0)),"(ساخته می‌شود) "&amp;V134))</x:f>
      </x:c>
      <x:c r="U134" s="22">
        <x:f>IF(S134="",IF(N134="بله","الزامی — تکمیل نشده",""),IF(AND(O134&lt;&gt;"",LEFT(S134&amp;"",4)&lt;&gt;O134),"زیر کل دیگری است — کل یا معین را اصلاح کنید",IF(AND(S134=P134,FALSE,W134=""),"تداخل: کد "&amp;S134&amp;" در برگهٔ درخت جدید با نام «"&amp;T134&amp;"» از قبل تعریف شده",IF(COUNTIFS('درخت جدید'!$B:$B,S134&amp;"",'درخت جدید'!$A:$A,"معین")=0,IF(V134="","کد در درخت نیست — نام برای تعریف را بنویسید","OK"),"OK"))))</x:f>
      </x:c>
      <x:c r="V134" s="27">
        <x:f>IF(S134="","",IF(COUNTIFS('درخت جدید'!$B:$B,S134&amp;"",'درخت جدید'!$A:$A,"معین")=0,D134,""))</x:f>
      </x:c>
      <x:c r="W134" s="27"/>
      <x:c r="X134" s="38"/>
    </x:row>
    <x:row r="135" spans="1:24">
      <x:c r="A135" s="21" t="s">
        <x:v>34</x:v>
      </x:c>
      <x:c r="B135" s="22" t="s">
        <x:v>197</x:v>
      </x:c>
      <x:c r="C135" s="22" t="s">
        <x:v>35</x:v>
      </x:c>
      <x:c r="D135" s="22" t="s">
        <x:v>360</x:v>
      </x:c>
      <x:c r="E135" s="22" t="s">
        <x:v>194</x:v>
      </x:c>
      <x:c r="F135" s="22" t="s">
        <x:v>194</x:v>
      </x:c>
      <x:c r="G135" s="22" t="s">
        <x:v>199</x:v>
      </x:c>
      <x:c r="H135" s="22">
        <x:v>2</x:v>
      </x:c>
      <x:c r="I135" s="22">
        <x:v>0</x:v>
      </x:c>
      <x:c r="J135" s="22">
        <x:v>0</x:v>
      </x:c>
      <x:c r="K135" s="23">
        <x:v>0</x:v>
      </x:c>
      <x:c r="L135" s="23">
        <x:v>0</x:v>
      </x:c>
      <x:c r="M135" s="23">
        <x:f>K135-L135</x:f>
      </x:c>
      <x:c r="N135" s="22" t="s">
        <x:v>351</x:v>
      </x:c>
      <x:c r="O135" s="24">
        <x:f>IFERROR(INDEX('تطبیق کل'!$J:$J,MATCH(A135&amp;"",'تطبیق کل'!$A:$A,0))&amp;"","")</x:f>
      </x:c>
      <x:c r="P135" s="24">
        <x:f>IF(O135="","",O135&amp;B135)</x:f>
      </x:c>
      <x:c r="Q135" s="24">
        <x:f>IF(P135="","",IFERROR(INDEX('درخت جدید'!$C:$C,MATCH(P135&amp;"",'درخت جدید'!$B:$B,0)),"— در درخت نیست؛ با نام قدیم ساخته می‌شود —"))</x:f>
      </x:c>
      <x:c r="R135" s="25"/>
      <x:c r="S135" s="26">
        <x:f>P135</x:f>
      </x:c>
      <x:c r="T135" s="22">
        <x:f>IF(S135="","",IFERROR(INDEX('درخت جدید'!$C:$C,MATCH(S135&amp;"",'درخت جدید'!$B:$B,0)),"(ساخته می‌شود) "&amp;V135))</x:f>
      </x:c>
      <x:c r="U135" s="22">
        <x:f>IF(S135="",IF(N135="بله","الزامی — تکمیل نشده",""),IF(AND(O135&lt;&gt;"",LEFT(S135&amp;"",4)&lt;&gt;O135),"زیر کل دیگری است — کل یا معین را اصلاح کنید",IF(AND(S135=P135,FALSE,W135=""),"تداخل: کد "&amp;S135&amp;" در برگهٔ درخت جدید با نام «"&amp;T135&amp;"» از قبل تعریف شده",IF(COUNTIFS('درخت جدید'!$B:$B,S135&amp;"",'درخت جدید'!$A:$A,"معین")=0,IF(V135="","کد در درخت نیست — نام برای تعریف را بنویسید","OK"),"OK"))))</x:f>
      </x:c>
      <x:c r="V135" s="27">
        <x:f>IF(S135="","",IF(COUNTIFS('درخت جدید'!$B:$B,S135&amp;"",'درخت جدید'!$A:$A,"معین")=0,D135,""))</x:f>
      </x:c>
      <x:c r="W135" s="27"/>
      <x:c r="X135" s="38"/>
    </x:row>
    <x:row r="136" spans="1:24">
      <x:c r="A136" s="21" t="s">
        <x:v>34</x:v>
      </x:c>
      <x:c r="B136" s="22" t="s">
        <x:v>200</x:v>
      </x:c>
      <x:c r="C136" s="22" t="s">
        <x:v>35</x:v>
      </x:c>
      <x:c r="D136" s="22" t="s">
        <x:v>361</x:v>
      </x:c>
      <x:c r="E136" s="22" t="s">
        <x:v>194</x:v>
      </x:c>
      <x:c r="F136" s="22" t="s">
        <x:v>194</x:v>
      </x:c>
      <x:c r="G136" s="22" t="s">
        <x:v>199</x:v>
      </x:c>
      <x:c r="H136" s="22">
        <x:v>1</x:v>
      </x:c>
      <x:c r="I136" s="22">
        <x:v>0</x:v>
      </x:c>
      <x:c r="J136" s="22">
        <x:v>0</x:v>
      </x:c>
      <x:c r="K136" s="23">
        <x:v>0</x:v>
      </x:c>
      <x:c r="L136" s="23">
        <x:v>0</x:v>
      </x:c>
      <x:c r="M136" s="23">
        <x:f>K136-L136</x:f>
      </x:c>
      <x:c r="N136" s="22" t="s">
        <x:v>351</x:v>
      </x:c>
      <x:c r="O136" s="24">
        <x:f>IFERROR(INDEX('تطبیق کل'!$J:$J,MATCH(A136&amp;"",'تطبیق کل'!$A:$A,0))&amp;"","")</x:f>
      </x:c>
      <x:c r="P136" s="24">
        <x:f>IF(O136="","",O136&amp;B136)</x:f>
      </x:c>
      <x:c r="Q136" s="24">
        <x:f>IF(P136="","",IFERROR(INDEX('درخت جدید'!$C:$C,MATCH(P136&amp;"",'درخت جدید'!$B:$B,0)),"— در درخت نیست؛ با نام قدیم ساخته می‌شود —"))</x:f>
      </x:c>
      <x:c r="R136" s="25"/>
      <x:c r="S136" s="26">
        <x:f>P136</x:f>
      </x:c>
      <x:c r="T136" s="22">
        <x:f>IF(S136="","",IFERROR(INDEX('درخت جدید'!$C:$C,MATCH(S136&amp;"",'درخت جدید'!$B:$B,0)),"(ساخته می‌شود) "&amp;V136))</x:f>
      </x:c>
      <x:c r="U136" s="22">
        <x:f>IF(S136="",IF(N136="بله","الزامی — تکمیل نشده",""),IF(AND(O136&lt;&gt;"",LEFT(S136&amp;"",4)&lt;&gt;O136),"زیر کل دیگری است — کل یا معین را اصلاح کنید",IF(AND(S136=P136,FALSE,W136=""),"تداخل: کد "&amp;S136&amp;" در برگهٔ درخت جدید با نام «"&amp;T136&amp;"» از قبل تعریف شده",IF(COUNTIFS('درخت جدید'!$B:$B,S136&amp;"",'درخت جدید'!$A:$A,"معین")=0,IF(V136="","کد در درخت نیست — نام برای تعریف را بنویسید","OK"),"OK"))))</x:f>
      </x:c>
      <x:c r="V136" s="27">
        <x:f>IF(S136="","",IF(COUNTIFS('درخت جدید'!$B:$B,S136&amp;"",'درخت جدید'!$A:$A,"معین")=0,D136,""))</x:f>
      </x:c>
      <x:c r="W136" s="27"/>
      <x:c r="X136" s="38"/>
    </x:row>
    <x:row r="137" spans="1:24">
      <x:c r="A137" s="21" t="s">
        <x:v>34</x:v>
      </x:c>
      <x:c r="B137" s="22" t="s">
        <x:v>362</x:v>
      </x:c>
      <x:c r="C137" s="22" t="s">
        <x:v>35</x:v>
      </x:c>
      <x:c r="D137" s="22" t="s">
        <x:v>363</x:v>
      </x:c>
      <x:c r="E137" s="22" t="s">
        <x:v>194</x:v>
      </x:c>
      <x:c r="F137" s="22" t="s">
        <x:v>194</x:v>
      </x:c>
      <x:c r="G137" s="22" t="s">
        <x:v>199</x:v>
      </x:c>
      <x:c r="H137" s="22">
        <x:v>1</x:v>
      </x:c>
      <x:c r="I137" s="22">
        <x:v>0</x:v>
      </x:c>
      <x:c r="J137" s="22">
        <x:v>0</x:v>
      </x:c>
      <x:c r="K137" s="23">
        <x:v>0</x:v>
      </x:c>
      <x:c r="L137" s="23">
        <x:v>0</x:v>
      </x:c>
      <x:c r="M137" s="23">
        <x:f>K137-L137</x:f>
      </x:c>
      <x:c r="N137" s="22" t="s">
        <x:v>351</x:v>
      </x:c>
      <x:c r="O137" s="24">
        <x:f>IFERROR(INDEX('تطبیق کل'!$J:$J,MATCH(A137&amp;"",'تطبیق کل'!$A:$A,0))&amp;"","")</x:f>
      </x:c>
      <x:c r="P137" s="24">
        <x:f>IF(O137="","",O137&amp;B137)</x:f>
      </x:c>
      <x:c r="Q137" s="24">
        <x:f>IF(P137="","",IFERROR(INDEX('درخت جدید'!$C:$C,MATCH(P137&amp;"",'درخت جدید'!$B:$B,0)),"— در درخت نیست؛ با نام قدیم ساخته می‌شود —"))</x:f>
      </x:c>
      <x:c r="R137" s="25"/>
      <x:c r="S137" s="26">
        <x:f>P137</x:f>
      </x:c>
      <x:c r="T137" s="22">
        <x:f>IF(S137="","",IFERROR(INDEX('درخت جدید'!$C:$C,MATCH(S137&amp;"",'درخت جدید'!$B:$B,0)),"(ساخته می‌شود) "&amp;V137))</x:f>
      </x:c>
      <x:c r="U137" s="22">
        <x:f>IF(S137="",IF(N137="بله","الزامی — تکمیل نشده",""),IF(AND(O137&lt;&gt;"",LEFT(S137&amp;"",4)&lt;&gt;O137),"زیر کل دیگری است — کل یا معین را اصلاح کنید",IF(AND(S137=P137,FALSE,W137=""),"تداخل: کد "&amp;S137&amp;" در برگهٔ درخت جدید با نام «"&amp;T137&amp;"» از قبل تعریف شده",IF(COUNTIFS('درخت جدید'!$B:$B,S137&amp;"",'درخت جدید'!$A:$A,"معین")=0,IF(V137="","کد در درخت نیست — نام برای تعریف را بنویسید","OK"),"OK"))))</x:f>
      </x:c>
      <x:c r="V137" s="27">
        <x:f>IF(S137="","",IF(COUNTIFS('درخت جدید'!$B:$B,S137&amp;"",'درخت جدید'!$A:$A,"معین")=0,D137,""))</x:f>
      </x:c>
      <x:c r="W137" s="27"/>
      <x:c r="X137" s="38"/>
    </x:row>
    <x:row r="138" spans="1:24">
      <x:c r="A138" s="21" t="s">
        <x:v>34</x:v>
      </x:c>
      <x:c r="B138" s="22" t="s">
        <x:v>364</x:v>
      </x:c>
      <x:c r="C138" s="22" t="s">
        <x:v>35</x:v>
      </x:c>
      <x:c r="D138" s="22" t="s">
        <x:v>365</x:v>
      </x:c>
      <x:c r="E138" s="22" t="s">
        <x:v>194</x:v>
      </x:c>
      <x:c r="F138" s="22" t="s">
        <x:v>194</x:v>
      </x:c>
      <x:c r="G138" s="22" t="s">
        <x:v>199</x:v>
      </x:c>
      <x:c r="H138" s="22">
        <x:v>1</x:v>
      </x:c>
      <x:c r="I138" s="22">
        <x:v>0</x:v>
      </x:c>
      <x:c r="J138" s="22">
        <x:v>0</x:v>
      </x:c>
      <x:c r="K138" s="23">
        <x:v>0</x:v>
      </x:c>
      <x:c r="L138" s="23">
        <x:v>0</x:v>
      </x:c>
      <x:c r="M138" s="23">
        <x:f>K138-L138</x:f>
      </x:c>
      <x:c r="N138" s="22" t="s">
        <x:v>351</x:v>
      </x:c>
      <x:c r="O138" s="24">
        <x:f>IFERROR(INDEX('تطبیق کل'!$J:$J,MATCH(A138&amp;"",'تطبیق کل'!$A:$A,0))&amp;"","")</x:f>
      </x:c>
      <x:c r="P138" s="24">
        <x:f>IF(O138="","",O138&amp;B138)</x:f>
      </x:c>
      <x:c r="Q138" s="24">
        <x:f>IF(P138="","",IFERROR(INDEX('درخت جدید'!$C:$C,MATCH(P138&amp;"",'درخت جدید'!$B:$B,0)),"— در درخت نیست؛ با نام قدیم ساخته می‌شود —"))</x:f>
      </x:c>
      <x:c r="R138" s="25"/>
      <x:c r="S138" s="26">
        <x:f>P138</x:f>
      </x:c>
      <x:c r="T138" s="22">
        <x:f>IF(S138="","",IFERROR(INDEX('درخت جدید'!$C:$C,MATCH(S138&amp;"",'درخت جدید'!$B:$B,0)),"(ساخته می‌شود) "&amp;V138))</x:f>
      </x:c>
      <x:c r="U138" s="22">
        <x:f>IF(S138="",IF(N138="بله","الزامی — تکمیل نشده",""),IF(AND(O138&lt;&gt;"",LEFT(S138&amp;"",4)&lt;&gt;O138),"زیر کل دیگری است — کل یا معین را اصلاح کنید",IF(AND(S138=P138,FALSE,W138=""),"تداخل: کد "&amp;S138&amp;" در برگهٔ درخت جدید با نام «"&amp;T138&amp;"» از قبل تعریف شده",IF(COUNTIFS('درخت جدید'!$B:$B,S138&amp;"",'درخت جدید'!$A:$A,"معین")=0,IF(V138="","کد در درخت نیست — نام برای تعریف را بنویسید","OK"),"OK"))))</x:f>
      </x:c>
      <x:c r="V138" s="27">
        <x:f>IF(S138="","",IF(COUNTIFS('درخت جدید'!$B:$B,S138&amp;"",'درخت جدید'!$A:$A,"معین")=0,D138,""))</x:f>
      </x:c>
      <x:c r="W138" s="27"/>
      <x:c r="X138" s="38"/>
    </x:row>
    <x:row r="139" spans="1:24">
      <x:c r="A139" s="21" t="s">
        <x:v>34</x:v>
      </x:c>
      <x:c r="B139" s="22" t="s">
        <x:v>158</x:v>
      </x:c>
      <x:c r="C139" s="22" t="s">
        <x:v>35</x:v>
      </x:c>
      <x:c r="D139" s="22" t="s">
        <x:v>366</x:v>
      </x:c>
      <x:c r="E139" s="22" t="s">
        <x:v>194</x:v>
      </x:c>
      <x:c r="F139" s="22" t="s">
        <x:v>194</x:v>
      </x:c>
      <x:c r="G139" s="22" t="s">
        <x:v>199</x:v>
      </x:c>
      <x:c r="H139" s="22">
        <x:v>1</x:v>
      </x:c>
      <x:c r="I139" s="22">
        <x:v>0</x:v>
      </x:c>
      <x:c r="J139" s="22">
        <x:v>0</x:v>
      </x:c>
      <x:c r="K139" s="23">
        <x:v>0</x:v>
      </x:c>
      <x:c r="L139" s="23">
        <x:v>0</x:v>
      </x:c>
      <x:c r="M139" s="23">
        <x:f>K139-L139</x:f>
      </x:c>
      <x:c r="N139" s="22" t="s">
        <x:v>351</x:v>
      </x:c>
      <x:c r="O139" s="24">
        <x:f>IFERROR(INDEX('تطبیق کل'!$J:$J,MATCH(A139&amp;"",'تطبیق کل'!$A:$A,0))&amp;"","")</x:f>
      </x:c>
      <x:c r="P139" s="24">
        <x:f>IF(O139="","",O139&amp;B139)</x:f>
      </x:c>
      <x:c r="Q139" s="24">
        <x:f>IF(P139="","",IFERROR(INDEX('درخت جدید'!$C:$C,MATCH(P139&amp;"",'درخت جدید'!$B:$B,0)),"— در درخت نیست؛ با نام قدیم ساخته می‌شود —"))</x:f>
      </x:c>
      <x:c r="R139" s="25"/>
      <x:c r="S139" s="26">
        <x:f>P139</x:f>
      </x:c>
      <x:c r="T139" s="22">
        <x:f>IF(S139="","",IFERROR(INDEX('درخت جدید'!$C:$C,MATCH(S139&amp;"",'درخت جدید'!$B:$B,0)),"(ساخته می‌شود) "&amp;V139))</x:f>
      </x:c>
      <x:c r="U139" s="22">
        <x:f>IF(S139="",IF(N139="بله","الزامی — تکمیل نشده",""),IF(AND(O139&lt;&gt;"",LEFT(S139&amp;"",4)&lt;&gt;O139),"زیر کل دیگری است — کل یا معین را اصلاح کنید",IF(AND(S139=P139,FALSE,W139=""),"تداخل: کد "&amp;S139&amp;" در برگهٔ درخت جدید با نام «"&amp;T139&amp;"» از قبل تعریف شده",IF(COUNTIFS('درخت جدید'!$B:$B,S139&amp;"",'درخت جدید'!$A:$A,"معین")=0,IF(V139="","کد در درخت نیست — نام برای تعریف را بنویسید","OK"),"OK"))))</x:f>
      </x:c>
      <x:c r="V139" s="27">
        <x:f>IF(S139="","",IF(COUNTIFS('درخت جدید'!$B:$B,S139&amp;"",'درخت جدید'!$A:$A,"معین")=0,D139,""))</x:f>
      </x:c>
      <x:c r="W139" s="27"/>
      <x:c r="X139" s="38"/>
    </x:row>
    <x:row r="140" spans="1:24">
      <x:c r="A140" s="21" t="s">
        <x:v>41</x:v>
      </x:c>
      <x:c r="B140" s="22" t="s">
        <x:v>237</x:v>
      </x:c>
      <x:c r="C140" s="22" t="s">
        <x:v>42</x:v>
      </x:c>
      <x:c r="D140" s="22" t="s">
        <x:v>367</x:v>
      </x:c>
      <x:c r="E140" s="22" t="s">
        <x:v>194</x:v>
      </x:c>
      <x:c r="F140" s="22" t="s">
        <x:v>194</x:v>
      </x:c>
      <x:c r="G140" s="22" t="s">
        <x:v>199</x:v>
      </x:c>
      <x:c r="H140" s="22">
        <x:v>1</x:v>
      </x:c>
      <x:c r="I140" s="22">
        <x:v>0</x:v>
      </x:c>
      <x:c r="J140" s="22">
        <x:v>0</x:v>
      </x:c>
      <x:c r="K140" s="23">
        <x:v>0</x:v>
      </x:c>
      <x:c r="L140" s="23">
        <x:v>0</x:v>
      </x:c>
      <x:c r="M140" s="23">
        <x:f>K140-L140</x:f>
      </x:c>
      <x:c r="N140" s="22" t="s">
        <x:v>351</x:v>
      </x:c>
      <x:c r="O140" s="24">
        <x:f>IFERROR(INDEX('تطبیق کل'!$J:$J,MATCH(A140&amp;"",'تطبیق کل'!$A:$A,0))&amp;"","")</x:f>
      </x:c>
      <x:c r="P140" s="24">
        <x:f>IF(O140="","",O140&amp;B140)</x:f>
      </x:c>
      <x:c r="Q140" s="24">
        <x:f>IF(P140="","",IFERROR(INDEX('درخت جدید'!$C:$C,MATCH(P140&amp;"",'درخت جدید'!$B:$B,0)),"— در درخت نیست؛ با نام قدیم ساخته می‌شود —"))</x:f>
      </x:c>
      <x:c r="R140" s="25"/>
      <x:c r="S140" s="26">
        <x:f>P140</x:f>
      </x:c>
      <x:c r="T140" s="22">
        <x:f>IF(S140="","",IFERROR(INDEX('درخت جدید'!$C:$C,MATCH(S140&amp;"",'درخت جدید'!$B:$B,0)),"(ساخته می‌شود) "&amp;V140))</x:f>
      </x:c>
      <x:c r="U140" s="22">
        <x:f>IF(S140="",IF(N140="بله","الزامی — تکمیل نشده",""),IF(AND(O140&lt;&gt;"",LEFT(S140&amp;"",4)&lt;&gt;O140),"زیر کل دیگری است — کل یا معین را اصلاح کنید",IF(AND(S140=P140,FALSE,W140=""),"تداخل: کد "&amp;S140&amp;" در برگهٔ درخت جدید با نام «"&amp;T140&amp;"» از قبل تعریف شده",IF(COUNTIFS('درخت جدید'!$B:$B,S140&amp;"",'درخت جدید'!$A:$A,"معین")=0,IF(V140="","کد در درخت نیست — نام برای تعریف را بنویسید","OK"),"OK"))))</x:f>
      </x:c>
      <x:c r="V140" s="27">
        <x:f>IF(S140="","",IF(COUNTIFS('درخت جدید'!$B:$B,S140&amp;"",'درخت جدید'!$A:$A,"معین")=0,D140,""))</x:f>
      </x:c>
      <x:c r="W140" s="27"/>
      <x:c r="X140" s="38"/>
    </x:row>
    <x:row r="141" spans="1:24">
      <x:c r="A141" s="21" t="s">
        <x:v>41</x:v>
      </x:c>
      <x:c r="B141" s="22" t="s">
        <x:v>202</x:v>
      </x:c>
      <x:c r="C141" s="22" t="s">
        <x:v>42</x:v>
      </x:c>
      <x:c r="D141" s="22" t="s">
        <x:v>368</x:v>
      </x:c>
      <x:c r="E141" s="22" t="s">
        <x:v>194</x:v>
      </x:c>
      <x:c r="F141" s="22" t="s">
        <x:v>194</x:v>
      </x:c>
      <x:c r="G141" s="22" t="s">
        <x:v>199</x:v>
      </x:c>
      <x:c r="H141" s="22">
        <x:v>7</x:v>
      </x:c>
      <x:c r="I141" s="22">
        <x:v>0</x:v>
      </x:c>
      <x:c r="J141" s="22">
        <x:v>0</x:v>
      </x:c>
      <x:c r="K141" s="23">
        <x:v>0</x:v>
      </x:c>
      <x:c r="L141" s="23">
        <x:v>0</x:v>
      </x:c>
      <x:c r="M141" s="23">
        <x:f>K141-L141</x:f>
      </x:c>
      <x:c r="N141" s="22" t="s">
        <x:v>351</x:v>
      </x:c>
      <x:c r="O141" s="24">
        <x:f>IFERROR(INDEX('تطبیق کل'!$J:$J,MATCH(A141&amp;"",'تطبیق کل'!$A:$A,0))&amp;"","")</x:f>
      </x:c>
      <x:c r="P141" s="24">
        <x:f>IF(O141="","",O141&amp;B141)</x:f>
      </x:c>
      <x:c r="Q141" s="24">
        <x:f>IF(P141="","",IFERROR(INDEX('درخت جدید'!$C:$C,MATCH(P141&amp;"",'درخت جدید'!$B:$B,0)),"— در درخت نیست؛ با نام قدیم ساخته می‌شود —"))</x:f>
      </x:c>
      <x:c r="R141" s="25">
        <x:v>0.43</x:v>
      </x:c>
      <x:c r="S141" s="26">
        <x:f>P141</x:f>
      </x:c>
      <x:c r="T141" s="22">
        <x:f>IF(S141="","",IFERROR(INDEX('درخت جدید'!$C:$C,MATCH(S141&amp;"",'درخت جدید'!$B:$B,0)),"(ساخته می‌شود) "&amp;V141))</x:f>
      </x:c>
      <x:c r="U141" s="22">
        <x:f>IF(S141="",IF(N141="بله","الزامی — تکمیل نشده",""),IF(AND(O141&lt;&gt;"",LEFT(S141&amp;"",4)&lt;&gt;O141),"زیر کل دیگری است — کل یا معین را اصلاح کنید",IF(AND(S141=P141,TRUE,W141=""),"تداخل: کد "&amp;S141&amp;" در برگهٔ درخت جدید با نام «"&amp;T141&amp;"» از قبل تعریف شده",IF(COUNTIFS('درخت جدید'!$B:$B,S141&amp;"",'درخت جدید'!$A:$A,"معین")=0,IF(V141="","کد در درخت نیست — نام برای تعریف را بنویسید","OK"),"OK"))))</x:f>
      </x:c>
      <x:c r="V141" s="27">
        <x:f>IF(S141="","",IF(COUNTIFS('درخت جدید'!$B:$B,S141&amp;"",'درخت جدید'!$A:$A,"معین")=0,D141,""))</x:f>
      </x:c>
      <x:c r="W141" s="27"/>
      <x:c r="X141" s="38"/>
    </x:row>
    <x:row r="142" spans="1:24">
      <x:c r="A142" s="21" t="s">
        <x:v>41</x:v>
      </x:c>
      <x:c r="B142" s="22" t="s">
        <x:v>21</x:v>
      </x:c>
      <x:c r="C142" s="22" t="s">
        <x:v>42</x:v>
      </x:c>
      <x:c r="D142" s="22" t="s">
        <x:v>369</x:v>
      </x:c>
      <x:c r="E142" s="22" t="s">
        <x:v>194</x:v>
      </x:c>
      <x:c r="F142" s="22" t="s">
        <x:v>194</x:v>
      </x:c>
      <x:c r="G142" s="22" t="s">
        <x:v>199</x:v>
      </x:c>
      <x:c r="H142" s="22">
        <x:v>1</x:v>
      </x:c>
      <x:c r="I142" s="22">
        <x:v>0</x:v>
      </x:c>
      <x:c r="J142" s="22">
        <x:v>0</x:v>
      </x:c>
      <x:c r="K142" s="23">
        <x:v>0</x:v>
      </x:c>
      <x:c r="L142" s="23">
        <x:v>0</x:v>
      </x:c>
      <x:c r="M142" s="23">
        <x:f>K142-L142</x:f>
      </x:c>
      <x:c r="N142" s="22" t="s">
        <x:v>351</x:v>
      </x:c>
      <x:c r="O142" s="24">
        <x:f>IFERROR(INDEX('تطبیق کل'!$J:$J,MATCH(A142&amp;"",'تطبیق کل'!$A:$A,0))&amp;"","")</x:f>
      </x:c>
      <x:c r="P142" s="24">
        <x:f>IF(O142="","",O142&amp;B142)</x:f>
      </x:c>
      <x:c r="Q142" s="24">
        <x:f>IF(P142="","",IFERROR(INDEX('درخت جدید'!$C:$C,MATCH(P142&amp;"",'درخت جدید'!$B:$B,0)),"— در درخت نیست؛ با نام قدیم ساخته می‌شود —"))</x:f>
      </x:c>
      <x:c r="R142" s="25"/>
      <x:c r="S142" s="26">
        <x:f>P142</x:f>
      </x:c>
      <x:c r="T142" s="22">
        <x:f>IF(S142="","",IFERROR(INDEX('درخت جدید'!$C:$C,MATCH(S142&amp;"",'درخت جدید'!$B:$B,0)),"(ساخته می‌شود) "&amp;V142))</x:f>
      </x:c>
      <x:c r="U142" s="22">
        <x:f>IF(S142="",IF(N142="بله","الزامی — تکمیل نشده",""),IF(AND(O142&lt;&gt;"",LEFT(S142&amp;"",4)&lt;&gt;O142),"زیر کل دیگری است — کل یا معین را اصلاح کنید",IF(AND(S142=P142,FALSE,W142=""),"تداخل: کد "&amp;S142&amp;" در برگهٔ درخت جدید با نام «"&amp;T142&amp;"» از قبل تعریف شده",IF(COUNTIFS('درخت جدید'!$B:$B,S142&amp;"",'درخت جدید'!$A:$A,"معین")=0,IF(V142="","کد در درخت نیست — نام برای تعریف را بنویسید","OK"),"OK"))))</x:f>
      </x:c>
      <x:c r="V142" s="27">
        <x:f>IF(S142="","",IF(COUNTIFS('درخت جدید'!$B:$B,S142&amp;"",'درخت جدید'!$A:$A,"معین")=0,D142,""))</x:f>
      </x:c>
      <x:c r="W142" s="27"/>
      <x:c r="X142" s="38"/>
    </x:row>
    <x:row r="143" spans="1:24">
      <x:c r="A143" s="21" t="s">
        <x:v>41</x:v>
      </x:c>
      <x:c r="B143" s="22" t="s">
        <x:v>24</x:v>
      </x:c>
      <x:c r="C143" s="22" t="s">
        <x:v>42</x:v>
      </x:c>
      <x:c r="D143" s="22" t="s">
        <x:v>370</x:v>
      </x:c>
      <x:c r="E143" s="22" t="s">
        <x:v>194</x:v>
      </x:c>
      <x:c r="F143" s="22" t="s">
        <x:v>194</x:v>
      </x:c>
      <x:c r="G143" s="22" t="s">
        <x:v>199</x:v>
      </x:c>
      <x:c r="H143" s="22">
        <x:v>8</x:v>
      </x:c>
      <x:c r="I143" s="22">
        <x:v>0</x:v>
      </x:c>
      <x:c r="J143" s="22">
        <x:v>0</x:v>
      </x:c>
      <x:c r="K143" s="23">
        <x:v>0</x:v>
      </x:c>
      <x:c r="L143" s="23">
        <x:v>0</x:v>
      </x:c>
      <x:c r="M143" s="23">
        <x:f>K143-L143</x:f>
      </x:c>
      <x:c r="N143" s="22" t="s">
        <x:v>351</x:v>
      </x:c>
      <x:c r="O143" s="24">
        <x:f>IFERROR(INDEX('تطبیق کل'!$J:$J,MATCH(A143&amp;"",'تطبیق کل'!$A:$A,0))&amp;"","")</x:f>
      </x:c>
      <x:c r="P143" s="24">
        <x:f>IF(O143="","",O143&amp;B143)</x:f>
      </x:c>
      <x:c r="Q143" s="24">
        <x:f>IF(P143="","",IFERROR(INDEX('درخت جدید'!$C:$C,MATCH(P143&amp;"",'درخت جدید'!$B:$B,0)),"— در درخت نیست؛ با نام قدیم ساخته می‌شود —"))</x:f>
      </x:c>
      <x:c r="R143" s="25"/>
      <x:c r="S143" s="26">
        <x:f>P143</x:f>
      </x:c>
      <x:c r="T143" s="22">
        <x:f>IF(S143="","",IFERROR(INDEX('درخت جدید'!$C:$C,MATCH(S143&amp;"",'درخت جدید'!$B:$B,0)),"(ساخته می‌شود) "&amp;V143))</x:f>
      </x:c>
      <x:c r="U143" s="22">
        <x:f>IF(S143="",IF(N143="بله","الزامی — تکمیل نشده",""),IF(AND(O143&lt;&gt;"",LEFT(S143&amp;"",4)&lt;&gt;O143),"زیر کل دیگری است — کل یا معین را اصلاح کنید",IF(AND(S143=P143,FALSE,W143=""),"تداخل: کد "&amp;S143&amp;" در برگهٔ درخت جدید با نام «"&amp;T143&amp;"» از قبل تعریف شده",IF(COUNTIFS('درخت جدید'!$B:$B,S143&amp;"",'درخت جدید'!$A:$A,"معین")=0,IF(V143="","کد در درخت نیست — نام برای تعریف را بنویسید","OK"),"OK"))))</x:f>
      </x:c>
      <x:c r="V143" s="27">
        <x:f>IF(S143="","",IF(COUNTIFS('درخت جدید'!$B:$B,S143&amp;"",'درخت جدید'!$A:$A,"معین")=0,D143,""))</x:f>
      </x:c>
      <x:c r="W143" s="27"/>
      <x:c r="X143" s="38"/>
    </x:row>
    <x:row r="144" spans="1:24">
      <x:c r="A144" s="21" t="s">
        <x:v>41</x:v>
      </x:c>
      <x:c r="B144" s="22" t="s">
        <x:v>27</x:v>
      </x:c>
      <x:c r="C144" s="22" t="s">
        <x:v>42</x:v>
      </x:c>
      <x:c r="D144" s="22" t="s">
        <x:v>371</x:v>
      </x:c>
      <x:c r="E144" s="22" t="s">
        <x:v>194</x:v>
      </x:c>
      <x:c r="F144" s="22" t="s">
        <x:v>194</x:v>
      </x:c>
      <x:c r="G144" s="22" t="s">
        <x:v>199</x:v>
      </x:c>
      <x:c r="H144" s="22">
        <x:v>2</x:v>
      </x:c>
      <x:c r="I144" s="22">
        <x:v>0</x:v>
      </x:c>
      <x:c r="J144" s="22">
        <x:v>0</x:v>
      </x:c>
      <x:c r="K144" s="23">
        <x:v>0</x:v>
      </x:c>
      <x:c r="L144" s="23">
        <x:v>0</x:v>
      </x:c>
      <x:c r="M144" s="23">
        <x:f>K144-L144</x:f>
      </x:c>
      <x:c r="N144" s="22" t="s">
        <x:v>351</x:v>
      </x:c>
      <x:c r="O144" s="24">
        <x:f>IFERROR(INDEX('تطبیق کل'!$J:$J,MATCH(A144&amp;"",'تطبیق کل'!$A:$A,0))&amp;"","")</x:f>
      </x:c>
      <x:c r="P144" s="24">
        <x:f>IF(O144="","",O144&amp;B144)</x:f>
      </x:c>
      <x:c r="Q144" s="24">
        <x:f>IF(P144="","",IFERROR(INDEX('درخت جدید'!$C:$C,MATCH(P144&amp;"",'درخت جدید'!$B:$B,0)),"— در درخت نیست؛ با نام قدیم ساخته می‌شود —"))</x:f>
      </x:c>
      <x:c r="R144" s="25"/>
      <x:c r="S144" s="26">
        <x:f>P144</x:f>
      </x:c>
      <x:c r="T144" s="22">
        <x:f>IF(S144="","",IFERROR(INDEX('درخت جدید'!$C:$C,MATCH(S144&amp;"",'درخت جدید'!$B:$B,0)),"(ساخته می‌شود) "&amp;V144))</x:f>
      </x:c>
      <x:c r="U144" s="22">
        <x:f>IF(S144="",IF(N144="بله","الزامی — تکمیل نشده",""),IF(AND(O144&lt;&gt;"",LEFT(S144&amp;"",4)&lt;&gt;O144),"زیر کل دیگری است — کل یا معین را اصلاح کنید",IF(AND(S144=P144,FALSE,W144=""),"تداخل: کد "&amp;S144&amp;" در برگهٔ درخت جدید با نام «"&amp;T144&amp;"» از قبل تعریف شده",IF(COUNTIFS('درخت جدید'!$B:$B,S144&amp;"",'درخت جدید'!$A:$A,"معین")=0,IF(V144="","کد در درخت نیست — نام برای تعریف را بنویسید","OK"),"OK"))))</x:f>
      </x:c>
      <x:c r="V144" s="27">
        <x:f>IF(S144="","",IF(COUNTIFS('درخت جدید'!$B:$B,S144&amp;"",'درخت جدید'!$A:$A,"معین")=0,D144,""))</x:f>
      </x:c>
      <x:c r="W144" s="27"/>
      <x:c r="X144" s="38"/>
    </x:row>
    <x:row r="145" spans="1:24">
      <x:c r="A145" s="21" t="s">
        <x:v>41</x:v>
      </x:c>
      <x:c r="B145" s="22" t="s">
        <x:v>245</x:v>
      </x:c>
      <x:c r="C145" s="22" t="s">
        <x:v>42</x:v>
      </x:c>
      <x:c r="D145" s="22" t="s">
        <x:v>372</x:v>
      </x:c>
      <x:c r="E145" s="22" t="s">
        <x:v>194</x:v>
      </x:c>
      <x:c r="F145" s="22" t="s">
        <x:v>194</x:v>
      </x:c>
      <x:c r="G145" s="22" t="s">
        <x:v>199</x:v>
      </x:c>
      <x:c r="H145" s="22">
        <x:v>2</x:v>
      </x:c>
      <x:c r="I145" s="22">
        <x:v>0</x:v>
      </x:c>
      <x:c r="J145" s="22">
        <x:v>0</x:v>
      </x:c>
      <x:c r="K145" s="23">
        <x:v>0</x:v>
      </x:c>
      <x:c r="L145" s="23">
        <x:v>0</x:v>
      </x:c>
      <x:c r="M145" s="23">
        <x:f>K145-L145</x:f>
      </x:c>
      <x:c r="N145" s="22" t="s">
        <x:v>351</x:v>
      </x:c>
      <x:c r="O145" s="24">
        <x:f>IFERROR(INDEX('تطبیق کل'!$J:$J,MATCH(A145&amp;"",'تطبیق کل'!$A:$A,0))&amp;"","")</x:f>
      </x:c>
      <x:c r="P145" s="24">
        <x:f>IF(O145="","",O145&amp;B145)</x:f>
      </x:c>
      <x:c r="Q145" s="24">
        <x:f>IF(P145="","",IFERROR(INDEX('درخت جدید'!$C:$C,MATCH(P145&amp;"",'درخت جدید'!$B:$B,0)),"— در درخت نیست؛ با نام قدیم ساخته می‌شود —"))</x:f>
      </x:c>
      <x:c r="R145" s="25"/>
      <x:c r="S145" s="26">
        <x:f>P145</x:f>
      </x:c>
      <x:c r="T145" s="22">
        <x:f>IF(S145="","",IFERROR(INDEX('درخت جدید'!$C:$C,MATCH(S145&amp;"",'درخت جدید'!$B:$B,0)),"(ساخته می‌شود) "&amp;V145))</x:f>
      </x:c>
      <x:c r="U145" s="22">
        <x:f>IF(S145="",IF(N145="بله","الزامی — تکمیل نشده",""),IF(AND(O145&lt;&gt;"",LEFT(S145&amp;"",4)&lt;&gt;O145),"زیر کل دیگری است — کل یا معین را اصلاح کنید",IF(AND(S145=P145,FALSE,W145=""),"تداخل: کد "&amp;S145&amp;" در برگهٔ درخت جدید با نام «"&amp;T145&amp;"» از قبل تعریف شده",IF(COUNTIFS('درخت جدید'!$B:$B,S145&amp;"",'درخت جدید'!$A:$A,"معین")=0,IF(V145="","کد در درخت نیست — نام برای تعریف را بنویسید","OK"),"OK"))))</x:f>
      </x:c>
      <x:c r="V145" s="27">
        <x:f>IF(S145="","",IF(COUNTIFS('درخت جدید'!$B:$B,S145&amp;"",'درخت جدید'!$A:$A,"معین")=0,D145,""))</x:f>
      </x:c>
      <x:c r="W145" s="27"/>
      <x:c r="X145" s="38"/>
    </x:row>
    <x:row r="146" spans="1:24">
      <x:c r="A146" s="21" t="s">
        <x:v>41</x:v>
      </x:c>
      <x:c r="B146" s="22" t="s">
        <x:v>315</x:v>
      </x:c>
      <x:c r="C146" s="22" t="s">
        <x:v>42</x:v>
      </x:c>
      <x:c r="D146" s="22" t="s">
        <x:v>373</x:v>
      </x:c>
      <x:c r="E146" s="22" t="s">
        <x:v>194</x:v>
      </x:c>
      <x:c r="F146" s="22" t="s">
        <x:v>194</x:v>
      </x:c>
      <x:c r="G146" s="22" t="s">
        <x:v>199</x:v>
      </x:c>
      <x:c r="H146" s="22">
        <x:v>1</x:v>
      </x:c>
      <x:c r="I146" s="22">
        <x:v>0</x:v>
      </x:c>
      <x:c r="J146" s="22">
        <x:v>0</x:v>
      </x:c>
      <x:c r="K146" s="23">
        <x:v>0</x:v>
      </x:c>
      <x:c r="L146" s="23">
        <x:v>0</x:v>
      </x:c>
      <x:c r="M146" s="23">
        <x:f>K146-L146</x:f>
      </x:c>
      <x:c r="N146" s="22" t="s">
        <x:v>351</x:v>
      </x:c>
      <x:c r="O146" s="24">
        <x:f>IFERROR(INDEX('تطبیق کل'!$J:$J,MATCH(A146&amp;"",'تطبیق کل'!$A:$A,0))&amp;"","")</x:f>
      </x:c>
      <x:c r="P146" s="24">
        <x:f>IF(O146="","",O146&amp;B146)</x:f>
      </x:c>
      <x:c r="Q146" s="24">
        <x:f>IF(P146="","",IFERROR(INDEX('درخت جدید'!$C:$C,MATCH(P146&amp;"",'درخت جدید'!$B:$B,0)),"— در درخت نیست؛ با نام قدیم ساخته می‌شود —"))</x:f>
      </x:c>
      <x:c r="R146" s="25"/>
      <x:c r="S146" s="26">
        <x:f>P146</x:f>
      </x:c>
      <x:c r="T146" s="22">
        <x:f>IF(S146="","",IFERROR(INDEX('درخت جدید'!$C:$C,MATCH(S146&amp;"",'درخت جدید'!$B:$B,0)),"(ساخته می‌شود) "&amp;V146))</x:f>
      </x:c>
      <x:c r="U146" s="22">
        <x:f>IF(S146="",IF(N146="بله","الزامی — تکمیل نشده",""),IF(AND(O146&lt;&gt;"",LEFT(S146&amp;"",4)&lt;&gt;O146),"زیر کل دیگری است — کل یا معین را اصلاح کنید",IF(AND(S146=P146,FALSE,W146=""),"تداخل: کد "&amp;S146&amp;" در برگهٔ درخت جدید با نام «"&amp;T146&amp;"» از قبل تعریف شده",IF(COUNTIFS('درخت جدید'!$B:$B,S146&amp;"",'درخت جدید'!$A:$A,"معین")=0,IF(V146="","کد در درخت نیست — نام برای تعریف را بنویسید","OK"),"OK"))))</x:f>
      </x:c>
      <x:c r="V146" s="27">
        <x:f>IF(S146="","",IF(COUNTIFS('درخت جدید'!$B:$B,S146&amp;"",'درخت جدید'!$A:$A,"معین")=0,D146,""))</x:f>
      </x:c>
      <x:c r="W146" s="27"/>
      <x:c r="X146" s="38"/>
    </x:row>
    <x:row r="147" spans="1:24">
      <x:c r="A147" s="21" t="s">
        <x:v>41</x:v>
      </x:c>
      <x:c r="B147" s="22" t="s">
        <x:v>247</x:v>
      </x:c>
      <x:c r="C147" s="22" t="s">
        <x:v>42</x:v>
      </x:c>
      <x:c r="D147" s="22" t="s">
        <x:v>374</x:v>
      </x:c>
      <x:c r="E147" s="22" t="s">
        <x:v>194</x:v>
      </x:c>
      <x:c r="F147" s="22" t="s">
        <x:v>194</x:v>
      </x:c>
      <x:c r="G147" s="22" t="s">
        <x:v>195</x:v>
      </x:c>
      <x:c r="H147" s="22">
        <x:v>1</x:v>
      </x:c>
      <x:c r="I147" s="22">
        <x:v>0</x:v>
      </x:c>
      <x:c r="J147" s="22">
        <x:v>0</x:v>
      </x:c>
      <x:c r="K147" s="23">
        <x:v>0</x:v>
      </x:c>
      <x:c r="L147" s="23">
        <x:v>0</x:v>
      </x:c>
      <x:c r="M147" s="23">
        <x:f>K147-L147</x:f>
      </x:c>
      <x:c r="N147" s="22" t="s">
        <x:v>351</x:v>
      </x:c>
      <x:c r="O147" s="24">
        <x:f>IFERROR(INDEX('تطبیق کل'!$J:$J,MATCH(A147&amp;"",'تطبیق کل'!$A:$A,0))&amp;"","")</x:f>
      </x:c>
      <x:c r="P147" s="24">
        <x:f>IF(O147="","",O147&amp;B147)</x:f>
      </x:c>
      <x:c r="Q147" s="24">
        <x:f>IF(P147="","",IFERROR(INDEX('درخت جدید'!$C:$C,MATCH(P147&amp;"",'درخت جدید'!$B:$B,0)),"— در درخت نیست؛ با نام قدیم ساخته می‌شود —"))</x:f>
      </x:c>
      <x:c r="R147" s="25"/>
      <x:c r="S147" s="26">
        <x:f>P147</x:f>
      </x:c>
      <x:c r="T147" s="22">
        <x:f>IF(S147="","",IFERROR(INDEX('درخت جدید'!$C:$C,MATCH(S147&amp;"",'درخت جدید'!$B:$B,0)),"(ساخته می‌شود) "&amp;V147))</x:f>
      </x:c>
      <x:c r="U147" s="22">
        <x:f>IF(S147="",IF(N147="بله","الزامی — تکمیل نشده",""),IF(AND(O147&lt;&gt;"",LEFT(S147&amp;"",4)&lt;&gt;O147),"زیر کل دیگری است — کل یا معین را اصلاح کنید",IF(AND(S147=P147,FALSE,W147=""),"تداخل: کد "&amp;S147&amp;" در برگهٔ درخت جدید با نام «"&amp;T147&amp;"» از قبل تعریف شده",IF(COUNTIFS('درخت جدید'!$B:$B,S147&amp;"",'درخت جدید'!$A:$A,"معین")=0,IF(V147="","کد در درخت نیست — نام برای تعریف را بنویسید","OK"),"OK"))))</x:f>
      </x:c>
      <x:c r="V147" s="27">
        <x:f>IF(S147="","",IF(COUNTIFS('درخت جدید'!$B:$B,S147&amp;"",'درخت جدید'!$A:$A,"معین")=0,D147,""))</x:f>
      </x:c>
      <x:c r="W147" s="27"/>
      <x:c r="X147" s="38"/>
    </x:row>
    <x:row r="148" spans="1:24">
      <x:c r="A148" s="21" t="s">
        <x:v>41</x:v>
      </x:c>
      <x:c r="B148" s="22" t="s">
        <x:v>207</x:v>
      </x:c>
      <x:c r="C148" s="22" t="s">
        <x:v>42</x:v>
      </x:c>
      <x:c r="D148" s="22" t="s">
        <x:v>375</x:v>
      </x:c>
      <x:c r="E148" s="22" t="s">
        <x:v>194</x:v>
      </x:c>
      <x:c r="F148" s="22" t="s">
        <x:v>194</x:v>
      </x:c>
      <x:c r="G148" s="22" t="s">
        <x:v>199</x:v>
      </x:c>
      <x:c r="H148" s="22">
        <x:v>1</x:v>
      </x:c>
      <x:c r="I148" s="22">
        <x:v>0</x:v>
      </x:c>
      <x:c r="J148" s="22">
        <x:v>0</x:v>
      </x:c>
      <x:c r="K148" s="23">
        <x:v>0</x:v>
      </x:c>
      <x:c r="L148" s="23">
        <x:v>0</x:v>
      </x:c>
      <x:c r="M148" s="23">
        <x:f>K148-L148</x:f>
      </x:c>
      <x:c r="N148" s="22" t="s">
        <x:v>351</x:v>
      </x:c>
      <x:c r="O148" s="24">
        <x:f>IFERROR(INDEX('تطبیق کل'!$J:$J,MATCH(A148&amp;"",'تطبیق کل'!$A:$A,0))&amp;"","")</x:f>
      </x:c>
      <x:c r="P148" s="24">
        <x:f>IF(O148="","",O148&amp;B148)</x:f>
      </x:c>
      <x:c r="Q148" s="24">
        <x:f>IF(P148="","",IFERROR(INDEX('درخت جدید'!$C:$C,MATCH(P148&amp;"",'درخت جدید'!$B:$B,0)),"— در درخت نیست؛ با نام قدیم ساخته می‌شود —"))</x:f>
      </x:c>
      <x:c r="R148" s="25"/>
      <x:c r="S148" s="26">
        <x:f>P148</x:f>
      </x:c>
      <x:c r="T148" s="22">
        <x:f>IF(S148="","",IFERROR(INDEX('درخت جدید'!$C:$C,MATCH(S148&amp;"",'درخت جدید'!$B:$B,0)),"(ساخته می‌شود) "&amp;V148))</x:f>
      </x:c>
      <x:c r="U148" s="22">
        <x:f>IF(S148="",IF(N148="بله","الزامی — تکمیل نشده",""),IF(AND(O148&lt;&gt;"",LEFT(S148&amp;"",4)&lt;&gt;O148),"زیر کل دیگری است — کل یا معین را اصلاح کنید",IF(AND(S148=P148,FALSE,W148=""),"تداخل: کد "&amp;S148&amp;" در برگهٔ درخت جدید با نام «"&amp;T148&amp;"» از قبل تعریف شده",IF(COUNTIFS('درخت جدید'!$B:$B,S148&amp;"",'درخت جدید'!$A:$A,"معین")=0,IF(V148="","کد در درخت نیست — نام برای تعریف را بنویسید","OK"),"OK"))))</x:f>
      </x:c>
      <x:c r="V148" s="27">
        <x:f>IF(S148="","",IF(COUNTIFS('درخت جدید'!$B:$B,S148&amp;"",'درخت جدید'!$A:$A,"معین")=0,D148,""))</x:f>
      </x:c>
      <x:c r="W148" s="27"/>
      <x:c r="X148" s="38"/>
    </x:row>
    <x:row r="149" spans="1:24">
      <x:c r="A149" s="21" t="s">
        <x:v>41</x:v>
      </x:c>
      <x:c r="B149" s="22" t="s">
        <x:v>209</x:v>
      </x:c>
      <x:c r="C149" s="22" t="s">
        <x:v>42</x:v>
      </x:c>
      <x:c r="D149" s="22" t="s">
        <x:v>376</x:v>
      </x:c>
      <x:c r="E149" s="22" t="s">
        <x:v>194</x:v>
      </x:c>
      <x:c r="F149" s="22" t="s">
        <x:v>194</x:v>
      </x:c>
      <x:c r="G149" s="22" t="s">
        <x:v>199</x:v>
      </x:c>
      <x:c r="H149" s="22">
        <x:v>1</x:v>
      </x:c>
      <x:c r="I149" s="22">
        <x:v>0</x:v>
      </x:c>
      <x:c r="J149" s="22">
        <x:v>0</x:v>
      </x:c>
      <x:c r="K149" s="23">
        <x:v>0</x:v>
      </x:c>
      <x:c r="L149" s="23">
        <x:v>0</x:v>
      </x:c>
      <x:c r="M149" s="23">
        <x:f>K149-L149</x:f>
      </x:c>
      <x:c r="N149" s="22" t="s">
        <x:v>351</x:v>
      </x:c>
      <x:c r="O149" s="24">
        <x:f>IFERROR(INDEX('تطبیق کل'!$J:$J,MATCH(A149&amp;"",'تطبیق کل'!$A:$A,0))&amp;"","")</x:f>
      </x:c>
      <x:c r="P149" s="24">
        <x:f>IF(O149="","",O149&amp;B149)</x:f>
      </x:c>
      <x:c r="Q149" s="24">
        <x:f>IF(P149="","",IFERROR(INDEX('درخت جدید'!$C:$C,MATCH(P149&amp;"",'درخت جدید'!$B:$B,0)),"— در درخت نیست؛ با نام قدیم ساخته می‌شود —"))</x:f>
      </x:c>
      <x:c r="R149" s="25"/>
      <x:c r="S149" s="26">
        <x:f>P149</x:f>
      </x:c>
      <x:c r="T149" s="22">
        <x:f>IF(S149="","",IFERROR(INDEX('درخت جدید'!$C:$C,MATCH(S149&amp;"",'درخت جدید'!$B:$B,0)),"(ساخته می‌شود) "&amp;V149))</x:f>
      </x:c>
      <x:c r="U149" s="22">
        <x:f>IF(S149="",IF(N149="بله","الزامی — تکمیل نشده",""),IF(AND(O149&lt;&gt;"",LEFT(S149&amp;"",4)&lt;&gt;O149),"زیر کل دیگری است — کل یا معین را اصلاح کنید",IF(AND(S149=P149,FALSE,W149=""),"تداخل: کد "&amp;S149&amp;" در برگهٔ درخت جدید با نام «"&amp;T149&amp;"» از قبل تعریف شده",IF(COUNTIFS('درخت جدید'!$B:$B,S149&amp;"",'درخت جدید'!$A:$A,"معین")=0,IF(V149="","کد در درخت نیست — نام برای تعریف را بنویسید","OK"),"OK"))))</x:f>
      </x:c>
      <x:c r="V149" s="27">
        <x:f>IF(S149="","",IF(COUNTIFS('درخت جدید'!$B:$B,S149&amp;"",'درخت جدید'!$A:$A,"معین")=0,D149,""))</x:f>
      </x:c>
      <x:c r="W149" s="27"/>
      <x:c r="X149" s="38"/>
    </x:row>
    <x:row r="150" spans="1:24">
      <x:c r="A150" s="21" t="s">
        <x:v>41</x:v>
      </x:c>
      <x:c r="B150" s="22" t="s">
        <x:v>362</x:v>
      </x:c>
      <x:c r="C150" s="22" t="s">
        <x:v>42</x:v>
      </x:c>
      <x:c r="D150" s="22" t="s">
        <x:v>377</x:v>
      </x:c>
      <x:c r="E150" s="22" t="s">
        <x:v>194</x:v>
      </x:c>
      <x:c r="F150" s="22" t="s">
        <x:v>194</x:v>
      </x:c>
      <x:c r="G150" s="22" t="s">
        <x:v>199</x:v>
      </x:c>
      <x:c r="H150" s="22">
        <x:v>1</x:v>
      </x:c>
      <x:c r="I150" s="22">
        <x:v>0</x:v>
      </x:c>
      <x:c r="J150" s="22">
        <x:v>0</x:v>
      </x:c>
      <x:c r="K150" s="23">
        <x:v>0</x:v>
      </x:c>
      <x:c r="L150" s="23">
        <x:v>0</x:v>
      </x:c>
      <x:c r="M150" s="23">
        <x:f>K150-L150</x:f>
      </x:c>
      <x:c r="N150" s="22" t="s">
        <x:v>351</x:v>
      </x:c>
      <x:c r="O150" s="24">
        <x:f>IFERROR(INDEX('تطبیق کل'!$J:$J,MATCH(A150&amp;"",'تطبیق کل'!$A:$A,0))&amp;"","")</x:f>
      </x:c>
      <x:c r="P150" s="24">
        <x:f>IF(O150="","",O150&amp;B150)</x:f>
      </x:c>
      <x:c r="Q150" s="24">
        <x:f>IF(P150="","",IFERROR(INDEX('درخت جدید'!$C:$C,MATCH(P150&amp;"",'درخت جدید'!$B:$B,0)),"— در درخت نیست؛ با نام قدیم ساخته می‌شود —"))</x:f>
      </x:c>
      <x:c r="R150" s="25"/>
      <x:c r="S150" s="26">
        <x:f>P150</x:f>
      </x:c>
      <x:c r="T150" s="22">
        <x:f>IF(S150="","",IFERROR(INDEX('درخت جدید'!$C:$C,MATCH(S150&amp;"",'درخت جدید'!$B:$B,0)),"(ساخته می‌شود) "&amp;V150))</x:f>
      </x:c>
      <x:c r="U150" s="22">
        <x:f>IF(S150="",IF(N150="بله","الزامی — تکمیل نشده",""),IF(AND(O150&lt;&gt;"",LEFT(S150&amp;"",4)&lt;&gt;O150),"زیر کل دیگری است — کل یا معین را اصلاح کنید",IF(AND(S150=P150,FALSE,W150=""),"تداخل: کد "&amp;S150&amp;" در برگهٔ درخت جدید با نام «"&amp;T150&amp;"» از قبل تعریف شده",IF(COUNTIFS('درخت جدید'!$B:$B,S150&amp;"",'درخت جدید'!$A:$A,"معین")=0,IF(V150="","کد در درخت نیست — نام برای تعریف را بنویسید","OK"),"OK"))))</x:f>
      </x:c>
      <x:c r="V150" s="27">
        <x:f>IF(S150="","",IF(COUNTIFS('درخت جدید'!$B:$B,S150&amp;"",'درخت جدید'!$A:$A,"معین")=0,D150,""))</x:f>
      </x:c>
      <x:c r="W150" s="27"/>
      <x:c r="X150" s="38"/>
    </x:row>
    <x:row r="151" spans="1:24">
      <x:c r="A151" s="21" t="s">
        <x:v>41</x:v>
      </x:c>
      <x:c r="B151" s="22" t="s">
        <x:v>211</x:v>
      </x:c>
      <x:c r="C151" s="22" t="s">
        <x:v>42</x:v>
      </x:c>
      <x:c r="D151" s="22" t="s">
        <x:v>378</x:v>
      </x:c>
      <x:c r="E151" s="22" t="s">
        <x:v>194</x:v>
      </x:c>
      <x:c r="F151" s="22" t="s">
        <x:v>194</x:v>
      </x:c>
      <x:c r="G151" s="22" t="s">
        <x:v>199</x:v>
      </x:c>
      <x:c r="H151" s="22">
        <x:v>1</x:v>
      </x:c>
      <x:c r="I151" s="22">
        <x:v>0</x:v>
      </x:c>
      <x:c r="J151" s="22">
        <x:v>0</x:v>
      </x:c>
      <x:c r="K151" s="23">
        <x:v>0</x:v>
      </x:c>
      <x:c r="L151" s="23">
        <x:v>0</x:v>
      </x:c>
      <x:c r="M151" s="23">
        <x:f>K151-L151</x:f>
      </x:c>
      <x:c r="N151" s="22" t="s">
        <x:v>351</x:v>
      </x:c>
      <x:c r="O151" s="24">
        <x:f>IFERROR(INDEX('تطبیق کل'!$J:$J,MATCH(A151&amp;"",'تطبیق کل'!$A:$A,0))&amp;"","")</x:f>
      </x:c>
      <x:c r="P151" s="24">
        <x:f>IF(O151="","",O151&amp;B151)</x:f>
      </x:c>
      <x:c r="Q151" s="24">
        <x:f>IF(P151="","",IFERROR(INDEX('درخت جدید'!$C:$C,MATCH(P151&amp;"",'درخت جدید'!$B:$B,0)),"— در درخت نیست؛ با نام قدیم ساخته می‌شود —"))</x:f>
      </x:c>
      <x:c r="R151" s="25"/>
      <x:c r="S151" s="26">
        <x:f>P151</x:f>
      </x:c>
      <x:c r="T151" s="22">
        <x:f>IF(S151="","",IFERROR(INDEX('درخت جدید'!$C:$C,MATCH(S151&amp;"",'درخت جدید'!$B:$B,0)),"(ساخته می‌شود) "&amp;V151))</x:f>
      </x:c>
      <x:c r="U151" s="22">
        <x:f>IF(S151="",IF(N151="بله","الزامی — تکمیل نشده",""),IF(AND(O151&lt;&gt;"",LEFT(S151&amp;"",4)&lt;&gt;O151),"زیر کل دیگری است — کل یا معین را اصلاح کنید",IF(AND(S151=P151,FALSE,W151=""),"تداخل: کد "&amp;S151&amp;" در برگهٔ درخت جدید با نام «"&amp;T151&amp;"» از قبل تعریف شده",IF(COUNTIFS('درخت جدید'!$B:$B,S151&amp;"",'درخت جدید'!$A:$A,"معین")=0,IF(V151="","کد در درخت نیست — نام برای تعریف را بنویسید","OK"),"OK"))))</x:f>
      </x:c>
      <x:c r="V151" s="27">
        <x:f>IF(S151="","",IF(COUNTIFS('درخت جدید'!$B:$B,S151&amp;"",'درخت جدید'!$A:$A,"معین")=0,D151,""))</x:f>
      </x:c>
      <x:c r="W151" s="27"/>
      <x:c r="X151" s="38"/>
    </x:row>
    <x:row r="152" spans="1:24">
      <x:c r="A152" s="21" t="s">
        <x:v>45</x:v>
      </x:c>
      <x:c r="B152" s="22" t="s">
        <x:v>272</x:v>
      </x:c>
      <x:c r="C152" s="22" t="s">
        <x:v>46</x:v>
      </x:c>
      <x:c r="D152" s="22" t="s">
        <x:v>379</x:v>
      </x:c>
      <x:c r="E152" s="22" t="s">
        <x:v>194</x:v>
      </x:c>
      <x:c r="F152" s="22" t="s">
        <x:v>194</x:v>
      </x:c>
      <x:c r="G152" s="22" t="s">
        <x:v>199</x:v>
      </x:c>
      <x:c r="H152" s="22">
        <x:v>1</x:v>
      </x:c>
      <x:c r="I152" s="22">
        <x:v>0</x:v>
      </x:c>
      <x:c r="J152" s="22">
        <x:v>0</x:v>
      </x:c>
      <x:c r="K152" s="23">
        <x:v>0</x:v>
      </x:c>
      <x:c r="L152" s="23">
        <x:v>0</x:v>
      </x:c>
      <x:c r="M152" s="23">
        <x:f>K152-L152</x:f>
      </x:c>
      <x:c r="N152" s="22" t="s">
        <x:v>351</x:v>
      </x:c>
      <x:c r="O152" s="24">
        <x:f>IFERROR(INDEX('تطبیق کل'!$J:$J,MATCH(A152&amp;"",'تطبیق کل'!$A:$A,0))&amp;"","")</x:f>
      </x:c>
      <x:c r="P152" s="24">
        <x:f>IF(O152="","",O152&amp;B152)</x:f>
      </x:c>
      <x:c r="Q152" s="24">
        <x:f>IF(P152="","",IFERROR(INDEX('درخت جدید'!$C:$C,MATCH(P152&amp;"",'درخت جدید'!$B:$B,0)),"— در درخت نیست؛ با نام قدیم ساخته می‌شود —"))</x:f>
      </x:c>
      <x:c r="R152" s="25"/>
      <x:c r="S152" s="26">
        <x:f>P152</x:f>
      </x:c>
      <x:c r="T152" s="22">
        <x:f>IF(S152="","",IFERROR(INDEX('درخت جدید'!$C:$C,MATCH(S152&amp;"",'درخت جدید'!$B:$B,0)),"(ساخته می‌شود) "&amp;V152))</x:f>
      </x:c>
      <x:c r="U152" s="22">
        <x:f>IF(S152="",IF(N152="بله","الزامی — تکمیل نشده",""),IF(AND(O152&lt;&gt;"",LEFT(S152&amp;"",4)&lt;&gt;O152),"زیر کل دیگری است — کل یا معین را اصلاح کنید",IF(AND(S152=P152,FALSE,W152=""),"تداخل: کد "&amp;S152&amp;" در برگهٔ درخت جدید با نام «"&amp;T152&amp;"» از قبل تعریف شده",IF(COUNTIFS('درخت جدید'!$B:$B,S152&amp;"",'درخت جدید'!$A:$A,"معین")=0,IF(V152="","کد در درخت نیست — نام برای تعریف را بنویسید","OK"),"OK"))))</x:f>
      </x:c>
      <x:c r="V152" s="27">
        <x:f>IF(S152="","",IF(COUNTIFS('درخت جدید'!$B:$B,S152&amp;"",'درخت جدید'!$A:$A,"معین")=0,D152,""))</x:f>
      </x:c>
      <x:c r="W152" s="27"/>
      <x:c r="X152" s="38"/>
    </x:row>
    <x:row r="153" spans="1:24">
      <x:c r="A153" s="21" t="s">
        <x:v>45</x:v>
      </x:c>
      <x:c r="B153" s="22" t="s">
        <x:v>24</x:v>
      </x:c>
      <x:c r="C153" s="22" t="s">
        <x:v>46</x:v>
      </x:c>
      <x:c r="D153" s="22" t="s">
        <x:v>380</x:v>
      </x:c>
      <x:c r="E153" s="22" t="s">
        <x:v>194</x:v>
      </x:c>
      <x:c r="F153" s="22" t="s">
        <x:v>194</x:v>
      </x:c>
      <x:c r="G153" s="22" t="s">
        <x:v>195</x:v>
      </x:c>
      <x:c r="H153" s="22">
        <x:v>2</x:v>
      </x:c>
      <x:c r="I153" s="22">
        <x:v>0</x:v>
      </x:c>
      <x:c r="J153" s="22">
        <x:v>0</x:v>
      </x:c>
      <x:c r="K153" s="23">
        <x:v>0</x:v>
      </x:c>
      <x:c r="L153" s="23">
        <x:v>0</x:v>
      </x:c>
      <x:c r="M153" s="23">
        <x:f>K153-L153</x:f>
      </x:c>
      <x:c r="N153" s="22" t="s">
        <x:v>351</x:v>
      </x:c>
      <x:c r="O153" s="24">
        <x:f>IFERROR(INDEX('تطبیق کل'!$J:$J,MATCH(A153&amp;"",'تطبیق کل'!$A:$A,0))&amp;"","")</x:f>
      </x:c>
      <x:c r="P153" s="24">
        <x:f>IF(O153="","",O153&amp;B153)</x:f>
      </x:c>
      <x:c r="Q153" s="24">
        <x:f>IF(P153="","",IFERROR(INDEX('درخت جدید'!$C:$C,MATCH(P153&amp;"",'درخت جدید'!$B:$B,0)),"— در درخت نیست؛ با نام قدیم ساخته می‌شود —"))</x:f>
      </x:c>
      <x:c r="R153" s="25"/>
      <x:c r="S153" s="26">
        <x:f>P153</x:f>
      </x:c>
      <x:c r="T153" s="22">
        <x:f>IF(S153="","",IFERROR(INDEX('درخت جدید'!$C:$C,MATCH(S153&amp;"",'درخت جدید'!$B:$B,0)),"(ساخته می‌شود) "&amp;V153))</x:f>
      </x:c>
      <x:c r="U153" s="22">
        <x:f>IF(S153="",IF(N153="بله","الزامی — تکمیل نشده",""),IF(AND(O153&lt;&gt;"",LEFT(S153&amp;"",4)&lt;&gt;O153),"زیر کل دیگری است — کل یا معین را اصلاح کنید",IF(AND(S153=P153,FALSE,W153=""),"تداخل: کد "&amp;S153&amp;" در برگهٔ درخت جدید با نام «"&amp;T153&amp;"» از قبل تعریف شده",IF(COUNTIFS('درخت جدید'!$B:$B,S153&amp;"",'درخت جدید'!$A:$A,"معین")=0,IF(V153="","کد در درخت نیست — نام برای تعریف را بنویسید","OK"),"OK"))))</x:f>
      </x:c>
      <x:c r="V153" s="27">
        <x:f>IF(S153="","",IF(COUNTIFS('درخت جدید'!$B:$B,S153&amp;"",'درخت جدید'!$A:$A,"معین")=0,D153,""))</x:f>
      </x:c>
      <x:c r="W153" s="27"/>
      <x:c r="X153" s="38"/>
    </x:row>
    <x:row r="154" spans="1:24">
      <x:c r="A154" s="21" t="s">
        <x:v>45</x:v>
      </x:c>
      <x:c r="B154" s="22" t="s">
        <x:v>34</x:v>
      </x:c>
      <x:c r="C154" s="22" t="s">
        <x:v>46</x:v>
      </x:c>
      <x:c r="D154" s="22" t="s">
        <x:v>381</x:v>
      </x:c>
      <x:c r="E154" s="22" t="s">
        <x:v>194</x:v>
      </x:c>
      <x:c r="F154" s="22" t="s">
        <x:v>194</x:v>
      </x:c>
      <x:c r="G154" s="22" t="s">
        <x:v>199</x:v>
      </x:c>
      <x:c r="H154" s="22">
        <x:v>2</x:v>
      </x:c>
      <x:c r="I154" s="22">
        <x:v>0</x:v>
      </x:c>
      <x:c r="J154" s="22">
        <x:v>0</x:v>
      </x:c>
      <x:c r="K154" s="23">
        <x:v>0</x:v>
      </x:c>
      <x:c r="L154" s="23">
        <x:v>0</x:v>
      </x:c>
      <x:c r="M154" s="23">
        <x:f>K154-L154</x:f>
      </x:c>
      <x:c r="N154" s="22" t="s">
        <x:v>351</x:v>
      </x:c>
      <x:c r="O154" s="24">
        <x:f>IFERROR(INDEX('تطبیق کل'!$J:$J,MATCH(A154&amp;"",'تطبیق کل'!$A:$A,0))&amp;"","")</x:f>
      </x:c>
      <x:c r="P154" s="24">
        <x:f>IF(O154="","",O154&amp;B154)</x:f>
      </x:c>
      <x:c r="Q154" s="24">
        <x:f>IF(P154="","",IFERROR(INDEX('درخت جدید'!$C:$C,MATCH(P154&amp;"",'درخت جدید'!$B:$B,0)),"— در درخت نیست؛ با نام قدیم ساخته می‌شود —"))</x:f>
      </x:c>
      <x:c r="R154" s="25"/>
      <x:c r="S154" s="26">
        <x:f>P154</x:f>
      </x:c>
      <x:c r="T154" s="22">
        <x:f>IF(S154="","",IFERROR(INDEX('درخت جدید'!$C:$C,MATCH(S154&amp;"",'درخت جدید'!$B:$B,0)),"(ساخته می‌شود) "&amp;V154))</x:f>
      </x:c>
      <x:c r="U154" s="22">
        <x:f>IF(S154="",IF(N154="بله","الزامی — تکمیل نشده",""),IF(AND(O154&lt;&gt;"",LEFT(S154&amp;"",4)&lt;&gt;O154),"زیر کل دیگری است — کل یا معین را اصلاح کنید",IF(AND(S154=P154,FALSE,W154=""),"تداخل: کد "&amp;S154&amp;" در برگهٔ درخت جدید با نام «"&amp;T154&amp;"» از قبل تعریف شده",IF(COUNTIFS('درخت جدید'!$B:$B,S154&amp;"",'درخت جدید'!$A:$A,"معین")=0,IF(V154="","کد در درخت نیست — نام برای تعریف را بنویسید","OK"),"OK"))))</x:f>
      </x:c>
      <x:c r="V154" s="27">
        <x:f>IF(S154="","",IF(COUNTIFS('درخت جدید'!$B:$B,S154&amp;"",'درخت جدید'!$A:$A,"معین")=0,D154,""))</x:f>
      </x:c>
      <x:c r="W154" s="27"/>
      <x:c r="X154" s="38"/>
    </x:row>
    <x:row r="155" spans="1:24">
      <x:c r="A155" s="21" t="s">
        <x:v>45</x:v>
      </x:c>
      <x:c r="B155" s="22" t="s">
        <x:v>89</x:v>
      </x:c>
      <x:c r="C155" s="22" t="s">
        <x:v>46</x:v>
      </x:c>
      <x:c r="D155" s="22" t="s">
        <x:v>382</x:v>
      </x:c>
      <x:c r="E155" s="22" t="s">
        <x:v>194</x:v>
      </x:c>
      <x:c r="F155" s="22" t="s">
        <x:v>194</x:v>
      </x:c>
      <x:c r="G155" s="22" t="s">
        <x:v>199</x:v>
      </x:c>
      <x:c r="H155" s="22">
        <x:v>2</x:v>
      </x:c>
      <x:c r="I155" s="22">
        <x:v>0</x:v>
      </x:c>
      <x:c r="J155" s="22">
        <x:v>0</x:v>
      </x:c>
      <x:c r="K155" s="23">
        <x:v>0</x:v>
      </x:c>
      <x:c r="L155" s="23">
        <x:v>0</x:v>
      </x:c>
      <x:c r="M155" s="23">
        <x:f>K155-L155</x:f>
      </x:c>
      <x:c r="N155" s="22" t="s">
        <x:v>351</x:v>
      </x:c>
      <x:c r="O155" s="24">
        <x:f>IFERROR(INDEX('تطبیق کل'!$J:$J,MATCH(A155&amp;"",'تطبیق کل'!$A:$A,0))&amp;"","")</x:f>
      </x:c>
      <x:c r="P155" s="24">
        <x:f>IF(O155="","",O155&amp;B155)</x:f>
      </x:c>
      <x:c r="Q155" s="24">
        <x:f>IF(P155="","",IFERROR(INDEX('درخت جدید'!$C:$C,MATCH(P155&amp;"",'درخت جدید'!$B:$B,0)),"— در درخت نیست؛ با نام قدیم ساخته می‌شود —"))</x:f>
      </x:c>
      <x:c r="R155" s="25"/>
      <x:c r="S155" s="26">
        <x:f>P155</x:f>
      </x:c>
      <x:c r="T155" s="22">
        <x:f>IF(S155="","",IFERROR(INDEX('درخت جدید'!$C:$C,MATCH(S155&amp;"",'درخت جدید'!$B:$B,0)),"(ساخته می‌شود) "&amp;V155))</x:f>
      </x:c>
      <x:c r="U155" s="22">
        <x:f>IF(S155="",IF(N155="بله","الزامی — تکمیل نشده",""),IF(AND(O155&lt;&gt;"",LEFT(S155&amp;"",4)&lt;&gt;O155),"زیر کل دیگری است — کل یا معین را اصلاح کنید",IF(AND(S155=P155,FALSE,W155=""),"تداخل: کد "&amp;S155&amp;" در برگهٔ درخت جدید با نام «"&amp;T155&amp;"» از قبل تعریف شده",IF(COUNTIFS('درخت جدید'!$B:$B,S155&amp;"",'درخت جدید'!$A:$A,"معین")=0,IF(V155="","کد در درخت نیست — نام برای تعریف را بنویسید","OK"),"OK"))))</x:f>
      </x:c>
      <x:c r="V155" s="27">
        <x:f>IF(S155="","",IF(COUNTIFS('درخت جدید'!$B:$B,S155&amp;"",'درخت جدید'!$A:$A,"معین")=0,D155,""))</x:f>
      </x:c>
      <x:c r="W155" s="27"/>
      <x:c r="X155" s="38"/>
    </x:row>
    <x:row r="156" spans="1:24">
      <x:c r="A156" s="21" t="s">
        <x:v>49</x:v>
      </x:c>
      <x:c r="B156" s="22" t="s">
        <x:v>30</x:v>
      </x:c>
      <x:c r="C156" s="22" t="s">
        <x:v>50</x:v>
      </x:c>
      <x:c r="D156" s="22" t="s">
        <x:v>383</x:v>
      </x:c>
      <x:c r="E156" s="22" t="s">
        <x:v>194</x:v>
      </x:c>
      <x:c r="F156" s="22" t="s">
        <x:v>194</x:v>
      </x:c>
      <x:c r="G156" s="22" t="s">
        <x:v>199</x:v>
      </x:c>
      <x:c r="H156" s="22">
        <x:v>1</x:v>
      </x:c>
      <x:c r="I156" s="22">
        <x:v>0</x:v>
      </x:c>
      <x:c r="J156" s="22">
        <x:v>0</x:v>
      </x:c>
      <x:c r="K156" s="23">
        <x:v>0</x:v>
      </x:c>
      <x:c r="L156" s="23">
        <x:v>0</x:v>
      </x:c>
      <x:c r="M156" s="23">
        <x:f>K156-L156</x:f>
      </x:c>
      <x:c r="N156" s="22" t="s">
        <x:v>351</x:v>
      </x:c>
      <x:c r="O156" s="24">
        <x:f>IFERROR(INDEX('تطبیق کل'!$J:$J,MATCH(A156&amp;"",'تطبیق کل'!$A:$A,0))&amp;"","")</x:f>
      </x:c>
      <x:c r="P156" s="24">
        <x:f>IF(O156="","",O156&amp;B156)</x:f>
      </x:c>
      <x:c r="Q156" s="24">
        <x:f>IF(P156="","",IFERROR(INDEX('درخت جدید'!$C:$C,MATCH(P156&amp;"",'درخت جدید'!$B:$B,0)),"— در درخت نیست؛ با نام قدیم ساخته می‌شود —"))</x:f>
      </x:c>
      <x:c r="R156" s="25"/>
      <x:c r="S156" s="26">
        <x:f>P156</x:f>
      </x:c>
      <x:c r="T156" s="22">
        <x:f>IF(S156="","",IFERROR(INDEX('درخت جدید'!$C:$C,MATCH(S156&amp;"",'درخت جدید'!$B:$B,0)),"(ساخته می‌شود) "&amp;V156))</x:f>
      </x:c>
      <x:c r="U156" s="22">
        <x:f>IF(S156="",IF(N156="بله","الزامی — تکمیل نشده",""),IF(AND(O156&lt;&gt;"",LEFT(S156&amp;"",4)&lt;&gt;O156),"زیر کل دیگری است — کل یا معین را اصلاح کنید",IF(AND(S156=P156,FALSE,W156=""),"تداخل: کد "&amp;S156&amp;" در برگهٔ درخت جدید با نام «"&amp;T156&amp;"» از قبل تعریف شده",IF(COUNTIFS('درخت جدید'!$B:$B,S156&amp;"",'درخت جدید'!$A:$A,"معین")=0,IF(V156="","کد در درخت نیست — نام برای تعریف را بنویسید","OK"),"OK"))))</x:f>
      </x:c>
      <x:c r="V156" s="27">
        <x:f>IF(S156="","",IF(COUNTIFS('درخت جدید'!$B:$B,S156&amp;"",'درخت جدید'!$A:$A,"معین")=0,D156,""))</x:f>
      </x:c>
      <x:c r="W156" s="27"/>
      <x:c r="X156" s="38"/>
    </x:row>
    <x:row r="157" spans="1:24">
      <x:c r="A157" s="21" t="s">
        <x:v>49</x:v>
      </x:c>
      <x:c r="B157" s="22" t="s">
        <x:v>205</x:v>
      </x:c>
      <x:c r="C157" s="22" t="s">
        <x:v>50</x:v>
      </x:c>
      <x:c r="D157" s="22" t="s">
        <x:v>384</x:v>
      </x:c>
      <x:c r="E157" s="22" t="s">
        <x:v>194</x:v>
      </x:c>
      <x:c r="F157" s="22" t="s">
        <x:v>194</x:v>
      </x:c>
      <x:c r="G157" s="22" t="s">
        <x:v>199</x:v>
      </x:c>
      <x:c r="H157" s="22">
        <x:v>1</x:v>
      </x:c>
      <x:c r="I157" s="22">
        <x:v>0</x:v>
      </x:c>
      <x:c r="J157" s="22">
        <x:v>0</x:v>
      </x:c>
      <x:c r="K157" s="23">
        <x:v>0</x:v>
      </x:c>
      <x:c r="L157" s="23">
        <x:v>0</x:v>
      </x:c>
      <x:c r="M157" s="23">
        <x:f>K157-L157</x:f>
      </x:c>
      <x:c r="N157" s="22" t="s">
        <x:v>351</x:v>
      </x:c>
      <x:c r="O157" s="24">
        <x:f>IFERROR(INDEX('تطبیق کل'!$J:$J,MATCH(A157&amp;"",'تطبیق کل'!$A:$A,0))&amp;"","")</x:f>
      </x:c>
      <x:c r="P157" s="24">
        <x:f>IF(O157="","",O157&amp;B157)</x:f>
      </x:c>
      <x:c r="Q157" s="24">
        <x:f>IF(P157="","",IFERROR(INDEX('درخت جدید'!$C:$C,MATCH(P157&amp;"",'درخت جدید'!$B:$B,0)),"— در درخت نیست؛ با نام قدیم ساخته می‌شود —"))</x:f>
      </x:c>
      <x:c r="R157" s="25"/>
      <x:c r="S157" s="26">
        <x:f>P157</x:f>
      </x:c>
      <x:c r="T157" s="22">
        <x:f>IF(S157="","",IFERROR(INDEX('درخت جدید'!$C:$C,MATCH(S157&amp;"",'درخت جدید'!$B:$B,0)),"(ساخته می‌شود) "&amp;V157))</x:f>
      </x:c>
      <x:c r="U157" s="22">
        <x:f>IF(S157="",IF(N157="بله","الزامی — تکمیل نشده",""),IF(AND(O157&lt;&gt;"",LEFT(S157&amp;"",4)&lt;&gt;O157),"زیر کل دیگری است — کل یا معین را اصلاح کنید",IF(AND(S157=P157,FALSE,W157=""),"تداخل: کد "&amp;S157&amp;" در برگهٔ درخت جدید با نام «"&amp;T157&amp;"» از قبل تعریف شده",IF(COUNTIFS('درخت جدید'!$B:$B,S157&amp;"",'درخت جدید'!$A:$A,"معین")=0,IF(V157="","کد در درخت نیست — نام برای تعریف را بنویسید","OK"),"OK"))))</x:f>
      </x:c>
      <x:c r="V157" s="27">
        <x:f>IF(S157="","",IF(COUNTIFS('درخت جدید'!$B:$B,S157&amp;"",'درخت جدید'!$A:$A,"معین")=0,D157,""))</x:f>
      </x:c>
      <x:c r="W157" s="27"/>
      <x:c r="X157" s="38"/>
    </x:row>
    <x:row r="158" spans="1:24">
      <x:c r="A158" s="21" t="s">
        <x:v>49</x:v>
      </x:c>
      <x:c r="B158" s="22" t="s">
        <x:v>200</x:v>
      </x:c>
      <x:c r="C158" s="22" t="s">
        <x:v>50</x:v>
      </x:c>
      <x:c r="D158" s="22" t="s">
        <x:v>385</x:v>
      </x:c>
      <x:c r="E158" s="22" t="s">
        <x:v>194</x:v>
      </x:c>
      <x:c r="F158" s="22" t="s">
        <x:v>194</x:v>
      </x:c>
      <x:c r="G158" s="22" t="s">
        <x:v>199</x:v>
      </x:c>
      <x:c r="H158" s="22">
        <x:v>1</x:v>
      </x:c>
      <x:c r="I158" s="22">
        <x:v>0</x:v>
      </x:c>
      <x:c r="J158" s="22">
        <x:v>0</x:v>
      </x:c>
      <x:c r="K158" s="23">
        <x:v>0</x:v>
      </x:c>
      <x:c r="L158" s="23">
        <x:v>0</x:v>
      </x:c>
      <x:c r="M158" s="23">
        <x:f>K158-L158</x:f>
      </x:c>
      <x:c r="N158" s="22" t="s">
        <x:v>351</x:v>
      </x:c>
      <x:c r="O158" s="24">
        <x:f>IFERROR(INDEX('تطبیق کل'!$J:$J,MATCH(A158&amp;"",'تطبیق کل'!$A:$A,0))&amp;"","")</x:f>
      </x:c>
      <x:c r="P158" s="24">
        <x:f>IF(O158="","",O158&amp;B158)</x:f>
      </x:c>
      <x:c r="Q158" s="24">
        <x:f>IF(P158="","",IFERROR(INDEX('درخت جدید'!$C:$C,MATCH(P158&amp;"",'درخت جدید'!$B:$B,0)),"— در درخت نیست؛ با نام قدیم ساخته می‌شود —"))</x:f>
      </x:c>
      <x:c r="R158" s="25"/>
      <x:c r="S158" s="26">
        <x:f>P158</x:f>
      </x:c>
      <x:c r="T158" s="22">
        <x:f>IF(S158="","",IFERROR(INDEX('درخت جدید'!$C:$C,MATCH(S158&amp;"",'درخت جدید'!$B:$B,0)),"(ساخته می‌شود) "&amp;V158))</x:f>
      </x:c>
      <x:c r="U158" s="22">
        <x:f>IF(S158="",IF(N158="بله","الزامی — تکمیل نشده",""),IF(AND(O158&lt;&gt;"",LEFT(S158&amp;"",4)&lt;&gt;O158),"زیر کل دیگری است — کل یا معین را اصلاح کنید",IF(AND(S158=P158,FALSE,W158=""),"تداخل: کد "&amp;S158&amp;" در برگهٔ درخت جدید با نام «"&amp;T158&amp;"» از قبل تعریف شده",IF(COUNTIFS('درخت جدید'!$B:$B,S158&amp;"",'درخت جدید'!$A:$A,"معین")=0,IF(V158="","کد در درخت نیست — نام برای تعریف را بنویسید","OK"),"OK"))))</x:f>
      </x:c>
      <x:c r="V158" s="27">
        <x:f>IF(S158="","",IF(COUNTIFS('درخت جدید'!$B:$B,S158&amp;"",'درخت جدید'!$A:$A,"معین")=0,D158,""))</x:f>
      </x:c>
      <x:c r="W158" s="27"/>
      <x:c r="X158" s="38"/>
    </x:row>
    <x:row r="159" spans="1:24">
      <x:c r="A159" s="21" t="s">
        <x:v>49</x:v>
      </x:c>
      <x:c r="B159" s="22" t="s">
        <x:v>70</x:v>
      </x:c>
      <x:c r="C159" s="22" t="s">
        <x:v>50</x:v>
      </x:c>
      <x:c r="D159" s="22" t="s">
        <x:v>386</x:v>
      </x:c>
      <x:c r="E159" s="22" t="s">
        <x:v>194</x:v>
      </x:c>
      <x:c r="F159" s="22" t="s">
        <x:v>194</x:v>
      </x:c>
      <x:c r="G159" s="22" t="s">
        <x:v>199</x:v>
      </x:c>
      <x:c r="H159" s="22">
        <x:v>1</x:v>
      </x:c>
      <x:c r="I159" s="22">
        <x:v>0</x:v>
      </x:c>
      <x:c r="J159" s="22">
        <x:v>0</x:v>
      </x:c>
      <x:c r="K159" s="23">
        <x:v>0</x:v>
      </x:c>
      <x:c r="L159" s="23">
        <x:v>0</x:v>
      </x:c>
      <x:c r="M159" s="23">
        <x:f>K159-L159</x:f>
      </x:c>
      <x:c r="N159" s="22" t="s">
        <x:v>351</x:v>
      </x:c>
      <x:c r="O159" s="24">
        <x:f>IFERROR(INDEX('تطبیق کل'!$J:$J,MATCH(A159&amp;"",'تطبیق کل'!$A:$A,0))&amp;"","")</x:f>
      </x:c>
      <x:c r="P159" s="24">
        <x:f>IF(O159="","",O159&amp;B159)</x:f>
      </x:c>
      <x:c r="Q159" s="24">
        <x:f>IF(P159="","",IFERROR(INDEX('درخت جدید'!$C:$C,MATCH(P159&amp;"",'درخت جدید'!$B:$B,0)),"— در درخت نیست؛ با نام قدیم ساخته می‌شود —"))</x:f>
      </x:c>
      <x:c r="R159" s="25"/>
      <x:c r="S159" s="26">
        <x:f>P159</x:f>
      </x:c>
      <x:c r="T159" s="22">
        <x:f>IF(S159="","",IFERROR(INDEX('درخت جدید'!$C:$C,MATCH(S159&amp;"",'درخت جدید'!$B:$B,0)),"(ساخته می‌شود) "&amp;V159))</x:f>
      </x:c>
      <x:c r="U159" s="22">
        <x:f>IF(S159="",IF(N159="بله","الزامی — تکمیل نشده",""),IF(AND(O159&lt;&gt;"",LEFT(S159&amp;"",4)&lt;&gt;O159),"زیر کل دیگری است — کل یا معین را اصلاح کنید",IF(AND(S159=P159,FALSE,W159=""),"تداخل: کد "&amp;S159&amp;" در برگهٔ درخت جدید با نام «"&amp;T159&amp;"» از قبل تعریف شده",IF(COUNTIFS('درخت جدید'!$B:$B,S159&amp;"",'درخت جدید'!$A:$A,"معین")=0,IF(V159="","کد در درخت نیست — نام برای تعریف را بنویسید","OK"),"OK"))))</x:f>
      </x:c>
      <x:c r="V159" s="27">
        <x:f>IF(S159="","",IF(COUNTIFS('درخت جدید'!$B:$B,S159&amp;"",'درخت جدید'!$A:$A,"معین")=0,D159,""))</x:f>
      </x:c>
      <x:c r="W159" s="27"/>
      <x:c r="X159" s="38"/>
    </x:row>
    <x:row r="160" spans="1:24">
      <x:c r="A160" s="21" t="s">
        <x:v>49</x:v>
      </x:c>
      <x:c r="B160" s="22" t="s">
        <x:v>149</x:v>
      </x:c>
      <x:c r="C160" s="22" t="s">
        <x:v>50</x:v>
      </x:c>
      <x:c r="D160" s="22" t="s">
        <x:v>387</x:v>
      </x:c>
      <x:c r="E160" s="22" t="s">
        <x:v>194</x:v>
      </x:c>
      <x:c r="F160" s="22" t="s">
        <x:v>194</x:v>
      </x:c>
      <x:c r="G160" s="22" t="s">
        <x:v>199</x:v>
      </x:c>
      <x:c r="H160" s="22">
        <x:v>1</x:v>
      </x:c>
      <x:c r="I160" s="22">
        <x:v>0</x:v>
      </x:c>
      <x:c r="J160" s="22">
        <x:v>0</x:v>
      </x:c>
      <x:c r="K160" s="23">
        <x:v>0</x:v>
      </x:c>
      <x:c r="L160" s="23">
        <x:v>0</x:v>
      </x:c>
      <x:c r="M160" s="23">
        <x:f>K160-L160</x:f>
      </x:c>
      <x:c r="N160" s="22" t="s">
        <x:v>351</x:v>
      </x:c>
      <x:c r="O160" s="24">
        <x:f>IFERROR(INDEX('تطبیق کل'!$J:$J,MATCH(A160&amp;"",'تطبیق کل'!$A:$A,0))&amp;"","")</x:f>
      </x:c>
      <x:c r="P160" s="24">
        <x:f>IF(O160="","",O160&amp;B160)</x:f>
      </x:c>
      <x:c r="Q160" s="24">
        <x:f>IF(P160="","",IFERROR(INDEX('درخت جدید'!$C:$C,MATCH(P160&amp;"",'درخت جدید'!$B:$B,0)),"— در درخت نیست؛ با نام قدیم ساخته می‌شود —"))</x:f>
      </x:c>
      <x:c r="R160" s="25"/>
      <x:c r="S160" s="26">
        <x:f>P160</x:f>
      </x:c>
      <x:c r="T160" s="22">
        <x:f>IF(S160="","",IFERROR(INDEX('درخت جدید'!$C:$C,MATCH(S160&amp;"",'درخت جدید'!$B:$B,0)),"(ساخته می‌شود) "&amp;V160))</x:f>
      </x:c>
      <x:c r="U160" s="22">
        <x:f>IF(S160="",IF(N160="بله","الزامی — تکمیل نشده",""),IF(AND(O160&lt;&gt;"",LEFT(S160&amp;"",4)&lt;&gt;O160),"زیر کل دیگری است — کل یا معین را اصلاح کنید",IF(AND(S160=P160,FALSE,W160=""),"تداخل: کد "&amp;S160&amp;" در برگهٔ درخت جدید با نام «"&amp;T160&amp;"» از قبل تعریف شده",IF(COUNTIFS('درخت جدید'!$B:$B,S160&amp;"",'درخت جدید'!$A:$A,"معین")=0,IF(V160="","کد در درخت نیست — نام برای تعریف را بنویسید","OK"),"OK"))))</x:f>
      </x:c>
      <x:c r="V160" s="27">
        <x:f>IF(S160="","",IF(COUNTIFS('درخت جدید'!$B:$B,S160&amp;"",'درخت جدید'!$A:$A,"معین")=0,D160,""))</x:f>
      </x:c>
      <x:c r="W160" s="27"/>
      <x:c r="X160" s="38"/>
    </x:row>
    <x:row r="161" spans="1:24">
      <x:c r="A161" s="21" t="s">
        <x:v>52</x:v>
      </x:c>
      <x:c r="B161" s="22" t="s">
        <x:v>237</x:v>
      </x:c>
      <x:c r="C161" s="22" t="s">
        <x:v>53</x:v>
      </x:c>
      <x:c r="D161" s="22" t="s">
        <x:v>388</x:v>
      </x:c>
      <x:c r="E161" s="22" t="s">
        <x:v>194</x:v>
      </x:c>
      <x:c r="F161" s="22" t="s">
        <x:v>194</x:v>
      </x:c>
      <x:c r="G161" s="22" t="s">
        <x:v>195</x:v>
      </x:c>
      <x:c r="H161" s="22">
        <x:v>4</x:v>
      </x:c>
      <x:c r="I161" s="22">
        <x:v>0</x:v>
      </x:c>
      <x:c r="J161" s="22">
        <x:v>0</x:v>
      </x:c>
      <x:c r="K161" s="23">
        <x:v>0</x:v>
      </x:c>
      <x:c r="L161" s="23">
        <x:v>0</x:v>
      </x:c>
      <x:c r="M161" s="23">
        <x:f>K161-L161</x:f>
      </x:c>
      <x:c r="N161" s="22" t="s">
        <x:v>351</x:v>
      </x:c>
      <x:c r="O161" s="24">
        <x:f>IFERROR(INDEX('تطبیق کل'!$J:$J,MATCH(A161&amp;"",'تطبیق کل'!$A:$A,0))&amp;"","")</x:f>
      </x:c>
      <x:c r="P161" s="24">
        <x:f>IF(O161="","",O161&amp;B161)</x:f>
      </x:c>
      <x:c r="Q161" s="24">
        <x:f>IF(P161="","",IFERROR(INDEX('درخت جدید'!$C:$C,MATCH(P161&amp;"",'درخت جدید'!$B:$B,0)),"— در درخت نیست؛ با نام قدیم ساخته می‌شود —"))</x:f>
      </x:c>
      <x:c r="R161" s="25"/>
      <x:c r="S161" s="26">
        <x:f>P161</x:f>
      </x:c>
      <x:c r="T161" s="22">
        <x:f>IF(S161="","",IFERROR(INDEX('درخت جدید'!$C:$C,MATCH(S161&amp;"",'درخت جدید'!$B:$B,0)),"(ساخته می‌شود) "&amp;V161))</x:f>
      </x:c>
      <x:c r="U161" s="22">
        <x:f>IF(S161="",IF(N161="بله","الزامی — تکمیل نشده",""),IF(AND(O161&lt;&gt;"",LEFT(S161&amp;"",4)&lt;&gt;O161),"زیر کل دیگری است — کل یا معین را اصلاح کنید",IF(AND(S161=P161,FALSE,W161=""),"تداخل: کد "&amp;S161&amp;" در برگهٔ درخت جدید با نام «"&amp;T161&amp;"» از قبل تعریف شده",IF(COUNTIFS('درخت جدید'!$B:$B,S161&amp;"",'درخت جدید'!$A:$A,"معین")=0,IF(V161="","کد در درخت نیست — نام برای تعریف را بنویسید","OK"),"OK"))))</x:f>
      </x:c>
      <x:c r="V161" s="27">
        <x:f>IF(S161="","",IF(COUNTIFS('درخت جدید'!$B:$B,S161&amp;"",'درخت جدید'!$A:$A,"معین")=0,D161,""))</x:f>
      </x:c>
      <x:c r="W161" s="27"/>
      <x:c r="X161" s="38"/>
    </x:row>
    <x:row r="162" spans="1:24">
      <x:c r="A162" s="21" t="s">
        <x:v>52</x:v>
      </x:c>
      <x:c r="B162" s="22" t="s">
        <x:v>305</x:v>
      </x:c>
      <x:c r="C162" s="22" t="s">
        <x:v>53</x:v>
      </x:c>
      <x:c r="D162" s="22" t="s">
        <x:v>389</x:v>
      </x:c>
      <x:c r="E162" s="22" t="s">
        <x:v>194</x:v>
      </x:c>
      <x:c r="F162" s="22" t="s">
        <x:v>194</x:v>
      </x:c>
      <x:c r="G162" s="22" t="s">
        <x:v>199</x:v>
      </x:c>
      <x:c r="H162" s="22">
        <x:v>1</x:v>
      </x:c>
      <x:c r="I162" s="22">
        <x:v>0</x:v>
      </x:c>
      <x:c r="J162" s="22">
        <x:v>0</x:v>
      </x:c>
      <x:c r="K162" s="23">
        <x:v>0</x:v>
      </x:c>
      <x:c r="L162" s="23">
        <x:v>0</x:v>
      </x:c>
      <x:c r="M162" s="23">
        <x:f>K162-L162</x:f>
      </x:c>
      <x:c r="N162" s="22" t="s">
        <x:v>351</x:v>
      </x:c>
      <x:c r="O162" s="24">
        <x:f>IFERROR(INDEX('تطبیق کل'!$J:$J,MATCH(A162&amp;"",'تطبیق کل'!$A:$A,0))&amp;"","")</x:f>
      </x:c>
      <x:c r="P162" s="24">
        <x:f>IF(O162="","",O162&amp;B162)</x:f>
      </x:c>
      <x:c r="Q162" s="24">
        <x:f>IF(P162="","",IFERROR(INDEX('درخت جدید'!$C:$C,MATCH(P162&amp;"",'درخت جدید'!$B:$B,0)),"— در درخت نیست؛ با نام قدیم ساخته می‌شود —"))</x:f>
      </x:c>
      <x:c r="R162" s="25"/>
      <x:c r="S162" s="26">
        <x:f>P162</x:f>
      </x:c>
      <x:c r="T162" s="22">
        <x:f>IF(S162="","",IFERROR(INDEX('درخت جدید'!$C:$C,MATCH(S162&amp;"",'درخت جدید'!$B:$B,0)),"(ساخته می‌شود) "&amp;V162))</x:f>
      </x:c>
      <x:c r="U162" s="22">
        <x:f>IF(S162="",IF(N162="بله","الزامی — تکمیل نشده",""),IF(AND(O162&lt;&gt;"",LEFT(S162&amp;"",4)&lt;&gt;O162),"زیر کل دیگری است — کل یا معین را اصلاح کنید",IF(AND(S162=P162,FALSE,W162=""),"تداخل: کد "&amp;S162&amp;" در برگهٔ درخت جدید با نام «"&amp;T162&amp;"» از قبل تعریف شده",IF(COUNTIFS('درخت جدید'!$B:$B,S162&amp;"",'درخت جدید'!$A:$A,"معین")=0,IF(V162="","کد در درخت نیست — نام برای تعریف را بنویسید","OK"),"OK"))))</x:f>
      </x:c>
      <x:c r="V162" s="27">
        <x:f>IF(S162="","",IF(COUNTIFS('درخت جدید'!$B:$B,S162&amp;"",'درخت جدید'!$A:$A,"معین")=0,D162,""))</x:f>
      </x:c>
      <x:c r="W162" s="27"/>
      <x:c r="X162" s="38"/>
    </x:row>
    <x:row r="163" spans="1:24">
      <x:c r="A163" s="21" t="s">
        <x:v>52</x:v>
      </x:c>
      <x:c r="B163" s="22" t="s">
        <x:v>192</x:v>
      </x:c>
      <x:c r="C163" s="22" t="s">
        <x:v>53</x:v>
      </x:c>
      <x:c r="D163" s="22" t="s">
        <x:v>390</x:v>
      </x:c>
      <x:c r="E163" s="22" t="s">
        <x:v>194</x:v>
      </x:c>
      <x:c r="F163" s="22" t="s">
        <x:v>194</x:v>
      </x:c>
      <x:c r="G163" s="22" t="s">
        <x:v>199</x:v>
      </x:c>
      <x:c r="H163" s="22">
        <x:v>1</x:v>
      </x:c>
      <x:c r="I163" s="22">
        <x:v>0</x:v>
      </x:c>
      <x:c r="J163" s="22">
        <x:v>0</x:v>
      </x:c>
      <x:c r="K163" s="23">
        <x:v>0</x:v>
      </x:c>
      <x:c r="L163" s="23">
        <x:v>0</x:v>
      </x:c>
      <x:c r="M163" s="23">
        <x:f>K163-L163</x:f>
      </x:c>
      <x:c r="N163" s="22" t="s">
        <x:v>351</x:v>
      </x:c>
      <x:c r="O163" s="24">
        <x:f>IFERROR(INDEX('تطبیق کل'!$J:$J,MATCH(A163&amp;"",'تطبیق کل'!$A:$A,0))&amp;"","")</x:f>
      </x:c>
      <x:c r="P163" s="24">
        <x:f>IF(O163="","",O163&amp;B163)</x:f>
      </x:c>
      <x:c r="Q163" s="24">
        <x:f>IF(P163="","",IFERROR(INDEX('درخت جدید'!$C:$C,MATCH(P163&amp;"",'درخت جدید'!$B:$B,0)),"— در درخت نیست؛ با نام قدیم ساخته می‌شود —"))</x:f>
      </x:c>
      <x:c r="R163" s="25"/>
      <x:c r="S163" s="26">
        <x:f>P163</x:f>
      </x:c>
      <x:c r="T163" s="22">
        <x:f>IF(S163="","",IFERROR(INDEX('درخت جدید'!$C:$C,MATCH(S163&amp;"",'درخت جدید'!$B:$B,0)),"(ساخته می‌شود) "&amp;V163))</x:f>
      </x:c>
      <x:c r="U163" s="22">
        <x:f>IF(S163="",IF(N163="بله","الزامی — تکمیل نشده",""),IF(AND(O163&lt;&gt;"",LEFT(S163&amp;"",4)&lt;&gt;O163),"زیر کل دیگری است — کل یا معین را اصلاح کنید",IF(AND(S163=P163,FALSE,W163=""),"تداخل: کد "&amp;S163&amp;" در برگهٔ درخت جدید با نام «"&amp;T163&amp;"» از قبل تعریف شده",IF(COUNTIFS('درخت جدید'!$B:$B,S163&amp;"",'درخت جدید'!$A:$A,"معین")=0,IF(V163="","کد در درخت نیست — نام برای تعریف را بنویسید","OK"),"OK"))))</x:f>
      </x:c>
      <x:c r="V163" s="27">
        <x:f>IF(S163="","",IF(COUNTIFS('درخت جدید'!$B:$B,S163&amp;"",'درخت جدید'!$A:$A,"معین")=0,D163,""))</x:f>
      </x:c>
      <x:c r="W163" s="27"/>
      <x:c r="X163" s="38"/>
    </x:row>
    <x:row r="164" spans="1:24">
      <x:c r="A164" s="21" t="s">
        <x:v>52</x:v>
      </x:c>
      <x:c r="B164" s="22" t="s">
        <x:v>202</x:v>
      </x:c>
      <x:c r="C164" s="22" t="s">
        <x:v>53</x:v>
      </x:c>
      <x:c r="D164" s="22" t="s">
        <x:v>391</x:v>
      </x:c>
      <x:c r="E164" s="22" t="s">
        <x:v>194</x:v>
      </x:c>
      <x:c r="F164" s="22" t="s">
        <x:v>194</x:v>
      </x:c>
      <x:c r="G164" s="22" t="s">
        <x:v>199</x:v>
      </x:c>
      <x:c r="H164" s="22">
        <x:v>1</x:v>
      </x:c>
      <x:c r="I164" s="22">
        <x:v>0</x:v>
      </x:c>
      <x:c r="J164" s="22">
        <x:v>0</x:v>
      </x:c>
      <x:c r="K164" s="23">
        <x:v>0</x:v>
      </x:c>
      <x:c r="L164" s="23">
        <x:v>0</x:v>
      </x:c>
      <x:c r="M164" s="23">
        <x:f>K164-L164</x:f>
      </x:c>
      <x:c r="N164" s="22" t="s">
        <x:v>351</x:v>
      </x:c>
      <x:c r="O164" s="24">
        <x:f>IFERROR(INDEX('تطبیق کل'!$J:$J,MATCH(A164&amp;"",'تطبیق کل'!$A:$A,0))&amp;"","")</x:f>
      </x:c>
      <x:c r="P164" s="24">
        <x:f>IF(O164="","",O164&amp;B164)</x:f>
      </x:c>
      <x:c r="Q164" s="24">
        <x:f>IF(P164="","",IFERROR(INDEX('درخت جدید'!$C:$C,MATCH(P164&amp;"",'درخت جدید'!$B:$B,0)),"— در درخت نیست؛ با نام قدیم ساخته می‌شود —"))</x:f>
      </x:c>
      <x:c r="R164" s="25">
        <x:v>0.08</x:v>
      </x:c>
      <x:c r="S164" s="26">
        <x:f>P164</x:f>
      </x:c>
      <x:c r="T164" s="22">
        <x:f>IF(S164="","",IFERROR(INDEX('درخت جدید'!$C:$C,MATCH(S164&amp;"",'درخت جدید'!$B:$B,0)),"(ساخته می‌شود) "&amp;V164))</x:f>
      </x:c>
      <x:c r="U164" s="22">
        <x:f>IF(S164="",IF(N164="بله","الزامی — تکمیل نشده",""),IF(AND(O164&lt;&gt;"",LEFT(S164&amp;"",4)&lt;&gt;O164),"زیر کل دیگری است — کل یا معین را اصلاح کنید",IF(AND(S164=P164,TRUE,W164=""),"تداخل: کد "&amp;S164&amp;" در برگهٔ درخت جدید با نام «"&amp;T164&amp;"» از قبل تعریف شده",IF(COUNTIFS('درخت جدید'!$B:$B,S164&amp;"",'درخت جدید'!$A:$A,"معین")=0,IF(V164="","کد در درخت نیست — نام برای تعریف را بنویسید","OK"),"OK"))))</x:f>
      </x:c>
      <x:c r="V164" s="27">
        <x:f>IF(S164="","",IF(COUNTIFS('درخت جدید'!$B:$B,S164&amp;"",'درخت جدید'!$A:$A,"معین")=0,D164,""))</x:f>
      </x:c>
      <x:c r="W164" s="27"/>
      <x:c r="X164" s="38"/>
    </x:row>
    <x:row r="165" spans="1:24">
      <x:c r="A165" s="21" t="s">
        <x:v>52</x:v>
      </x:c>
      <x:c r="B165" s="22" t="s">
        <x:v>197</x:v>
      </x:c>
      <x:c r="C165" s="22" t="s">
        <x:v>53</x:v>
      </x:c>
      <x:c r="D165" s="22" t="s">
        <x:v>392</x:v>
      </x:c>
      <x:c r="E165" s="22" t="s">
        <x:v>194</x:v>
      </x:c>
      <x:c r="F165" s="22" t="s">
        <x:v>194</x:v>
      </x:c>
      <x:c r="G165" s="22" t="s">
        <x:v>199</x:v>
      </x:c>
      <x:c r="H165" s="22">
        <x:v>1</x:v>
      </x:c>
      <x:c r="I165" s="22">
        <x:v>0</x:v>
      </x:c>
      <x:c r="J165" s="22">
        <x:v>0</x:v>
      </x:c>
      <x:c r="K165" s="23">
        <x:v>0</x:v>
      </x:c>
      <x:c r="L165" s="23">
        <x:v>0</x:v>
      </x:c>
      <x:c r="M165" s="23">
        <x:f>K165-L165</x:f>
      </x:c>
      <x:c r="N165" s="22" t="s">
        <x:v>351</x:v>
      </x:c>
      <x:c r="O165" s="24">
        <x:f>IFERROR(INDEX('تطبیق کل'!$J:$J,MATCH(A165&amp;"",'تطبیق کل'!$A:$A,0))&amp;"","")</x:f>
      </x:c>
      <x:c r="P165" s="24">
        <x:f>IF(O165="","",O165&amp;B165)</x:f>
      </x:c>
      <x:c r="Q165" s="24">
        <x:f>IF(P165="","",IFERROR(INDEX('درخت جدید'!$C:$C,MATCH(P165&amp;"",'درخت جدید'!$B:$B,0)),"— در درخت نیست؛ با نام قدیم ساخته می‌شود —"))</x:f>
      </x:c>
      <x:c r="R165" s="25">
        <x:v>0.09</x:v>
      </x:c>
      <x:c r="S165" s="26">
        <x:f>P165</x:f>
      </x:c>
      <x:c r="T165" s="22">
        <x:f>IF(S165="","",IFERROR(INDEX('درخت جدید'!$C:$C,MATCH(S165&amp;"",'درخت جدید'!$B:$B,0)),"(ساخته می‌شود) "&amp;V165))</x:f>
      </x:c>
      <x:c r="U165" s="22">
        <x:f>IF(S165="",IF(N165="بله","الزامی — تکمیل نشده",""),IF(AND(O165&lt;&gt;"",LEFT(S165&amp;"",4)&lt;&gt;O165),"زیر کل دیگری است — کل یا معین را اصلاح کنید",IF(AND(S165=P165,TRUE,W165=""),"تداخل: کد "&amp;S165&amp;" در برگهٔ درخت جدید با نام «"&amp;T165&amp;"» از قبل تعریف شده",IF(COUNTIFS('درخت جدید'!$B:$B,S165&amp;"",'درخت جدید'!$A:$A,"معین")=0,IF(V165="","کد در درخت نیست — نام برای تعریف را بنویسید","OK"),"OK"))))</x:f>
      </x:c>
      <x:c r="V165" s="27">
        <x:f>IF(S165="","",IF(COUNTIFS('درخت جدید'!$B:$B,S165&amp;"",'درخت جدید'!$A:$A,"معین")=0,D165,""))</x:f>
      </x:c>
      <x:c r="W165" s="27"/>
      <x:c r="X165" s="38"/>
    </x:row>
    <x:row r="166" spans="1:24">
      <x:c r="A166" s="21" t="s">
        <x:v>52</x:v>
      </x:c>
      <x:c r="B166" s="22" t="s">
        <x:v>38</x:v>
      </x:c>
      <x:c r="C166" s="22" t="s">
        <x:v>53</x:v>
      </x:c>
      <x:c r="D166" s="22" t="s">
        <x:v>393</x:v>
      </x:c>
      <x:c r="E166" s="22" t="s">
        <x:v>194</x:v>
      </x:c>
      <x:c r="F166" s="22" t="s">
        <x:v>194</x:v>
      </x:c>
      <x:c r="G166" s="22" t="s">
        <x:v>195</x:v>
      </x:c>
      <x:c r="H166" s="22">
        <x:v>1</x:v>
      </x:c>
      <x:c r="I166" s="22">
        <x:v>0</x:v>
      </x:c>
      <x:c r="J166" s="22">
        <x:v>0</x:v>
      </x:c>
      <x:c r="K166" s="23">
        <x:v>0</x:v>
      </x:c>
      <x:c r="L166" s="23">
        <x:v>0</x:v>
      </x:c>
      <x:c r="M166" s="23">
        <x:f>K166-L166</x:f>
      </x:c>
      <x:c r="N166" s="22" t="s">
        <x:v>351</x:v>
      </x:c>
      <x:c r="O166" s="24">
        <x:f>IFERROR(INDEX('تطبیق کل'!$J:$J,MATCH(A166&amp;"",'تطبیق کل'!$A:$A,0))&amp;"","")</x:f>
      </x:c>
      <x:c r="P166" s="24">
        <x:f>IF(O166="","",O166&amp;B166)</x:f>
      </x:c>
      <x:c r="Q166" s="24">
        <x:f>IF(P166="","",IFERROR(INDEX('درخت جدید'!$C:$C,MATCH(P166&amp;"",'درخت جدید'!$B:$B,0)),"— در درخت نیست؛ با نام قدیم ساخته می‌شود —"))</x:f>
      </x:c>
      <x:c r="R166" s="25"/>
      <x:c r="S166" s="26">
        <x:f>P166</x:f>
      </x:c>
      <x:c r="T166" s="22">
        <x:f>IF(S166="","",IFERROR(INDEX('درخت جدید'!$C:$C,MATCH(S166&amp;"",'درخت جدید'!$B:$B,0)),"(ساخته می‌شود) "&amp;V166))</x:f>
      </x:c>
      <x:c r="U166" s="22">
        <x:f>IF(S166="",IF(N166="بله","الزامی — تکمیل نشده",""),IF(AND(O166&lt;&gt;"",LEFT(S166&amp;"",4)&lt;&gt;O166),"زیر کل دیگری است — کل یا معین را اصلاح کنید",IF(AND(S166=P166,FALSE,W166=""),"تداخل: کد "&amp;S166&amp;" در برگهٔ درخت جدید با نام «"&amp;T166&amp;"» از قبل تعریف شده",IF(COUNTIFS('درخت جدید'!$B:$B,S166&amp;"",'درخت جدید'!$A:$A,"معین")=0,IF(V166="","کد در درخت نیست — نام برای تعریف را بنویسید","OK"),"OK"))))</x:f>
      </x:c>
      <x:c r="V166" s="27">
        <x:f>IF(S166="","",IF(COUNTIFS('درخت جدید'!$B:$B,S166&amp;"",'درخت جدید'!$A:$A,"معین")=0,D166,""))</x:f>
      </x:c>
      <x:c r="W166" s="27"/>
      <x:c r="X166" s="38"/>
    </x:row>
    <x:row r="167" spans="1:24">
      <x:c r="A167" s="21" t="s">
        <x:v>52</x:v>
      </x:c>
      <x:c r="B167" s="22" t="s">
        <x:v>41</x:v>
      </x:c>
      <x:c r="C167" s="22" t="s">
        <x:v>53</x:v>
      </x:c>
      <x:c r="D167" s="22" t="s">
        <x:v>394</x:v>
      </x:c>
      <x:c r="E167" s="22" t="s">
        <x:v>194</x:v>
      </x:c>
      <x:c r="F167" s="22" t="s">
        <x:v>194</x:v>
      </x:c>
      <x:c r="G167" s="22" t="s">
        <x:v>195</x:v>
      </x:c>
      <x:c r="H167" s="22">
        <x:v>1</x:v>
      </x:c>
      <x:c r="I167" s="22">
        <x:v>0</x:v>
      </x:c>
      <x:c r="J167" s="22">
        <x:v>0</x:v>
      </x:c>
      <x:c r="K167" s="23">
        <x:v>0</x:v>
      </x:c>
      <x:c r="L167" s="23">
        <x:v>0</x:v>
      </x:c>
      <x:c r="M167" s="23">
        <x:f>K167-L167</x:f>
      </x:c>
      <x:c r="N167" s="22" t="s">
        <x:v>351</x:v>
      </x:c>
      <x:c r="O167" s="24">
        <x:f>IFERROR(INDEX('تطبیق کل'!$J:$J,MATCH(A167&amp;"",'تطبیق کل'!$A:$A,0))&amp;"","")</x:f>
      </x:c>
      <x:c r="P167" s="24">
        <x:f>IF(O167="","",O167&amp;B167)</x:f>
      </x:c>
      <x:c r="Q167" s="24">
        <x:f>IF(P167="","",IFERROR(INDEX('درخت جدید'!$C:$C,MATCH(P167&amp;"",'درخت جدید'!$B:$B,0)),"— در درخت نیست؛ با نام قدیم ساخته می‌شود —"))</x:f>
      </x:c>
      <x:c r="R167" s="25"/>
      <x:c r="S167" s="26">
        <x:f>P167</x:f>
      </x:c>
      <x:c r="T167" s="22">
        <x:f>IF(S167="","",IFERROR(INDEX('درخت جدید'!$C:$C,MATCH(S167&amp;"",'درخت جدید'!$B:$B,0)),"(ساخته می‌شود) "&amp;V167))</x:f>
      </x:c>
      <x:c r="U167" s="22">
        <x:f>IF(S167="",IF(N167="بله","الزامی — تکمیل نشده",""),IF(AND(O167&lt;&gt;"",LEFT(S167&amp;"",4)&lt;&gt;O167),"زیر کل دیگری است — کل یا معین را اصلاح کنید",IF(AND(S167=P167,FALSE,W167=""),"تداخل: کد "&amp;S167&amp;" در برگهٔ درخت جدید با نام «"&amp;T167&amp;"» از قبل تعریف شده",IF(COUNTIFS('درخت جدید'!$B:$B,S167&amp;"",'درخت جدید'!$A:$A,"معین")=0,IF(V167="","کد در درخت نیست — نام برای تعریف را بنویسید","OK"),"OK"))))</x:f>
      </x:c>
      <x:c r="V167" s="27">
        <x:f>IF(S167="","",IF(COUNTIFS('درخت جدید'!$B:$B,S167&amp;"",'درخت جدید'!$A:$A,"معین")=0,D167,""))</x:f>
      </x:c>
      <x:c r="W167" s="27"/>
      <x:c r="X167" s="38"/>
    </x:row>
    <x:row r="168" spans="1:24">
      <x:c r="A168" s="21" t="s">
        <x:v>52</x:v>
      </x:c>
      <x:c r="B168" s="22" t="s">
        <x:v>292</x:v>
      </x:c>
      <x:c r="C168" s="22" t="s">
        <x:v>53</x:v>
      </x:c>
      <x:c r="D168" s="22" t="s">
        <x:v>395</x:v>
      </x:c>
      <x:c r="E168" s="22" t="s">
        <x:v>194</x:v>
      </x:c>
      <x:c r="F168" s="22" t="s">
        <x:v>194</x:v>
      </x:c>
      <x:c r="G168" s="22" t="s">
        <x:v>199</x:v>
      </x:c>
      <x:c r="H168" s="22">
        <x:v>1</x:v>
      </x:c>
      <x:c r="I168" s="22">
        <x:v>0</x:v>
      </x:c>
      <x:c r="J168" s="22">
        <x:v>0</x:v>
      </x:c>
      <x:c r="K168" s="23">
        <x:v>0</x:v>
      </x:c>
      <x:c r="L168" s="23">
        <x:v>0</x:v>
      </x:c>
      <x:c r="M168" s="23">
        <x:f>K168-L168</x:f>
      </x:c>
      <x:c r="N168" s="22" t="s">
        <x:v>351</x:v>
      </x:c>
      <x:c r="O168" s="24">
        <x:f>IFERROR(INDEX('تطبیق کل'!$J:$J,MATCH(A168&amp;"",'تطبیق کل'!$A:$A,0))&amp;"","")</x:f>
      </x:c>
      <x:c r="P168" s="24">
        <x:f>IF(O168="","",O168&amp;B168)</x:f>
      </x:c>
      <x:c r="Q168" s="24">
        <x:f>IF(P168="","",IFERROR(INDEX('درخت جدید'!$C:$C,MATCH(P168&amp;"",'درخت جدید'!$B:$B,0)),"— در درخت نیست؛ با نام قدیم ساخته می‌شود —"))</x:f>
      </x:c>
      <x:c r="R168" s="25"/>
      <x:c r="S168" s="26">
        <x:f>P168</x:f>
      </x:c>
      <x:c r="T168" s="22">
        <x:f>IF(S168="","",IFERROR(INDEX('درخت جدید'!$C:$C,MATCH(S168&amp;"",'درخت جدید'!$B:$B,0)),"(ساخته می‌شود) "&amp;V168))</x:f>
      </x:c>
      <x:c r="U168" s="22">
        <x:f>IF(S168="",IF(N168="بله","الزامی — تکمیل نشده",""),IF(AND(O168&lt;&gt;"",LEFT(S168&amp;"",4)&lt;&gt;O168),"زیر کل دیگری است — کل یا معین را اصلاح کنید",IF(AND(S168=P168,FALSE,W168=""),"تداخل: کد "&amp;S168&amp;" در برگهٔ درخت جدید با نام «"&amp;T168&amp;"» از قبل تعریف شده",IF(COUNTIFS('درخت جدید'!$B:$B,S168&amp;"",'درخت جدید'!$A:$A,"معین")=0,IF(V168="","کد در درخت نیست — نام برای تعریف را بنویسید","OK"),"OK"))))</x:f>
      </x:c>
      <x:c r="V168" s="27">
        <x:f>IF(S168="","",IF(COUNTIFS('درخت جدید'!$B:$B,S168&amp;"",'درخت جدید'!$A:$A,"معین")=0,D168,""))</x:f>
      </x:c>
      <x:c r="W168" s="27"/>
      <x:c r="X168" s="38"/>
    </x:row>
    <x:row r="169" spans="1:24">
      <x:c r="A169" s="21" t="s">
        <x:v>52</x:v>
      </x:c>
      <x:c r="B169" s="22" t="s">
        <x:v>63</x:v>
      </x:c>
      <x:c r="C169" s="22" t="s">
        <x:v>53</x:v>
      </x:c>
      <x:c r="D169" s="22" t="s">
        <x:v>396</x:v>
      </x:c>
      <x:c r="E169" s="22" t="s">
        <x:v>194</x:v>
      </x:c>
      <x:c r="F169" s="22" t="s">
        <x:v>194</x:v>
      </x:c>
      <x:c r="G169" s="22" t="s">
        <x:v>195</x:v>
      </x:c>
      <x:c r="H169" s="22">
        <x:v>1</x:v>
      </x:c>
      <x:c r="I169" s="22">
        <x:v>0</x:v>
      </x:c>
      <x:c r="J169" s="22">
        <x:v>0</x:v>
      </x:c>
      <x:c r="K169" s="23">
        <x:v>0</x:v>
      </x:c>
      <x:c r="L169" s="23">
        <x:v>0</x:v>
      </x:c>
      <x:c r="M169" s="23">
        <x:f>K169-L169</x:f>
      </x:c>
      <x:c r="N169" s="22" t="s">
        <x:v>351</x:v>
      </x:c>
      <x:c r="O169" s="24">
        <x:f>IFERROR(INDEX('تطبیق کل'!$J:$J,MATCH(A169&amp;"",'تطبیق کل'!$A:$A,0))&amp;"","")</x:f>
      </x:c>
      <x:c r="P169" s="24">
        <x:f>IF(O169="","",O169&amp;B169)</x:f>
      </x:c>
      <x:c r="Q169" s="24">
        <x:f>IF(P169="","",IFERROR(INDEX('درخت جدید'!$C:$C,MATCH(P169&amp;"",'درخت جدید'!$B:$B,0)),"— در درخت نیست؛ با نام قدیم ساخته می‌شود —"))</x:f>
      </x:c>
      <x:c r="R169" s="25"/>
      <x:c r="S169" s="26">
        <x:f>P169</x:f>
      </x:c>
      <x:c r="T169" s="22">
        <x:f>IF(S169="","",IFERROR(INDEX('درخت جدید'!$C:$C,MATCH(S169&amp;"",'درخت جدید'!$B:$B,0)),"(ساخته می‌شود) "&amp;V169))</x:f>
      </x:c>
      <x:c r="U169" s="22">
        <x:f>IF(S169="",IF(N169="بله","الزامی — تکمیل نشده",""),IF(AND(O169&lt;&gt;"",LEFT(S169&amp;"",4)&lt;&gt;O169),"زیر کل دیگری است — کل یا معین را اصلاح کنید",IF(AND(S169=P169,FALSE,W169=""),"تداخل: کد "&amp;S169&amp;" در برگهٔ درخت جدید با نام «"&amp;T169&amp;"» از قبل تعریف شده",IF(COUNTIFS('درخت جدید'!$B:$B,S169&amp;"",'درخت جدید'!$A:$A,"معین")=0,IF(V169="","کد در درخت نیست — نام برای تعریف را بنویسید","OK"),"OK"))))</x:f>
      </x:c>
      <x:c r="V169" s="27">
        <x:f>IF(S169="","",IF(COUNTIFS('درخت جدید'!$B:$B,S169&amp;"",'درخت جدید'!$A:$A,"معین")=0,D169,""))</x:f>
      </x:c>
      <x:c r="W169" s="27"/>
      <x:c r="X169" s="38"/>
    </x:row>
    <x:row r="170" spans="1:24">
      <x:c r="A170" s="21" t="s">
        <x:v>52</x:v>
      </x:c>
      <x:c r="B170" s="22" t="s">
        <x:v>66</x:v>
      </x:c>
      <x:c r="C170" s="22" t="s">
        <x:v>53</x:v>
      </x:c>
      <x:c r="D170" s="22" t="s">
        <x:v>397</x:v>
      </x:c>
      <x:c r="E170" s="22" t="s">
        <x:v>194</x:v>
      </x:c>
      <x:c r="F170" s="22" t="s">
        <x:v>194</x:v>
      </x:c>
      <x:c r="G170" s="22" t="s">
        <x:v>199</x:v>
      </x:c>
      <x:c r="H170" s="22">
        <x:v>8</x:v>
      </x:c>
      <x:c r="I170" s="22">
        <x:v>0</x:v>
      </x:c>
      <x:c r="J170" s="22">
        <x:v>0</x:v>
      </x:c>
      <x:c r="K170" s="23">
        <x:v>0</x:v>
      </x:c>
      <x:c r="L170" s="23">
        <x:v>0</x:v>
      </x:c>
      <x:c r="M170" s="23">
        <x:f>K170-L170</x:f>
      </x:c>
      <x:c r="N170" s="22" t="s">
        <x:v>351</x:v>
      </x:c>
      <x:c r="O170" s="24">
        <x:f>IFERROR(INDEX('تطبیق کل'!$J:$J,MATCH(A170&amp;"",'تطبیق کل'!$A:$A,0))&amp;"","")</x:f>
      </x:c>
      <x:c r="P170" s="24">
        <x:f>IF(O170="","",O170&amp;B170)</x:f>
      </x:c>
      <x:c r="Q170" s="24">
        <x:f>IF(P170="","",IFERROR(INDEX('درخت جدید'!$C:$C,MATCH(P170&amp;"",'درخت جدید'!$B:$B,0)),"— در درخت نیست؛ با نام قدیم ساخته می‌شود —"))</x:f>
      </x:c>
      <x:c r="R170" s="25"/>
      <x:c r="S170" s="26">
        <x:f>P170</x:f>
      </x:c>
      <x:c r="T170" s="22">
        <x:f>IF(S170="","",IFERROR(INDEX('درخت جدید'!$C:$C,MATCH(S170&amp;"",'درخت جدید'!$B:$B,0)),"(ساخته می‌شود) "&amp;V170))</x:f>
      </x:c>
      <x:c r="U170" s="22">
        <x:f>IF(S170="",IF(N170="بله","الزامی — تکمیل نشده",""),IF(AND(O170&lt;&gt;"",LEFT(S170&amp;"",4)&lt;&gt;O170),"زیر کل دیگری است — کل یا معین را اصلاح کنید",IF(AND(S170=P170,FALSE,W170=""),"تداخل: کد "&amp;S170&amp;" در برگهٔ درخت جدید با نام «"&amp;T170&amp;"» از قبل تعریف شده",IF(COUNTIFS('درخت جدید'!$B:$B,S170&amp;"",'درخت جدید'!$A:$A,"معین")=0,IF(V170="","کد در درخت نیست — نام برای تعریف را بنویسید","OK"),"OK"))))</x:f>
      </x:c>
      <x:c r="V170" s="27">
        <x:f>IF(S170="","",IF(COUNTIFS('درخت جدید'!$B:$B,S170&amp;"",'درخت جدید'!$A:$A,"معین")=0,D170,""))</x:f>
      </x:c>
      <x:c r="W170" s="27"/>
      <x:c r="X170" s="38"/>
    </x:row>
    <x:row r="171" spans="1:24">
      <x:c r="A171" s="21" t="s">
        <x:v>52</x:v>
      </x:c>
      <x:c r="B171" s="22" t="s">
        <x:v>398</x:v>
      </x:c>
      <x:c r="C171" s="22" t="s">
        <x:v>53</x:v>
      </x:c>
      <x:c r="D171" s="22" t="s">
        <x:v>399</x:v>
      </x:c>
      <x:c r="E171" s="22" t="s">
        <x:v>194</x:v>
      </x:c>
      <x:c r="F171" s="22" t="s">
        <x:v>194</x:v>
      </x:c>
      <x:c r="G171" s="22" t="s">
        <x:v>195</x:v>
      </x:c>
      <x:c r="H171" s="22">
        <x:v>1</x:v>
      </x:c>
      <x:c r="I171" s="22">
        <x:v>0</x:v>
      </x:c>
      <x:c r="J171" s="22">
        <x:v>0</x:v>
      </x:c>
      <x:c r="K171" s="23">
        <x:v>0</x:v>
      </x:c>
      <x:c r="L171" s="23">
        <x:v>0</x:v>
      </x:c>
      <x:c r="M171" s="23">
        <x:f>K171-L171</x:f>
      </x:c>
      <x:c r="N171" s="22" t="s">
        <x:v>351</x:v>
      </x:c>
      <x:c r="O171" s="24">
        <x:f>IFERROR(INDEX('تطبیق کل'!$J:$J,MATCH(A171&amp;"",'تطبیق کل'!$A:$A,0))&amp;"","")</x:f>
      </x:c>
      <x:c r="P171" s="24">
        <x:f>IF(O171="","",O171&amp;B171)</x:f>
      </x:c>
      <x:c r="Q171" s="24">
        <x:f>IF(P171="","",IFERROR(INDEX('درخت جدید'!$C:$C,MATCH(P171&amp;"",'درخت جدید'!$B:$B,0)),"— در درخت نیست؛ با نام قدیم ساخته می‌شود —"))</x:f>
      </x:c>
      <x:c r="R171" s="25"/>
      <x:c r="S171" s="26">
        <x:f>P171</x:f>
      </x:c>
      <x:c r="T171" s="22">
        <x:f>IF(S171="","",IFERROR(INDEX('درخت جدید'!$C:$C,MATCH(S171&amp;"",'درخت جدید'!$B:$B,0)),"(ساخته می‌شود) "&amp;V171))</x:f>
      </x:c>
      <x:c r="U171" s="22">
        <x:f>IF(S171="",IF(N171="بله","الزامی — تکمیل نشده",""),IF(AND(O171&lt;&gt;"",LEFT(S171&amp;"",4)&lt;&gt;O171),"زیر کل دیگری است — کل یا معین را اصلاح کنید",IF(AND(S171=P171,FALSE,W171=""),"تداخل: کد "&amp;S171&amp;" در برگهٔ درخت جدید با نام «"&amp;T171&amp;"» از قبل تعریف شده",IF(COUNTIFS('درخت جدید'!$B:$B,S171&amp;"",'درخت جدید'!$A:$A,"معین")=0,IF(V171="","کد در درخت نیست — نام برای تعریف را بنویسید","OK"),"OK"))))</x:f>
      </x:c>
      <x:c r="V171" s="27">
        <x:f>IF(S171="","",IF(COUNTIFS('درخت جدید'!$B:$B,S171&amp;"",'درخت جدید'!$A:$A,"معین")=0,D171,""))</x:f>
      </x:c>
      <x:c r="W171" s="27"/>
      <x:c r="X171" s="38"/>
    </x:row>
    <x:row r="172" spans="1:24">
      <x:c r="A172" s="21" t="s">
        <x:v>52</x:v>
      </x:c>
      <x:c r="B172" s="22" t="s">
        <x:v>200</x:v>
      </x:c>
      <x:c r="C172" s="22" t="s">
        <x:v>53</x:v>
      </x:c>
      <x:c r="D172" s="22" t="s">
        <x:v>400</x:v>
      </x:c>
      <x:c r="E172" s="22" t="s">
        <x:v>194</x:v>
      </x:c>
      <x:c r="F172" s="22" t="s">
        <x:v>194</x:v>
      </x:c>
      <x:c r="G172" s="22" t="s">
        <x:v>199</x:v>
      </x:c>
      <x:c r="H172" s="22">
        <x:v>1</x:v>
      </x:c>
      <x:c r="I172" s="22">
        <x:v>0</x:v>
      </x:c>
      <x:c r="J172" s="22">
        <x:v>0</x:v>
      </x:c>
      <x:c r="K172" s="23">
        <x:v>0</x:v>
      </x:c>
      <x:c r="L172" s="23">
        <x:v>0</x:v>
      </x:c>
      <x:c r="M172" s="23">
        <x:f>K172-L172</x:f>
      </x:c>
      <x:c r="N172" s="22" t="s">
        <x:v>351</x:v>
      </x:c>
      <x:c r="O172" s="24">
        <x:f>IFERROR(INDEX('تطبیق کل'!$J:$J,MATCH(A172&amp;"",'تطبیق کل'!$A:$A,0))&amp;"","")</x:f>
      </x:c>
      <x:c r="P172" s="24">
        <x:f>IF(O172="","",O172&amp;B172)</x:f>
      </x:c>
      <x:c r="Q172" s="24">
        <x:f>IF(P172="","",IFERROR(INDEX('درخت جدید'!$C:$C,MATCH(P172&amp;"",'درخت جدید'!$B:$B,0)),"— در درخت نیست؛ با نام قدیم ساخته می‌شود —"))</x:f>
      </x:c>
      <x:c r="R172" s="25"/>
      <x:c r="S172" s="26">
        <x:f>P172</x:f>
      </x:c>
      <x:c r="T172" s="22">
        <x:f>IF(S172="","",IFERROR(INDEX('درخت جدید'!$C:$C,MATCH(S172&amp;"",'درخت جدید'!$B:$B,0)),"(ساخته می‌شود) "&amp;V172))</x:f>
      </x:c>
      <x:c r="U172" s="22">
        <x:f>IF(S172="",IF(N172="بله","الزامی — تکمیل نشده",""),IF(AND(O172&lt;&gt;"",LEFT(S172&amp;"",4)&lt;&gt;O172),"زیر کل دیگری است — کل یا معین را اصلاح کنید",IF(AND(S172=P172,FALSE,W172=""),"تداخل: کد "&amp;S172&amp;" در برگهٔ درخت جدید با نام «"&amp;T172&amp;"» از قبل تعریف شده",IF(COUNTIFS('درخت جدید'!$B:$B,S172&amp;"",'درخت جدید'!$A:$A,"معین")=0,IF(V172="","کد در درخت نیست — نام برای تعریف را بنویسید","OK"),"OK"))))</x:f>
      </x:c>
      <x:c r="V172" s="27">
        <x:f>IF(S172="","",IF(COUNTIFS('درخت جدید'!$B:$B,S172&amp;"",'درخت جدید'!$A:$A,"معین")=0,D172,""))</x:f>
      </x:c>
      <x:c r="W172" s="27"/>
      <x:c r="X172" s="38"/>
    </x:row>
    <x:row r="173" spans="1:24">
      <x:c r="A173" s="21" t="s">
        <x:v>52</x:v>
      </x:c>
      <x:c r="B173" s="22" t="s">
        <x:v>73</x:v>
      </x:c>
      <x:c r="C173" s="22" t="s">
        <x:v>53</x:v>
      </x:c>
      <x:c r="D173" s="22" t="s">
        <x:v>401</x:v>
      </x:c>
      <x:c r="E173" s="22" t="s">
        <x:v>194</x:v>
      </x:c>
      <x:c r="F173" s="22" t="s">
        <x:v>194</x:v>
      </x:c>
      <x:c r="G173" s="22" t="s">
        <x:v>195</x:v>
      </x:c>
      <x:c r="H173" s="22">
        <x:v>1</x:v>
      </x:c>
      <x:c r="I173" s="22">
        <x:v>0</x:v>
      </x:c>
      <x:c r="J173" s="22">
        <x:v>0</x:v>
      </x:c>
      <x:c r="K173" s="23">
        <x:v>0</x:v>
      </x:c>
      <x:c r="L173" s="23">
        <x:v>0</x:v>
      </x:c>
      <x:c r="M173" s="23">
        <x:f>K173-L173</x:f>
      </x:c>
      <x:c r="N173" s="22" t="s">
        <x:v>351</x:v>
      </x:c>
      <x:c r="O173" s="24">
        <x:f>IFERROR(INDEX('تطبیق کل'!$J:$J,MATCH(A173&amp;"",'تطبیق کل'!$A:$A,0))&amp;"","")</x:f>
      </x:c>
      <x:c r="P173" s="24">
        <x:f>IF(O173="","",O173&amp;B173)</x:f>
      </x:c>
      <x:c r="Q173" s="24">
        <x:f>IF(P173="","",IFERROR(INDEX('درخت جدید'!$C:$C,MATCH(P173&amp;"",'درخت جدید'!$B:$B,0)),"— در درخت نیست؛ با نام قدیم ساخته می‌شود —"))</x:f>
      </x:c>
      <x:c r="R173" s="25"/>
      <x:c r="S173" s="26">
        <x:f>P173</x:f>
      </x:c>
      <x:c r="T173" s="22">
        <x:f>IF(S173="","",IFERROR(INDEX('درخت جدید'!$C:$C,MATCH(S173&amp;"",'درخت جدید'!$B:$B,0)),"(ساخته می‌شود) "&amp;V173))</x:f>
      </x:c>
      <x:c r="U173" s="22">
        <x:f>IF(S173="",IF(N173="بله","الزامی — تکمیل نشده",""),IF(AND(O173&lt;&gt;"",LEFT(S173&amp;"",4)&lt;&gt;O173),"زیر کل دیگری است — کل یا معین را اصلاح کنید",IF(AND(S173=P173,FALSE,W173=""),"تداخل: کد "&amp;S173&amp;" در برگهٔ درخت جدید با نام «"&amp;T173&amp;"» از قبل تعریف شده",IF(COUNTIFS('درخت جدید'!$B:$B,S173&amp;"",'درخت جدید'!$A:$A,"معین")=0,IF(V173="","کد در درخت نیست — نام برای تعریف را بنویسید","OK"),"OK"))))</x:f>
      </x:c>
      <x:c r="V173" s="27">
        <x:f>IF(S173="","",IF(COUNTIFS('درخت جدید'!$B:$B,S173&amp;"",'درخت جدید'!$A:$A,"معین")=0,D173,""))</x:f>
      </x:c>
      <x:c r="W173" s="27"/>
      <x:c r="X173" s="38"/>
    </x:row>
    <x:row r="174" spans="1:24">
      <x:c r="A174" s="21" t="s">
        <x:v>52</x:v>
      </x:c>
      <x:c r="B174" s="22" t="s">
        <x:v>402</x:v>
      </x:c>
      <x:c r="C174" s="22" t="s">
        <x:v>53</x:v>
      </x:c>
      <x:c r="D174" s="22" t="s">
        <x:v>403</x:v>
      </x:c>
      <x:c r="E174" s="22" t="s">
        <x:v>194</x:v>
      </x:c>
      <x:c r="F174" s="22" t="s">
        <x:v>194</x:v>
      </x:c>
      <x:c r="G174" s="22" t="s">
        <x:v>199</x:v>
      </x:c>
      <x:c r="H174" s="22">
        <x:v>1</x:v>
      </x:c>
      <x:c r="I174" s="22">
        <x:v>0</x:v>
      </x:c>
      <x:c r="J174" s="22">
        <x:v>0</x:v>
      </x:c>
      <x:c r="K174" s="23">
        <x:v>0</x:v>
      </x:c>
      <x:c r="L174" s="23">
        <x:v>0</x:v>
      </x:c>
      <x:c r="M174" s="23">
        <x:f>K174-L174</x:f>
      </x:c>
      <x:c r="N174" s="22" t="s">
        <x:v>351</x:v>
      </x:c>
      <x:c r="O174" s="24">
        <x:f>IFERROR(INDEX('تطبیق کل'!$J:$J,MATCH(A174&amp;"",'تطبیق کل'!$A:$A,0))&amp;"","")</x:f>
      </x:c>
      <x:c r="P174" s="24">
        <x:f>IF(O174="","",O174&amp;B174)</x:f>
      </x:c>
      <x:c r="Q174" s="24">
        <x:f>IF(P174="","",IFERROR(INDEX('درخت جدید'!$C:$C,MATCH(P174&amp;"",'درخت جدید'!$B:$B,0)),"— در درخت نیست؛ با نام قدیم ساخته می‌شود —"))</x:f>
      </x:c>
      <x:c r="R174" s="25"/>
      <x:c r="S174" s="26">
        <x:f>P174</x:f>
      </x:c>
      <x:c r="T174" s="22">
        <x:f>IF(S174="","",IFERROR(INDEX('درخت جدید'!$C:$C,MATCH(S174&amp;"",'درخت جدید'!$B:$B,0)),"(ساخته می‌شود) "&amp;V174))</x:f>
      </x:c>
      <x:c r="U174" s="22">
        <x:f>IF(S174="",IF(N174="بله","الزامی — تکمیل نشده",""),IF(AND(O174&lt;&gt;"",LEFT(S174&amp;"",4)&lt;&gt;O174),"زیر کل دیگری است — کل یا معین را اصلاح کنید",IF(AND(S174=P174,FALSE,W174=""),"تداخل: کد "&amp;S174&amp;" در برگهٔ درخت جدید با نام «"&amp;T174&amp;"» از قبل تعریف شده",IF(COUNTIFS('درخت جدید'!$B:$B,S174&amp;"",'درخت جدید'!$A:$A,"معین")=0,IF(V174="","کد در درخت نیست — نام برای تعریف را بنویسید","OK"),"OK"))))</x:f>
      </x:c>
      <x:c r="V174" s="27">
        <x:f>IF(S174="","",IF(COUNTIFS('درخت جدید'!$B:$B,S174&amp;"",'درخت جدید'!$A:$A,"معین")=0,D174,""))</x:f>
      </x:c>
      <x:c r="W174" s="27"/>
      <x:c r="X174" s="38"/>
    </x:row>
    <x:row r="175" spans="1:24">
      <x:c r="A175" s="21" t="s">
        <x:v>52</x:v>
      </x:c>
      <x:c r="B175" s="22" t="s">
        <x:v>404</x:v>
      </x:c>
      <x:c r="C175" s="22" t="s">
        <x:v>53</x:v>
      </x:c>
      <x:c r="D175" s="22" t="s">
        <x:v>405</x:v>
      </x:c>
      <x:c r="E175" s="22" t="s">
        <x:v>194</x:v>
      </x:c>
      <x:c r="F175" s="22" t="s">
        <x:v>194</x:v>
      </x:c>
      <x:c r="G175" s="22" t="s">
        <x:v>199</x:v>
      </x:c>
      <x:c r="H175" s="22">
        <x:v>30</x:v>
      </x:c>
      <x:c r="I175" s="22">
        <x:v>0</x:v>
      </x:c>
      <x:c r="J175" s="22">
        <x:v>0</x:v>
      </x:c>
      <x:c r="K175" s="23">
        <x:v>0</x:v>
      </x:c>
      <x:c r="L175" s="23">
        <x:v>0</x:v>
      </x:c>
      <x:c r="M175" s="23">
        <x:f>K175-L175</x:f>
      </x:c>
      <x:c r="N175" s="22" t="s">
        <x:v>351</x:v>
      </x:c>
      <x:c r="O175" s="24">
        <x:f>IFERROR(INDEX('تطبیق کل'!$J:$J,MATCH(A175&amp;"",'تطبیق کل'!$A:$A,0))&amp;"","")</x:f>
      </x:c>
      <x:c r="P175" s="24">
        <x:f>IF(O175="","",O175&amp;B175)</x:f>
      </x:c>
      <x:c r="Q175" s="24">
        <x:f>IF(P175="","",IFERROR(INDEX('درخت جدید'!$C:$C,MATCH(P175&amp;"",'درخت جدید'!$B:$B,0)),"— در درخت نیست؛ با نام قدیم ساخته می‌شود —"))</x:f>
      </x:c>
      <x:c r="R175" s="25"/>
      <x:c r="S175" s="26">
        <x:f>P175</x:f>
      </x:c>
      <x:c r="T175" s="22">
        <x:f>IF(S175="","",IFERROR(INDEX('درخت جدید'!$C:$C,MATCH(S175&amp;"",'درخت جدید'!$B:$B,0)),"(ساخته می‌شود) "&amp;V175))</x:f>
      </x:c>
      <x:c r="U175" s="22">
        <x:f>IF(S175="",IF(N175="بله","الزامی — تکمیل نشده",""),IF(AND(O175&lt;&gt;"",LEFT(S175&amp;"",4)&lt;&gt;O175),"زیر کل دیگری است — کل یا معین را اصلاح کنید",IF(AND(S175=P175,FALSE,W175=""),"تداخل: کد "&amp;S175&amp;" در برگهٔ درخت جدید با نام «"&amp;T175&amp;"» از قبل تعریف شده",IF(COUNTIFS('درخت جدید'!$B:$B,S175&amp;"",'درخت جدید'!$A:$A,"معین")=0,IF(V175="","کد در درخت نیست — نام برای تعریف را بنویسید","OK"),"OK"))))</x:f>
      </x:c>
      <x:c r="V175" s="27">
        <x:f>IF(S175="","",IF(COUNTIFS('درخت جدید'!$B:$B,S175&amp;"",'درخت جدید'!$A:$A,"معین")=0,D175,""))</x:f>
      </x:c>
      <x:c r="W175" s="27"/>
      <x:c r="X175" s="38"/>
    </x:row>
    <x:row r="176" spans="1:24">
      <x:c r="A176" s="21" t="s">
        <x:v>52</x:v>
      </x:c>
      <x:c r="B176" s="22" t="s">
        <x:v>406</x:v>
      </x:c>
      <x:c r="C176" s="22" t="s">
        <x:v>53</x:v>
      </x:c>
      <x:c r="D176" s="22" t="s">
        <x:v>407</x:v>
      </x:c>
      <x:c r="E176" s="22" t="s">
        <x:v>194</x:v>
      </x:c>
      <x:c r="F176" s="22" t="s">
        <x:v>194</x:v>
      </x:c>
      <x:c r="G176" s="22" t="s">
        <x:v>195</x:v>
      </x:c>
      <x:c r="H176" s="22">
        <x:v>105</x:v>
      </x:c>
      <x:c r="I176" s="22">
        <x:v>0</x:v>
      </x:c>
      <x:c r="J176" s="22">
        <x:v>0</x:v>
      </x:c>
      <x:c r="K176" s="23">
        <x:v>0</x:v>
      </x:c>
      <x:c r="L176" s="23">
        <x:v>0</x:v>
      </x:c>
      <x:c r="M176" s="23">
        <x:f>K176-L176</x:f>
      </x:c>
      <x:c r="N176" s="22" t="s">
        <x:v>351</x:v>
      </x:c>
      <x:c r="O176" s="24">
        <x:f>IFERROR(INDEX('تطبیق کل'!$J:$J,MATCH(A176&amp;"",'تطبیق کل'!$A:$A,0))&amp;"","")</x:f>
      </x:c>
      <x:c r="P176" s="24">
        <x:f>IF(O176="","",O176&amp;B176)</x:f>
      </x:c>
      <x:c r="Q176" s="24">
        <x:f>IF(P176="","",IFERROR(INDEX('درخت جدید'!$C:$C,MATCH(P176&amp;"",'درخت جدید'!$B:$B,0)),"— در درخت نیست؛ با نام قدیم ساخته می‌شود —"))</x:f>
      </x:c>
      <x:c r="R176" s="25"/>
      <x:c r="S176" s="26">
        <x:f>P176</x:f>
      </x:c>
      <x:c r="T176" s="22">
        <x:f>IF(S176="","",IFERROR(INDEX('درخت جدید'!$C:$C,MATCH(S176&amp;"",'درخت جدید'!$B:$B,0)),"(ساخته می‌شود) "&amp;V176))</x:f>
      </x:c>
      <x:c r="U176" s="22">
        <x:f>IF(S176="",IF(N176="بله","الزامی — تکمیل نشده",""),IF(AND(O176&lt;&gt;"",LEFT(S176&amp;"",4)&lt;&gt;O176),"زیر کل دیگری است — کل یا معین را اصلاح کنید",IF(AND(S176=P176,FALSE,W176=""),"تداخل: کد "&amp;S176&amp;" در برگهٔ درخت جدید با نام «"&amp;T176&amp;"» از قبل تعریف شده",IF(COUNTIFS('درخت جدید'!$B:$B,S176&amp;"",'درخت جدید'!$A:$A,"معین")=0,IF(V176="","کد در درخت نیست — نام برای تعریف را بنویسید","OK"),"OK"))))</x:f>
      </x:c>
      <x:c r="V176" s="27">
        <x:f>IF(S176="","",IF(COUNTIFS('درخت جدید'!$B:$B,S176&amp;"",'درخت جدید'!$A:$A,"معین")=0,D176,""))</x:f>
      </x:c>
      <x:c r="W176" s="27"/>
      <x:c r="X176" s="38"/>
    </x:row>
    <x:row r="177" spans="1:24">
      <x:c r="A177" s="21" t="s">
        <x:v>52</x:v>
      </x:c>
      <x:c r="B177" s="22" t="s">
        <x:v>85</x:v>
      </x:c>
      <x:c r="C177" s="22" t="s">
        <x:v>53</x:v>
      </x:c>
      <x:c r="D177" s="22" t="s">
        <x:v>382</x:v>
      </x:c>
      <x:c r="E177" s="22" t="s">
        <x:v>194</x:v>
      </x:c>
      <x:c r="F177" s="22" t="s">
        <x:v>194</x:v>
      </x:c>
      <x:c r="G177" s="22" t="s">
        <x:v>199</x:v>
      </x:c>
      <x:c r="H177" s="22">
        <x:v>2</x:v>
      </x:c>
      <x:c r="I177" s="22">
        <x:v>0</x:v>
      </x:c>
      <x:c r="J177" s="22">
        <x:v>0</x:v>
      </x:c>
      <x:c r="K177" s="23">
        <x:v>0</x:v>
      </x:c>
      <x:c r="L177" s="23">
        <x:v>0</x:v>
      </x:c>
      <x:c r="M177" s="23">
        <x:f>K177-L177</x:f>
      </x:c>
      <x:c r="N177" s="22" t="s">
        <x:v>351</x:v>
      </x:c>
      <x:c r="O177" s="24">
        <x:f>IFERROR(INDEX('تطبیق کل'!$J:$J,MATCH(A177&amp;"",'تطبیق کل'!$A:$A,0))&amp;"","")</x:f>
      </x:c>
      <x:c r="P177" s="24">
        <x:f>IF(O177="","",O177&amp;B177)</x:f>
      </x:c>
      <x:c r="Q177" s="24">
        <x:f>IF(P177="","",IFERROR(INDEX('درخت جدید'!$C:$C,MATCH(P177&amp;"",'درخت جدید'!$B:$B,0)),"— در درخت نیست؛ با نام قدیم ساخته می‌شود —"))</x:f>
      </x:c>
      <x:c r="R177" s="25"/>
      <x:c r="S177" s="26">
        <x:f>P177</x:f>
      </x:c>
      <x:c r="T177" s="22">
        <x:f>IF(S177="","",IFERROR(INDEX('درخت جدید'!$C:$C,MATCH(S177&amp;"",'درخت جدید'!$B:$B,0)),"(ساخته می‌شود) "&amp;V177))</x:f>
      </x:c>
      <x:c r="U177" s="22">
        <x:f>IF(S177="",IF(N177="بله","الزامی — تکمیل نشده",""),IF(AND(O177&lt;&gt;"",LEFT(S177&amp;"",4)&lt;&gt;O177),"زیر کل دیگری است — کل یا معین را اصلاح کنید",IF(AND(S177=P177,FALSE,W177=""),"تداخل: کد "&amp;S177&amp;" در برگهٔ درخت جدید با نام «"&amp;T177&amp;"» از قبل تعریف شده",IF(COUNTIFS('درخت جدید'!$B:$B,S177&amp;"",'درخت جدید'!$A:$A,"معین")=0,IF(V177="","کد در درخت نیست — نام برای تعریف را بنویسید","OK"),"OK"))))</x:f>
      </x:c>
      <x:c r="V177" s="27">
        <x:f>IF(S177="","",IF(COUNTIFS('درخت جدید'!$B:$B,S177&amp;"",'درخت جدید'!$A:$A,"معین")=0,D177,""))</x:f>
      </x:c>
      <x:c r="W177" s="27"/>
      <x:c r="X177" s="38"/>
    </x:row>
    <x:row r="178" spans="1:24">
      <x:c r="A178" s="21" t="s">
        <x:v>52</x:v>
      </x:c>
      <x:c r="B178" s="22" t="s">
        <x:v>115</x:v>
      </x:c>
      <x:c r="C178" s="22" t="s">
        <x:v>53</x:v>
      </x:c>
      <x:c r="D178" s="22" t="s">
        <x:v>408</x:v>
      </x:c>
      <x:c r="E178" s="22" t="s">
        <x:v>194</x:v>
      </x:c>
      <x:c r="F178" s="22" t="s">
        <x:v>194</x:v>
      </x:c>
      <x:c r="G178" s="22" t="s">
        <x:v>199</x:v>
      </x:c>
      <x:c r="H178" s="22">
        <x:v>1</x:v>
      </x:c>
      <x:c r="I178" s="22">
        <x:v>0</x:v>
      </x:c>
      <x:c r="J178" s="22">
        <x:v>0</x:v>
      </x:c>
      <x:c r="K178" s="23">
        <x:v>0</x:v>
      </x:c>
      <x:c r="L178" s="23">
        <x:v>0</x:v>
      </x:c>
      <x:c r="M178" s="23">
        <x:f>K178-L178</x:f>
      </x:c>
      <x:c r="N178" s="22" t="s">
        <x:v>351</x:v>
      </x:c>
      <x:c r="O178" s="24">
        <x:f>IFERROR(INDEX('تطبیق کل'!$J:$J,MATCH(A178&amp;"",'تطبیق کل'!$A:$A,0))&amp;"","")</x:f>
      </x:c>
      <x:c r="P178" s="24">
        <x:f>IF(O178="","",O178&amp;B178)</x:f>
      </x:c>
      <x:c r="Q178" s="24">
        <x:f>IF(P178="","",IFERROR(INDEX('درخت جدید'!$C:$C,MATCH(P178&amp;"",'درخت جدید'!$B:$B,0)),"— در درخت نیست؛ با نام قدیم ساخته می‌شود —"))</x:f>
      </x:c>
      <x:c r="R178" s="25"/>
      <x:c r="S178" s="26">
        <x:f>P178</x:f>
      </x:c>
      <x:c r="T178" s="22">
        <x:f>IF(S178="","",IFERROR(INDEX('درخت جدید'!$C:$C,MATCH(S178&amp;"",'درخت جدید'!$B:$B,0)),"(ساخته می‌شود) "&amp;V178))</x:f>
      </x:c>
      <x:c r="U178" s="22">
        <x:f>IF(S178="",IF(N178="بله","الزامی — تکمیل نشده",""),IF(AND(O178&lt;&gt;"",LEFT(S178&amp;"",4)&lt;&gt;O178),"زیر کل دیگری است — کل یا معین را اصلاح کنید",IF(AND(S178=P178,FALSE,W178=""),"تداخل: کد "&amp;S178&amp;" در برگهٔ درخت جدید با نام «"&amp;T178&amp;"» از قبل تعریف شده",IF(COUNTIFS('درخت جدید'!$B:$B,S178&amp;"",'درخت جدید'!$A:$A,"معین")=0,IF(V178="","کد در درخت نیست — نام برای تعریف را بنویسید","OK"),"OK"))))</x:f>
      </x:c>
      <x:c r="V178" s="27">
        <x:f>IF(S178="","",IF(COUNTIFS('درخت جدید'!$B:$B,S178&amp;"",'درخت جدید'!$A:$A,"معین")=0,D178,""))</x:f>
      </x:c>
      <x:c r="W178" s="27"/>
      <x:c r="X178" s="38"/>
    </x:row>
    <x:row r="179" spans="1:24">
      <x:c r="A179" s="21" t="s">
        <x:v>52</x:v>
      </x:c>
      <x:c r="B179" s="22" t="s">
        <x:v>166</x:v>
      </x:c>
      <x:c r="C179" s="22" t="s">
        <x:v>53</x:v>
      </x:c>
      <x:c r="D179" s="22" t="s">
        <x:v>409</x:v>
      </x:c>
      <x:c r="E179" s="22" t="s">
        <x:v>194</x:v>
      </x:c>
      <x:c r="F179" s="22" t="s">
        <x:v>194</x:v>
      </x:c>
      <x:c r="G179" s="22" t="s">
        <x:v>199</x:v>
      </x:c>
      <x:c r="H179" s="22">
        <x:v>1</x:v>
      </x:c>
      <x:c r="I179" s="22">
        <x:v>0</x:v>
      </x:c>
      <x:c r="J179" s="22">
        <x:v>0</x:v>
      </x:c>
      <x:c r="K179" s="23">
        <x:v>0</x:v>
      </x:c>
      <x:c r="L179" s="23">
        <x:v>0</x:v>
      </x:c>
      <x:c r="M179" s="23">
        <x:f>K179-L179</x:f>
      </x:c>
      <x:c r="N179" s="22" t="s">
        <x:v>351</x:v>
      </x:c>
      <x:c r="O179" s="24">
        <x:f>IFERROR(INDEX('تطبیق کل'!$J:$J,MATCH(A179&amp;"",'تطبیق کل'!$A:$A,0))&amp;"","")</x:f>
      </x:c>
      <x:c r="P179" s="24">
        <x:f>IF(O179="","",O179&amp;B179)</x:f>
      </x:c>
      <x:c r="Q179" s="24">
        <x:f>IF(P179="","",IFERROR(INDEX('درخت جدید'!$C:$C,MATCH(P179&amp;"",'درخت جدید'!$B:$B,0)),"— در درخت نیست؛ با نام قدیم ساخته می‌شود —"))</x:f>
      </x:c>
      <x:c r="R179" s="25"/>
      <x:c r="S179" s="26">
        <x:f>P179</x:f>
      </x:c>
      <x:c r="T179" s="22">
        <x:f>IF(S179="","",IFERROR(INDEX('درخت جدید'!$C:$C,MATCH(S179&amp;"",'درخت جدید'!$B:$B,0)),"(ساخته می‌شود) "&amp;V179))</x:f>
      </x:c>
      <x:c r="U179" s="22">
        <x:f>IF(S179="",IF(N179="بله","الزامی — تکمیل نشده",""),IF(AND(O179&lt;&gt;"",LEFT(S179&amp;"",4)&lt;&gt;O179),"زیر کل دیگری است — کل یا معین را اصلاح کنید",IF(AND(S179=P179,FALSE,W179=""),"تداخل: کد "&amp;S179&amp;" در برگهٔ درخت جدید با نام «"&amp;T179&amp;"» از قبل تعریف شده",IF(COUNTIFS('درخت جدید'!$B:$B,S179&amp;"",'درخت جدید'!$A:$A,"معین")=0,IF(V179="","کد در درخت نیست — نام برای تعریف را بنویسید","OK"),"OK"))))</x:f>
      </x:c>
      <x:c r="V179" s="27">
        <x:f>IF(S179="","",IF(COUNTIFS('درخت جدید'!$B:$B,S179&amp;"",'درخت جدید'!$A:$A,"معین")=0,D179,""))</x:f>
      </x:c>
      <x:c r="W179" s="27"/>
      <x:c r="X179" s="38"/>
    </x:row>
    <x:row r="180" spans="1:24">
      <x:c r="A180" s="21" t="s">
        <x:v>55</x:v>
      </x:c>
      <x:c r="B180" s="22" t="s">
        <x:v>202</x:v>
      </x:c>
      <x:c r="C180" s="22" t="s">
        <x:v>56</x:v>
      </x:c>
      <x:c r="D180" s="22" t="s">
        <x:v>410</x:v>
      </x:c>
      <x:c r="E180" s="22" t="s">
        <x:v>194</x:v>
      </x:c>
      <x:c r="F180" s="22" t="s">
        <x:v>194</x:v>
      </x:c>
      <x:c r="G180" s="22" t="s">
        <x:v>199</x:v>
      </x:c>
      <x:c r="H180" s="22">
        <x:v>1</x:v>
      </x:c>
      <x:c r="I180" s="22">
        <x:v>0</x:v>
      </x:c>
      <x:c r="J180" s="22">
        <x:v>0</x:v>
      </x:c>
      <x:c r="K180" s="23">
        <x:v>0</x:v>
      </x:c>
      <x:c r="L180" s="23">
        <x:v>0</x:v>
      </x:c>
      <x:c r="M180" s="23">
        <x:f>K180-L180</x:f>
      </x:c>
      <x:c r="N180" s="22" t="s">
        <x:v>351</x:v>
      </x:c>
      <x:c r="O180" s="24">
        <x:f>IFERROR(INDEX('تطبیق کل'!$J:$J,MATCH(A180&amp;"",'تطبیق کل'!$A:$A,0))&amp;"","")</x:f>
      </x:c>
      <x:c r="P180" s="24">
        <x:f>IF(O180="","",O180&amp;B180)</x:f>
      </x:c>
      <x:c r="Q180" s="24">
        <x:f>IF(P180="","",IFERROR(INDEX('درخت جدید'!$C:$C,MATCH(P180&amp;"",'درخت جدید'!$B:$B,0)),"— در درخت نیست؛ با نام قدیم ساخته می‌شود —"))</x:f>
      </x:c>
      <x:c r="R180" s="25">
        <x:v>0</x:v>
      </x:c>
      <x:c r="S180" s="26">
        <x:f>P180</x:f>
      </x:c>
      <x:c r="T180" s="22">
        <x:f>IF(S180="","",IFERROR(INDEX('درخت جدید'!$C:$C,MATCH(S180&amp;"",'درخت جدید'!$B:$B,0)),"(ساخته می‌شود) "&amp;V180))</x:f>
      </x:c>
      <x:c r="U180" s="22">
        <x:f>IF(S180="",IF(N180="بله","الزامی — تکمیل نشده",""),IF(AND(O180&lt;&gt;"",LEFT(S180&amp;"",4)&lt;&gt;O180),"زیر کل دیگری است — کل یا معین را اصلاح کنید",IF(AND(S180=P180,TRUE,W180=""),"تداخل: کد "&amp;S180&amp;" در برگهٔ درخت جدید با نام «"&amp;T180&amp;"» از قبل تعریف شده",IF(COUNTIFS('درخت جدید'!$B:$B,S180&amp;"",'درخت جدید'!$A:$A,"معین")=0,IF(V180="","کد در درخت نیست — نام برای تعریف را بنویسید","OK"),"OK"))))</x:f>
      </x:c>
      <x:c r="V180" s="27">
        <x:f>IF(S180="","",IF(COUNTIFS('درخت جدید'!$B:$B,S180&amp;"",'درخت جدید'!$A:$A,"معین")=0,D180,""))</x:f>
      </x:c>
      <x:c r="W180" s="27"/>
      <x:c r="X180" s="38"/>
    </x:row>
    <x:row r="181" spans="1:24">
      <x:c r="A181" s="21" t="s">
        <x:v>55</x:v>
      </x:c>
      <x:c r="B181" s="22" t="s">
        <x:v>197</x:v>
      </x:c>
      <x:c r="C181" s="22" t="s">
        <x:v>56</x:v>
      </x:c>
      <x:c r="D181" s="22" t="s">
        <x:v>411</x:v>
      </x:c>
      <x:c r="E181" s="22" t="s">
        <x:v>194</x:v>
      </x:c>
      <x:c r="F181" s="22" t="s">
        <x:v>194</x:v>
      </x:c>
      <x:c r="G181" s="22" t="s">
        <x:v>199</x:v>
      </x:c>
      <x:c r="H181" s="22">
        <x:v>1</x:v>
      </x:c>
      <x:c r="I181" s="22">
        <x:v>0</x:v>
      </x:c>
      <x:c r="J181" s="22">
        <x:v>0</x:v>
      </x:c>
      <x:c r="K181" s="23">
        <x:v>0</x:v>
      </x:c>
      <x:c r="L181" s="23">
        <x:v>0</x:v>
      </x:c>
      <x:c r="M181" s="23">
        <x:f>K181-L181</x:f>
      </x:c>
      <x:c r="N181" s="22" t="s">
        <x:v>351</x:v>
      </x:c>
      <x:c r="O181" s="24">
        <x:f>IFERROR(INDEX('تطبیق کل'!$J:$J,MATCH(A181&amp;"",'تطبیق کل'!$A:$A,0))&amp;"","")</x:f>
      </x:c>
      <x:c r="P181" s="24">
        <x:f>IF(O181="","",O181&amp;B181)</x:f>
      </x:c>
      <x:c r="Q181" s="24">
        <x:f>IF(P181="","",IFERROR(INDEX('درخت جدید'!$C:$C,MATCH(P181&amp;"",'درخت جدید'!$B:$B,0)),"— در درخت نیست؛ با نام قدیم ساخته می‌شود —"))</x:f>
      </x:c>
      <x:c r="R181" s="25">
        <x:v>0.53</x:v>
      </x:c>
      <x:c r="S181" s="26">
        <x:f>P181</x:f>
      </x:c>
      <x:c r="T181" s="22">
        <x:f>IF(S181="","",IFERROR(INDEX('درخت جدید'!$C:$C,MATCH(S181&amp;"",'درخت جدید'!$B:$B,0)),"(ساخته می‌شود) "&amp;V181))</x:f>
      </x:c>
      <x:c r="U181" s="22">
        <x:f>IF(S181="",IF(N181="بله","الزامی — تکمیل نشده",""),IF(AND(O181&lt;&gt;"",LEFT(S181&amp;"",4)&lt;&gt;O181),"زیر کل دیگری است — کل یا معین را اصلاح کنید",IF(AND(S181=P181,TRUE,W181=""),"تداخل: کد "&amp;S181&amp;" در برگهٔ درخت جدید با نام «"&amp;T181&amp;"» از قبل تعریف شده",IF(COUNTIFS('درخت جدید'!$B:$B,S181&amp;"",'درخت جدید'!$A:$A,"معین")=0,IF(V181="","کد در درخت نیست — نام برای تعریف را بنویسید","OK"),"OK"))))</x:f>
      </x:c>
      <x:c r="V181" s="27">
        <x:f>IF(S181="","",IF(COUNTIFS('درخت جدید'!$B:$B,S181&amp;"",'درخت جدید'!$A:$A,"معین")=0,D181,""))</x:f>
      </x:c>
      <x:c r="W181" s="27"/>
      <x:c r="X181" s="38"/>
    </x:row>
    <x:row r="182" spans="1:24">
      <x:c r="A182" s="21" t="s">
        <x:v>55</x:v>
      </x:c>
      <x:c r="B182" s="22" t="s">
        <x:v>205</x:v>
      </x:c>
      <x:c r="C182" s="22" t="s">
        <x:v>56</x:v>
      </x:c>
      <x:c r="D182" s="22" t="s">
        <x:v>412</x:v>
      </x:c>
      <x:c r="E182" s="22" t="s">
        <x:v>194</x:v>
      </x:c>
      <x:c r="F182" s="22" t="s">
        <x:v>194</x:v>
      </x:c>
      <x:c r="G182" s="22" t="s">
        <x:v>199</x:v>
      </x:c>
      <x:c r="H182" s="22">
        <x:v>2</x:v>
      </x:c>
      <x:c r="I182" s="22">
        <x:v>0</x:v>
      </x:c>
      <x:c r="J182" s="22">
        <x:v>0</x:v>
      </x:c>
      <x:c r="K182" s="23">
        <x:v>0</x:v>
      </x:c>
      <x:c r="L182" s="23">
        <x:v>0</x:v>
      </x:c>
      <x:c r="M182" s="23">
        <x:f>K182-L182</x:f>
      </x:c>
      <x:c r="N182" s="22" t="s">
        <x:v>351</x:v>
      </x:c>
      <x:c r="O182" s="24">
        <x:f>IFERROR(INDEX('تطبیق کل'!$J:$J,MATCH(A182&amp;"",'تطبیق کل'!$A:$A,0))&amp;"","")</x:f>
      </x:c>
      <x:c r="P182" s="24">
        <x:f>IF(O182="","",O182&amp;B182)</x:f>
      </x:c>
      <x:c r="Q182" s="24">
        <x:f>IF(P182="","",IFERROR(INDEX('درخت جدید'!$C:$C,MATCH(P182&amp;"",'درخت جدید'!$B:$B,0)),"— در درخت نیست؛ با نام قدیم ساخته می‌شود —"))</x:f>
      </x:c>
      <x:c r="R182" s="25"/>
      <x:c r="S182" s="26">
        <x:f>P182</x:f>
      </x:c>
      <x:c r="T182" s="22">
        <x:f>IF(S182="","",IFERROR(INDEX('درخت جدید'!$C:$C,MATCH(S182&amp;"",'درخت جدید'!$B:$B,0)),"(ساخته می‌شود) "&amp;V182))</x:f>
      </x:c>
      <x:c r="U182" s="22">
        <x:f>IF(S182="",IF(N182="بله","الزامی — تکمیل نشده",""),IF(AND(O182&lt;&gt;"",LEFT(S182&amp;"",4)&lt;&gt;O182),"زیر کل دیگری است — کل یا معین را اصلاح کنید",IF(AND(S182=P182,FALSE,W182=""),"تداخل: کد "&amp;S182&amp;" در برگهٔ درخت جدید با نام «"&amp;T182&amp;"» از قبل تعریف شده",IF(COUNTIFS('درخت جدید'!$B:$B,S182&amp;"",'درخت جدید'!$A:$A,"معین")=0,IF(V182="","کد در درخت نیست — نام برای تعریف را بنویسید","OK"),"OK"))))</x:f>
      </x:c>
      <x:c r="V182" s="27">
        <x:f>IF(S182="","",IF(COUNTIFS('درخت جدید'!$B:$B,S182&amp;"",'درخت جدید'!$A:$A,"معین")=0,D182,""))</x:f>
      </x:c>
      <x:c r="W182" s="27"/>
      <x:c r="X182" s="38"/>
    </x:row>
    <x:row r="183" spans="1:24">
      <x:c r="A183" s="21" t="s">
        <x:v>59</x:v>
      </x:c>
      <x:c r="B183" s="22" t="s">
        <x:v>197</x:v>
      </x:c>
      <x:c r="C183" s="22" t="s">
        <x:v>60</x:v>
      </x:c>
      <x:c r="D183" s="22" t="s">
        <x:v>413</x:v>
      </x:c>
      <x:c r="E183" s="22" t="s">
        <x:v>194</x:v>
      </x:c>
      <x:c r="F183" s="22" t="s">
        <x:v>194</x:v>
      </x:c>
      <x:c r="G183" s="22" t="s">
        <x:v>199</x:v>
      </x:c>
      <x:c r="H183" s="22">
        <x:v>3</x:v>
      </x:c>
      <x:c r="I183" s="22">
        <x:v>0</x:v>
      </x:c>
      <x:c r="J183" s="22">
        <x:v>0</x:v>
      </x:c>
      <x:c r="K183" s="23">
        <x:v>0</x:v>
      </x:c>
      <x:c r="L183" s="23">
        <x:v>0</x:v>
      </x:c>
      <x:c r="M183" s="23">
        <x:f>K183-L183</x:f>
      </x:c>
      <x:c r="N183" s="22" t="s">
        <x:v>351</x:v>
      </x:c>
      <x:c r="O183" s="24">
        <x:f>IFERROR(INDEX('تطبیق کل'!$J:$J,MATCH(A183&amp;"",'تطبیق کل'!$A:$A,0))&amp;"","")</x:f>
      </x:c>
      <x:c r="P183" s="24">
        <x:f>IF(O183="","",O183&amp;B183)</x:f>
      </x:c>
      <x:c r="Q183" s="24">
        <x:f>IF(P183="","",IFERROR(INDEX('درخت جدید'!$C:$C,MATCH(P183&amp;"",'درخت جدید'!$B:$B,0)),"— در درخت نیست؛ با نام قدیم ساخته می‌شود —"))</x:f>
      </x:c>
      <x:c r="R183" s="25"/>
      <x:c r="S183" s="26">
        <x:f>P183</x:f>
      </x:c>
      <x:c r="T183" s="22">
        <x:f>IF(S183="","",IFERROR(INDEX('درخت جدید'!$C:$C,MATCH(S183&amp;"",'درخت جدید'!$B:$B,0)),"(ساخته می‌شود) "&amp;V183))</x:f>
      </x:c>
      <x:c r="U183" s="22">
        <x:f>IF(S183="",IF(N183="بله","الزامی — تکمیل نشده",""),IF(AND(O183&lt;&gt;"",LEFT(S183&amp;"",4)&lt;&gt;O183),"زیر کل دیگری است — کل یا معین را اصلاح کنید",IF(AND(S183=P183,FALSE,W183=""),"تداخل: کد "&amp;S183&amp;" در برگهٔ درخت جدید با نام «"&amp;T183&amp;"» از قبل تعریف شده",IF(COUNTIFS('درخت جدید'!$B:$B,S183&amp;"",'درخت جدید'!$A:$A,"معین")=0,IF(V183="","کد در درخت نیست — نام برای تعریف را بنویسید","OK"),"OK"))))</x:f>
      </x:c>
      <x:c r="V183" s="27">
        <x:f>IF(S183="","",IF(COUNTIFS('درخت جدید'!$B:$B,S183&amp;"",'درخت جدید'!$A:$A,"معین")=0,D183,""))</x:f>
      </x:c>
      <x:c r="W183" s="27"/>
      <x:c r="X183" s="38"/>
    </x:row>
    <x:row r="184" spans="1:24">
      <x:c r="A184" s="21" t="s">
        <x:v>59</x:v>
      </x:c>
      <x:c r="B184" s="22" t="s">
        <x:v>205</x:v>
      </x:c>
      <x:c r="C184" s="22" t="s">
        <x:v>60</x:v>
      </x:c>
      <x:c r="D184" s="22" t="s">
        <x:v>414</x:v>
      </x:c>
      <x:c r="E184" s="22" t="s">
        <x:v>194</x:v>
      </x:c>
      <x:c r="F184" s="22" t="s">
        <x:v>194</x:v>
      </x:c>
      <x:c r="G184" s="22" t="s">
        <x:v>199</x:v>
      </x:c>
      <x:c r="H184" s="22">
        <x:v>1</x:v>
      </x:c>
      <x:c r="I184" s="22">
        <x:v>0</x:v>
      </x:c>
      <x:c r="J184" s="22">
        <x:v>0</x:v>
      </x:c>
      <x:c r="K184" s="23">
        <x:v>0</x:v>
      </x:c>
      <x:c r="L184" s="23">
        <x:v>0</x:v>
      </x:c>
      <x:c r="M184" s="23">
        <x:f>K184-L184</x:f>
      </x:c>
      <x:c r="N184" s="22" t="s">
        <x:v>351</x:v>
      </x:c>
      <x:c r="O184" s="24">
        <x:f>IFERROR(INDEX('تطبیق کل'!$J:$J,MATCH(A184&amp;"",'تطبیق کل'!$A:$A,0))&amp;"","")</x:f>
      </x:c>
      <x:c r="P184" s="24">
        <x:f>IF(O184="","",O184&amp;B184)</x:f>
      </x:c>
      <x:c r="Q184" s="24">
        <x:f>IF(P184="","",IFERROR(INDEX('درخت جدید'!$C:$C,MATCH(P184&amp;"",'درخت جدید'!$B:$B,0)),"— در درخت نیست؛ با نام قدیم ساخته می‌شود —"))</x:f>
      </x:c>
      <x:c r="R184" s="25"/>
      <x:c r="S184" s="26">
        <x:f>P184</x:f>
      </x:c>
      <x:c r="T184" s="22">
        <x:f>IF(S184="","",IFERROR(INDEX('درخت جدید'!$C:$C,MATCH(S184&amp;"",'درخت جدید'!$B:$B,0)),"(ساخته می‌شود) "&amp;V184))</x:f>
      </x:c>
      <x:c r="U184" s="22">
        <x:f>IF(S184="",IF(N184="بله","الزامی — تکمیل نشده",""),IF(AND(O184&lt;&gt;"",LEFT(S184&amp;"",4)&lt;&gt;O184),"زیر کل دیگری است — کل یا معین را اصلاح کنید",IF(AND(S184=P184,FALSE,W184=""),"تداخل: کد "&amp;S184&amp;" در برگهٔ درخت جدید با نام «"&amp;T184&amp;"» از قبل تعریف شده",IF(COUNTIFS('درخت جدید'!$B:$B,S184&amp;"",'درخت جدید'!$A:$A,"معین")=0,IF(V184="","کد در درخت نیست — نام برای تعریف را بنویسید","OK"),"OK"))))</x:f>
      </x:c>
      <x:c r="V184" s="27">
        <x:f>IF(S184="","",IF(COUNTIFS('درخت جدید'!$B:$B,S184&amp;"",'درخت جدید'!$A:$A,"معین")=0,D184,""))</x:f>
      </x:c>
      <x:c r="W184" s="27"/>
      <x:c r="X184" s="38"/>
    </x:row>
    <x:row r="185" spans="1:24">
      <x:c r="A185" s="21" t="s">
        <x:v>59</x:v>
      </x:c>
      <x:c r="B185" s="22" t="s">
        <x:v>59</x:v>
      </x:c>
      <x:c r="C185" s="22" t="s">
        <x:v>60</x:v>
      </x:c>
      <x:c r="D185" s="22" t="s">
        <x:v>412</x:v>
      </x:c>
      <x:c r="E185" s="22" t="s">
        <x:v>194</x:v>
      </x:c>
      <x:c r="F185" s="22" t="s">
        <x:v>194</x:v>
      </x:c>
      <x:c r="G185" s="22" t="s">
        <x:v>199</x:v>
      </x:c>
      <x:c r="H185" s="22">
        <x:v>2</x:v>
      </x:c>
      <x:c r="I185" s="22">
        <x:v>0</x:v>
      </x:c>
      <x:c r="J185" s="22">
        <x:v>0</x:v>
      </x:c>
      <x:c r="K185" s="23">
        <x:v>0</x:v>
      </x:c>
      <x:c r="L185" s="23">
        <x:v>0</x:v>
      </x:c>
      <x:c r="M185" s="23">
        <x:f>K185-L185</x:f>
      </x:c>
      <x:c r="N185" s="22" t="s">
        <x:v>351</x:v>
      </x:c>
      <x:c r="O185" s="24">
        <x:f>IFERROR(INDEX('تطبیق کل'!$J:$J,MATCH(A185&amp;"",'تطبیق کل'!$A:$A,0))&amp;"","")</x:f>
      </x:c>
      <x:c r="P185" s="24">
        <x:f>IF(O185="","",O185&amp;B185)</x:f>
      </x:c>
      <x:c r="Q185" s="24">
        <x:f>IF(P185="","",IFERROR(INDEX('درخت جدید'!$C:$C,MATCH(P185&amp;"",'درخت جدید'!$B:$B,0)),"— در درخت نیست؛ با نام قدیم ساخته می‌شود —"))</x:f>
      </x:c>
      <x:c r="R185" s="25"/>
      <x:c r="S185" s="26">
        <x:f>P185</x:f>
      </x:c>
      <x:c r="T185" s="22">
        <x:f>IF(S185="","",IFERROR(INDEX('درخت جدید'!$C:$C,MATCH(S185&amp;"",'درخت جدید'!$B:$B,0)),"(ساخته می‌شود) "&amp;V185))</x:f>
      </x:c>
      <x:c r="U185" s="22">
        <x:f>IF(S185="",IF(N185="بله","الزامی — تکمیل نشده",""),IF(AND(O185&lt;&gt;"",LEFT(S185&amp;"",4)&lt;&gt;O185),"زیر کل دیگری است — کل یا معین را اصلاح کنید",IF(AND(S185=P185,FALSE,W185=""),"تداخل: کد "&amp;S185&amp;" در برگهٔ درخت جدید با نام «"&amp;T185&amp;"» از قبل تعریف شده",IF(COUNTIFS('درخت جدید'!$B:$B,S185&amp;"",'درخت جدید'!$A:$A,"معین")=0,IF(V185="","کد در درخت نیست — نام برای تعریف را بنویسید","OK"),"OK"))))</x:f>
      </x:c>
      <x:c r="V185" s="27">
        <x:f>IF(S185="","",IF(COUNTIFS('درخت جدید'!$B:$B,S185&amp;"",'درخت جدید'!$A:$A,"معین")=0,D185,""))</x:f>
      </x:c>
      <x:c r="W185" s="27"/>
      <x:c r="X185" s="38"/>
    </x:row>
    <x:row r="186" spans="1:24">
      <x:c r="A186" s="21" t="s">
        <x:v>59</x:v>
      </x:c>
      <x:c r="B186" s="22" t="s">
        <x:v>200</x:v>
      </x:c>
      <x:c r="C186" s="22" t="s">
        <x:v>60</x:v>
      </x:c>
      <x:c r="D186" s="22" t="s">
        <x:v>415</x:v>
      </x:c>
      <x:c r="E186" s="22" t="s">
        <x:v>194</x:v>
      </x:c>
      <x:c r="F186" s="22" t="s">
        <x:v>194</x:v>
      </x:c>
      <x:c r="G186" s="22" t="s">
        <x:v>195</x:v>
      </x:c>
      <x:c r="H186" s="22">
        <x:v>2</x:v>
      </x:c>
      <x:c r="I186" s="22">
        <x:v>0</x:v>
      </x:c>
      <x:c r="J186" s="22">
        <x:v>0</x:v>
      </x:c>
      <x:c r="K186" s="23">
        <x:v>0</x:v>
      </x:c>
      <x:c r="L186" s="23">
        <x:v>0</x:v>
      </x:c>
      <x:c r="M186" s="23">
        <x:f>K186-L186</x:f>
      </x:c>
      <x:c r="N186" s="22" t="s">
        <x:v>351</x:v>
      </x:c>
      <x:c r="O186" s="24">
        <x:f>IFERROR(INDEX('تطبیق کل'!$J:$J,MATCH(A186&amp;"",'تطبیق کل'!$A:$A,0))&amp;"","")</x:f>
      </x:c>
      <x:c r="P186" s="24">
        <x:f>IF(O186="","",O186&amp;B186)</x:f>
      </x:c>
      <x:c r="Q186" s="24">
        <x:f>IF(P186="","",IFERROR(INDEX('درخت جدید'!$C:$C,MATCH(P186&amp;"",'درخت جدید'!$B:$B,0)),"— در درخت نیست؛ با نام قدیم ساخته می‌شود —"))</x:f>
      </x:c>
      <x:c r="R186" s="25"/>
      <x:c r="S186" s="26">
        <x:f>P186</x:f>
      </x:c>
      <x:c r="T186" s="22">
        <x:f>IF(S186="","",IFERROR(INDEX('درخت جدید'!$C:$C,MATCH(S186&amp;"",'درخت جدید'!$B:$B,0)),"(ساخته می‌شود) "&amp;V186))</x:f>
      </x:c>
      <x:c r="U186" s="22">
        <x:f>IF(S186="",IF(N186="بله","الزامی — تکمیل نشده",""),IF(AND(O186&lt;&gt;"",LEFT(S186&amp;"",4)&lt;&gt;O186),"زیر کل دیگری است — کل یا معین را اصلاح کنید",IF(AND(S186=P186,FALSE,W186=""),"تداخل: کد "&amp;S186&amp;" در برگهٔ درخت جدید با نام «"&amp;T186&amp;"» از قبل تعریف شده",IF(COUNTIFS('درخت جدید'!$B:$B,S186&amp;"",'درخت جدید'!$A:$A,"معین")=0,IF(V186="","کد در درخت نیست — نام برای تعریف را بنویسید","OK"),"OK"))))</x:f>
      </x:c>
      <x:c r="V186" s="27">
        <x:f>IF(S186="","",IF(COUNTIFS('درخت جدید'!$B:$B,S186&amp;"",'درخت جدید'!$A:$A,"معین")=0,D186,""))</x:f>
      </x:c>
      <x:c r="W186" s="27"/>
      <x:c r="X186" s="38"/>
    </x:row>
    <x:row r="187" spans="1:24">
      <x:c r="A187" s="21" t="s">
        <x:v>63</x:v>
      </x:c>
      <x:c r="B187" s="22" t="s">
        <x:v>262</x:v>
      </x:c>
      <x:c r="C187" s="22" t="s">
        <x:v>64</x:v>
      </x:c>
      <x:c r="D187" s="22" t="s">
        <x:v>416</x:v>
      </x:c>
      <x:c r="E187" s="22" t="s">
        <x:v>194</x:v>
      </x:c>
      <x:c r="F187" s="22" t="s">
        <x:v>194</x:v>
      </x:c>
      <x:c r="G187" s="22" t="s">
        <x:v>199</x:v>
      </x:c>
      <x:c r="H187" s="22">
        <x:v>1</x:v>
      </x:c>
      <x:c r="I187" s="22">
        <x:v>0</x:v>
      </x:c>
      <x:c r="J187" s="22">
        <x:v>0</x:v>
      </x:c>
      <x:c r="K187" s="23">
        <x:v>0</x:v>
      </x:c>
      <x:c r="L187" s="23">
        <x:v>0</x:v>
      </x:c>
      <x:c r="M187" s="23">
        <x:f>K187-L187</x:f>
      </x:c>
      <x:c r="N187" s="22" t="s">
        <x:v>351</x:v>
      </x:c>
      <x:c r="O187" s="24">
        <x:f>IFERROR(INDEX('تطبیق کل'!$J:$J,MATCH(A187&amp;"",'تطبیق کل'!$A:$A,0))&amp;"","")</x:f>
      </x:c>
      <x:c r="P187" s="24">
        <x:f>IF(O187="","",O187&amp;B187)</x:f>
      </x:c>
      <x:c r="Q187" s="24">
        <x:f>IF(P187="","",IFERROR(INDEX('درخت جدید'!$C:$C,MATCH(P187&amp;"",'درخت جدید'!$B:$B,0)),"— در درخت نیست؛ با نام قدیم ساخته می‌شود —"))</x:f>
      </x:c>
      <x:c r="R187" s="25"/>
      <x:c r="S187" s="26">
        <x:f>P187</x:f>
      </x:c>
      <x:c r="T187" s="22">
        <x:f>IF(S187="","",IFERROR(INDEX('درخت جدید'!$C:$C,MATCH(S187&amp;"",'درخت جدید'!$B:$B,0)),"(ساخته می‌شود) "&amp;V187))</x:f>
      </x:c>
      <x:c r="U187" s="22">
        <x:f>IF(S187="",IF(N187="بله","الزامی — تکمیل نشده",""),IF(AND(O187&lt;&gt;"",LEFT(S187&amp;"",4)&lt;&gt;O187),"زیر کل دیگری است — کل یا معین را اصلاح کنید",IF(AND(S187=P187,FALSE,W187=""),"تداخل: کد "&amp;S187&amp;" در برگهٔ درخت جدید با نام «"&amp;T187&amp;"» از قبل تعریف شده",IF(COUNTIFS('درخت جدید'!$B:$B,S187&amp;"",'درخت جدید'!$A:$A,"معین")=0,IF(V187="","کد در درخت نیست — نام برای تعریف را بنویسید","OK"),"OK"))))</x:f>
      </x:c>
      <x:c r="V187" s="27">
        <x:f>IF(S187="","",IF(COUNTIFS('درخت جدید'!$B:$B,S187&amp;"",'درخت جدید'!$A:$A,"معین")=0,D187,""))</x:f>
      </x:c>
      <x:c r="W187" s="27"/>
      <x:c r="X187" s="38"/>
    </x:row>
    <x:row r="188" spans="1:24">
      <x:c r="A188" s="21" t="s">
        <x:v>63</x:v>
      </x:c>
      <x:c r="B188" s="22" t="s">
        <x:v>205</x:v>
      </x:c>
      <x:c r="C188" s="22" t="s">
        <x:v>64</x:v>
      </x:c>
      <x:c r="D188" s="22" t="s">
        <x:v>417</x:v>
      </x:c>
      <x:c r="E188" s="22" t="s">
        <x:v>194</x:v>
      </x:c>
      <x:c r="F188" s="22" t="s">
        <x:v>194</x:v>
      </x:c>
      <x:c r="G188" s="22" t="s">
        <x:v>199</x:v>
      </x:c>
      <x:c r="H188" s="22">
        <x:v>1</x:v>
      </x:c>
      <x:c r="I188" s="22">
        <x:v>0</x:v>
      </x:c>
      <x:c r="J188" s="22">
        <x:v>0</x:v>
      </x:c>
      <x:c r="K188" s="23">
        <x:v>0</x:v>
      </x:c>
      <x:c r="L188" s="23">
        <x:v>0</x:v>
      </x:c>
      <x:c r="M188" s="23">
        <x:f>K188-L188</x:f>
      </x:c>
      <x:c r="N188" s="22" t="s">
        <x:v>351</x:v>
      </x:c>
      <x:c r="O188" s="24">
        <x:f>IFERROR(INDEX('تطبیق کل'!$J:$J,MATCH(A188&amp;"",'تطبیق کل'!$A:$A,0))&amp;"","")</x:f>
      </x:c>
      <x:c r="P188" s="24">
        <x:f>IF(O188="","",O188&amp;B188)</x:f>
      </x:c>
      <x:c r="Q188" s="24">
        <x:f>IF(P188="","",IFERROR(INDEX('درخت جدید'!$C:$C,MATCH(P188&amp;"",'درخت جدید'!$B:$B,0)),"— در درخت نیست؛ با نام قدیم ساخته می‌شود —"))</x:f>
      </x:c>
      <x:c r="R188" s="25"/>
      <x:c r="S188" s="26">
        <x:f>P188</x:f>
      </x:c>
      <x:c r="T188" s="22">
        <x:f>IF(S188="","",IFERROR(INDEX('درخت جدید'!$C:$C,MATCH(S188&amp;"",'درخت جدید'!$B:$B,0)),"(ساخته می‌شود) "&amp;V188))</x:f>
      </x:c>
      <x:c r="U188" s="22">
        <x:f>IF(S188="",IF(N188="بله","الزامی — تکمیل نشده",""),IF(AND(O188&lt;&gt;"",LEFT(S188&amp;"",4)&lt;&gt;O188),"زیر کل دیگری است — کل یا معین را اصلاح کنید",IF(AND(S188=P188,FALSE,W188=""),"تداخل: کد "&amp;S188&amp;" در برگهٔ درخت جدید با نام «"&amp;T188&amp;"» از قبل تعریف شده",IF(COUNTIFS('درخت جدید'!$B:$B,S188&amp;"",'درخت جدید'!$A:$A,"معین")=0,IF(V188="","کد در درخت نیست — نام برای تعریف را بنویسید","OK"),"OK"))))</x:f>
      </x:c>
      <x:c r="V188" s="27">
        <x:f>IF(S188="","",IF(COUNTIFS('درخت جدید'!$B:$B,S188&amp;"",'درخت جدید'!$A:$A,"معین")=0,D188,""))</x:f>
      </x:c>
      <x:c r="W188" s="27"/>
      <x:c r="X188" s="38"/>
    </x:row>
    <x:row r="189" spans="1:24">
      <x:c r="A189" s="21" t="s">
        <x:v>63</x:v>
      </x:c>
      <x:c r="B189" s="22" t="s">
        <x:v>63</x:v>
      </x:c>
      <x:c r="C189" s="22" t="s">
        <x:v>64</x:v>
      </x:c>
      <x:c r="D189" s="22" t="s">
        <x:v>418</x:v>
      </x:c>
      <x:c r="E189" s="22" t="s">
        <x:v>194</x:v>
      </x:c>
      <x:c r="F189" s="22" t="s">
        <x:v>194</x:v>
      </x:c>
      <x:c r="G189" s="22" t="s">
        <x:v>199</x:v>
      </x:c>
      <x:c r="H189" s="22">
        <x:v>1</x:v>
      </x:c>
      <x:c r="I189" s="22">
        <x:v>0</x:v>
      </x:c>
      <x:c r="J189" s="22">
        <x:v>0</x:v>
      </x:c>
      <x:c r="K189" s="23">
        <x:v>0</x:v>
      </x:c>
      <x:c r="L189" s="23">
        <x:v>0</x:v>
      </x:c>
      <x:c r="M189" s="23">
        <x:f>K189-L189</x:f>
      </x:c>
      <x:c r="N189" s="22" t="s">
        <x:v>351</x:v>
      </x:c>
      <x:c r="O189" s="24">
        <x:f>IFERROR(INDEX('تطبیق کل'!$J:$J,MATCH(A189&amp;"",'تطبیق کل'!$A:$A,0))&amp;"","")</x:f>
      </x:c>
      <x:c r="P189" s="24">
        <x:f>IF(O189="","",O189&amp;B189)</x:f>
      </x:c>
      <x:c r="Q189" s="24">
        <x:f>IF(P189="","",IFERROR(INDEX('درخت جدید'!$C:$C,MATCH(P189&amp;"",'درخت جدید'!$B:$B,0)),"— در درخت نیست؛ با نام قدیم ساخته می‌شود —"))</x:f>
      </x:c>
      <x:c r="R189" s="25"/>
      <x:c r="S189" s="26">
        <x:f>P189</x:f>
      </x:c>
      <x:c r="T189" s="22">
        <x:f>IF(S189="","",IFERROR(INDEX('درخت جدید'!$C:$C,MATCH(S189&amp;"",'درخت جدید'!$B:$B,0)),"(ساخته می‌شود) "&amp;V189))</x:f>
      </x:c>
      <x:c r="U189" s="22">
        <x:f>IF(S189="",IF(N189="بله","الزامی — تکمیل نشده",""),IF(AND(O189&lt;&gt;"",LEFT(S189&amp;"",4)&lt;&gt;O189),"زیر کل دیگری است — کل یا معین را اصلاح کنید",IF(AND(S189=P189,FALSE,W189=""),"تداخل: کد "&amp;S189&amp;" در برگهٔ درخت جدید با نام «"&amp;T189&amp;"» از قبل تعریف شده",IF(COUNTIFS('درخت جدید'!$B:$B,S189&amp;"",'درخت جدید'!$A:$A,"معین")=0,IF(V189="","کد در درخت نیست — نام برای تعریف را بنویسید","OK"),"OK"))))</x:f>
      </x:c>
      <x:c r="V189" s="27">
        <x:f>IF(S189="","",IF(COUNTIFS('درخت جدید'!$B:$B,S189&amp;"",'درخت جدید'!$A:$A,"معین")=0,D189,""))</x:f>
      </x:c>
      <x:c r="W189" s="27"/>
      <x:c r="X189" s="38"/>
    </x:row>
    <x:row r="190" spans="1:24">
      <x:c r="A190" s="21" t="s">
        <x:v>63</x:v>
      </x:c>
      <x:c r="B190" s="22" t="s">
        <x:v>207</x:v>
      </x:c>
      <x:c r="C190" s="22" t="s">
        <x:v>64</x:v>
      </x:c>
      <x:c r="D190" s="22" t="s">
        <x:v>419</x:v>
      </x:c>
      <x:c r="E190" s="22" t="s">
        <x:v>194</x:v>
      </x:c>
      <x:c r="F190" s="22" t="s">
        <x:v>194</x:v>
      </x:c>
      <x:c r="G190" s="22" t="s">
        <x:v>199</x:v>
      </x:c>
      <x:c r="H190" s="22">
        <x:v>1</x:v>
      </x:c>
      <x:c r="I190" s="22">
        <x:v>0</x:v>
      </x:c>
      <x:c r="J190" s="22">
        <x:v>0</x:v>
      </x:c>
      <x:c r="K190" s="23">
        <x:v>0</x:v>
      </x:c>
      <x:c r="L190" s="23">
        <x:v>0</x:v>
      </x:c>
      <x:c r="M190" s="23">
        <x:f>K190-L190</x:f>
      </x:c>
      <x:c r="N190" s="22" t="s">
        <x:v>351</x:v>
      </x:c>
      <x:c r="O190" s="24">
        <x:f>IFERROR(INDEX('تطبیق کل'!$J:$J,MATCH(A190&amp;"",'تطبیق کل'!$A:$A,0))&amp;"","")</x:f>
      </x:c>
      <x:c r="P190" s="24">
        <x:f>IF(O190="","",O190&amp;B190)</x:f>
      </x:c>
      <x:c r="Q190" s="24">
        <x:f>IF(P190="","",IFERROR(INDEX('درخت جدید'!$C:$C,MATCH(P190&amp;"",'درخت جدید'!$B:$B,0)),"— در درخت نیست؛ با نام قدیم ساخته می‌شود —"))</x:f>
      </x:c>
      <x:c r="R190" s="25"/>
      <x:c r="S190" s="26">
        <x:f>P190</x:f>
      </x:c>
      <x:c r="T190" s="22">
        <x:f>IF(S190="","",IFERROR(INDEX('درخت جدید'!$C:$C,MATCH(S190&amp;"",'درخت جدید'!$B:$B,0)),"(ساخته می‌شود) "&amp;V190))</x:f>
      </x:c>
      <x:c r="U190" s="22">
        <x:f>IF(S190="",IF(N190="بله","الزامی — تکمیل نشده",""),IF(AND(O190&lt;&gt;"",LEFT(S190&amp;"",4)&lt;&gt;O190),"زیر کل دیگری است — کل یا معین را اصلاح کنید",IF(AND(S190=P190,FALSE,W190=""),"تداخل: کد "&amp;S190&amp;" در برگهٔ درخت جدید با نام «"&amp;T190&amp;"» از قبل تعریف شده",IF(COUNTIFS('درخت جدید'!$B:$B,S190&amp;"",'درخت جدید'!$A:$A,"معین")=0,IF(V190="","کد در درخت نیست — نام برای تعریف را بنویسید","OK"),"OK"))))</x:f>
      </x:c>
      <x:c r="V190" s="27">
        <x:f>IF(S190="","",IF(COUNTIFS('درخت جدید'!$B:$B,S190&amp;"",'درخت جدید'!$A:$A,"معین")=0,D190,""))</x:f>
      </x:c>
      <x:c r="W190" s="27"/>
      <x:c r="X190" s="38"/>
    </x:row>
    <x:row r="191" spans="1:24">
      <x:c r="A191" s="21" t="s">
        <x:v>70</x:v>
      </x:c>
      <x:c r="B191" s="22" t="s">
        <x:v>268</x:v>
      </x:c>
      <x:c r="C191" s="22" t="s">
        <x:v>71</x:v>
      </x:c>
      <x:c r="D191" s="22" t="s">
        <x:v>420</x:v>
      </x:c>
      <x:c r="E191" s="22" t="s">
        <x:v>195</x:v>
      </x:c>
      <x:c r="F191" s="22" t="s">
        <x:v>194</x:v>
      </x:c>
      <x:c r="G191" s="22" t="s">
        <x:v>199</x:v>
      </x:c>
      <x:c r="H191" s="22">
        <x:v>1</x:v>
      </x:c>
      <x:c r="I191" s="22">
        <x:v>0</x:v>
      </x:c>
      <x:c r="J191" s="22">
        <x:v>0</x:v>
      </x:c>
      <x:c r="K191" s="23">
        <x:v>0</x:v>
      </x:c>
      <x:c r="L191" s="23">
        <x:v>0</x:v>
      </x:c>
      <x:c r="M191" s="23">
        <x:f>K191-L191</x:f>
      </x:c>
      <x:c r="N191" s="22" t="s">
        <x:v>351</x:v>
      </x:c>
      <x:c r="O191" s="24">
        <x:f>IFERROR(INDEX('تطبیق کل'!$J:$J,MATCH(A191&amp;"",'تطبیق کل'!$A:$A,0))&amp;"","")</x:f>
      </x:c>
      <x:c r="P191" s="24">
        <x:f>IF(O191="","",O191&amp;B191)</x:f>
      </x:c>
      <x:c r="Q191" s="24">
        <x:f>IF(P191="","",IFERROR(INDEX('درخت جدید'!$C:$C,MATCH(P191&amp;"",'درخت جدید'!$B:$B,0)),"— در درخت نیست؛ با نام قدیم ساخته می‌شود —"))</x:f>
      </x:c>
      <x:c r="R191" s="25"/>
      <x:c r="S191" s="26">
        <x:f>P191</x:f>
      </x:c>
      <x:c r="T191" s="22">
        <x:f>IF(S191="","",IFERROR(INDEX('درخت جدید'!$C:$C,MATCH(S191&amp;"",'درخت جدید'!$B:$B,0)),"(ساخته می‌شود) "&amp;V191))</x:f>
      </x:c>
      <x:c r="U191" s="22">
        <x:f>IF(S191="",IF(N191="بله","الزامی — تکمیل نشده",""),IF(AND(O191&lt;&gt;"",LEFT(S191&amp;"",4)&lt;&gt;O191),"زیر کل دیگری است — کل یا معین را اصلاح کنید",IF(AND(S191=P191,FALSE,W191=""),"تداخل: کد "&amp;S191&amp;" در برگهٔ درخت جدید با نام «"&amp;T191&amp;"» از قبل تعریف شده",IF(COUNTIFS('درخت جدید'!$B:$B,S191&amp;"",'درخت جدید'!$A:$A,"معین")=0,IF(V191="","کد در درخت نیست — نام برای تعریف را بنویسید","OK"),"OK"))))</x:f>
      </x:c>
      <x:c r="V191" s="27">
        <x:f>IF(S191="","",IF(COUNTIFS('درخت جدید'!$B:$B,S191&amp;"",'درخت جدید'!$A:$A,"معین")=0,D191,""))</x:f>
      </x:c>
      <x:c r="W191" s="27"/>
      <x:c r="X191" s="38"/>
    </x:row>
    <x:row r="192" spans="1:24">
      <x:c r="A192" s="21" t="s">
        <x:v>70</x:v>
      </x:c>
      <x:c r="B192" s="22" t="s">
        <x:v>300</x:v>
      </x:c>
      <x:c r="C192" s="22" t="s">
        <x:v>71</x:v>
      </x:c>
      <x:c r="D192" s="22" t="s">
        <x:v>421</x:v>
      </x:c>
      <x:c r="E192" s="22" t="s">
        <x:v>195</x:v>
      </x:c>
      <x:c r="F192" s="22" t="s">
        <x:v>194</x:v>
      </x:c>
      <x:c r="G192" s="22" t="s">
        <x:v>199</x:v>
      </x:c>
      <x:c r="H192" s="22">
        <x:v>2</x:v>
      </x:c>
      <x:c r="I192" s="22">
        <x:v>0</x:v>
      </x:c>
      <x:c r="J192" s="22">
        <x:v>0</x:v>
      </x:c>
      <x:c r="K192" s="23">
        <x:v>0</x:v>
      </x:c>
      <x:c r="L192" s="23">
        <x:v>0</x:v>
      </x:c>
      <x:c r="M192" s="23">
        <x:f>K192-L192</x:f>
      </x:c>
      <x:c r="N192" s="22" t="s">
        <x:v>351</x:v>
      </x:c>
      <x:c r="O192" s="24">
        <x:f>IFERROR(INDEX('تطبیق کل'!$J:$J,MATCH(A192&amp;"",'تطبیق کل'!$A:$A,0))&amp;"","")</x:f>
      </x:c>
      <x:c r="P192" s="24">
        <x:f>IF(O192="","",O192&amp;B192)</x:f>
      </x:c>
      <x:c r="Q192" s="24">
        <x:f>IF(P192="","",IFERROR(INDEX('درخت جدید'!$C:$C,MATCH(P192&amp;"",'درخت جدید'!$B:$B,0)),"— در درخت نیست؛ با نام قدیم ساخته می‌شود —"))</x:f>
      </x:c>
      <x:c r="R192" s="25"/>
      <x:c r="S192" s="26">
        <x:f>P192</x:f>
      </x:c>
      <x:c r="T192" s="22">
        <x:f>IF(S192="","",IFERROR(INDEX('درخت جدید'!$C:$C,MATCH(S192&amp;"",'درخت جدید'!$B:$B,0)),"(ساخته می‌شود) "&amp;V192))</x:f>
      </x:c>
      <x:c r="U192" s="22">
        <x:f>IF(S192="",IF(N192="بله","الزامی — تکمیل نشده",""),IF(AND(O192&lt;&gt;"",LEFT(S192&amp;"",4)&lt;&gt;O192),"زیر کل دیگری است — کل یا معین را اصلاح کنید",IF(AND(S192=P192,FALSE,W192=""),"تداخل: کد "&amp;S192&amp;" در برگهٔ درخت جدید با نام «"&amp;T192&amp;"» از قبل تعریف شده",IF(COUNTIFS('درخت جدید'!$B:$B,S192&amp;"",'درخت جدید'!$A:$A,"معین")=0,IF(V192="","کد در درخت نیست — نام برای تعریف را بنویسید","OK"),"OK"))))</x:f>
      </x:c>
      <x:c r="V192" s="27">
        <x:f>IF(S192="","",IF(COUNTIFS('درخت جدید'!$B:$B,S192&amp;"",'درخت جدید'!$A:$A,"معین")=0,D192,""))</x:f>
      </x:c>
      <x:c r="W192" s="27"/>
      <x:c r="X192" s="38"/>
    </x:row>
    <x:row r="193" spans="1:24">
      <x:c r="A193" s="21" t="s">
        <x:v>70</x:v>
      </x:c>
      <x:c r="B193" s="22" t="s">
        <x:v>270</x:v>
      </x:c>
      <x:c r="C193" s="22" t="s">
        <x:v>71</x:v>
      </x:c>
      <x:c r="D193" s="22" t="s">
        <x:v>422</x:v>
      </x:c>
      <x:c r="E193" s="22" t="s">
        <x:v>195</x:v>
      </x:c>
      <x:c r="F193" s="22" t="s">
        <x:v>194</x:v>
      </x:c>
      <x:c r="G193" s="22" t="s">
        <x:v>199</x:v>
      </x:c>
      <x:c r="H193" s="22">
        <x:v>1</x:v>
      </x:c>
      <x:c r="I193" s="22">
        <x:v>0</x:v>
      </x:c>
      <x:c r="J193" s="22">
        <x:v>0</x:v>
      </x:c>
      <x:c r="K193" s="23">
        <x:v>0</x:v>
      </x:c>
      <x:c r="L193" s="23">
        <x:v>0</x:v>
      </x:c>
      <x:c r="M193" s="23">
        <x:f>K193-L193</x:f>
      </x:c>
      <x:c r="N193" s="22" t="s">
        <x:v>351</x:v>
      </x:c>
      <x:c r="O193" s="24">
        <x:f>IFERROR(INDEX('تطبیق کل'!$J:$J,MATCH(A193&amp;"",'تطبیق کل'!$A:$A,0))&amp;"","")</x:f>
      </x:c>
      <x:c r="P193" s="24">
        <x:f>IF(O193="","",O193&amp;B193)</x:f>
      </x:c>
      <x:c r="Q193" s="24">
        <x:f>IF(P193="","",IFERROR(INDEX('درخت جدید'!$C:$C,MATCH(P193&amp;"",'درخت جدید'!$B:$B,0)),"— در درخت نیست؛ با نام قدیم ساخته می‌شود —"))</x:f>
      </x:c>
      <x:c r="R193" s="25"/>
      <x:c r="S193" s="26">
        <x:f>P193</x:f>
      </x:c>
      <x:c r="T193" s="22">
        <x:f>IF(S193="","",IFERROR(INDEX('درخت جدید'!$C:$C,MATCH(S193&amp;"",'درخت جدید'!$B:$B,0)),"(ساخته می‌شود) "&amp;V193))</x:f>
      </x:c>
      <x:c r="U193" s="22">
        <x:f>IF(S193="",IF(N193="بله","الزامی — تکمیل نشده",""),IF(AND(O193&lt;&gt;"",LEFT(S193&amp;"",4)&lt;&gt;O193),"زیر کل دیگری است — کل یا معین را اصلاح کنید",IF(AND(S193=P193,FALSE,W193=""),"تداخل: کد "&amp;S193&amp;" در برگهٔ درخت جدید با نام «"&amp;T193&amp;"» از قبل تعریف شده",IF(COUNTIFS('درخت جدید'!$B:$B,S193&amp;"",'درخت جدید'!$A:$A,"معین")=0,IF(V193="","کد در درخت نیست — نام برای تعریف را بنویسید","OK"),"OK"))))</x:f>
      </x:c>
      <x:c r="V193" s="27">
        <x:f>IF(S193="","",IF(COUNTIFS('درخت جدید'!$B:$B,S193&amp;"",'درخت جدید'!$A:$A,"معین")=0,D193,""))</x:f>
      </x:c>
      <x:c r="W193" s="27"/>
      <x:c r="X193" s="38"/>
    </x:row>
    <x:row r="194" spans="1:24">
      <x:c r="A194" s="21" t="s">
        <x:v>70</x:v>
      </x:c>
      <x:c r="B194" s="22" t="s">
        <x:v>279</x:v>
      </x:c>
      <x:c r="C194" s="22" t="s">
        <x:v>71</x:v>
      </x:c>
      <x:c r="D194" s="22" t="s">
        <x:v>423</x:v>
      </x:c>
      <x:c r="E194" s="22" t="s">
        <x:v>195</x:v>
      </x:c>
      <x:c r="F194" s="22" t="s">
        <x:v>194</x:v>
      </x:c>
      <x:c r="G194" s="22" t="s">
        <x:v>199</x:v>
      </x:c>
      <x:c r="H194" s="22">
        <x:v>1</x:v>
      </x:c>
      <x:c r="I194" s="22">
        <x:v>0</x:v>
      </x:c>
      <x:c r="J194" s="22">
        <x:v>0</x:v>
      </x:c>
      <x:c r="K194" s="23">
        <x:v>0</x:v>
      </x:c>
      <x:c r="L194" s="23">
        <x:v>0</x:v>
      </x:c>
      <x:c r="M194" s="23">
        <x:f>K194-L194</x:f>
      </x:c>
      <x:c r="N194" s="22" t="s">
        <x:v>351</x:v>
      </x:c>
      <x:c r="O194" s="24">
        <x:f>IFERROR(INDEX('تطبیق کل'!$J:$J,MATCH(A194&amp;"",'تطبیق کل'!$A:$A,0))&amp;"","")</x:f>
      </x:c>
      <x:c r="P194" s="24">
        <x:f>IF(O194="","",O194&amp;B194)</x:f>
      </x:c>
      <x:c r="Q194" s="24">
        <x:f>IF(P194="","",IFERROR(INDEX('درخت جدید'!$C:$C,MATCH(P194&amp;"",'درخت جدید'!$B:$B,0)),"— در درخت نیست؛ با نام قدیم ساخته می‌شود —"))</x:f>
      </x:c>
      <x:c r="R194" s="25"/>
      <x:c r="S194" s="26">
        <x:f>P194</x:f>
      </x:c>
      <x:c r="T194" s="22">
        <x:f>IF(S194="","",IFERROR(INDEX('درخت جدید'!$C:$C,MATCH(S194&amp;"",'درخت جدید'!$B:$B,0)),"(ساخته می‌شود) "&amp;V194))</x:f>
      </x:c>
      <x:c r="U194" s="22">
        <x:f>IF(S194="",IF(N194="بله","الزامی — تکمیل نشده",""),IF(AND(O194&lt;&gt;"",LEFT(S194&amp;"",4)&lt;&gt;O194),"زیر کل دیگری است — کل یا معین را اصلاح کنید",IF(AND(S194=P194,FALSE,W194=""),"تداخل: کد "&amp;S194&amp;" در برگهٔ درخت جدید با نام «"&amp;T194&amp;"» از قبل تعریف شده",IF(COUNTIFS('درخت جدید'!$B:$B,S194&amp;"",'درخت جدید'!$A:$A,"معین")=0,IF(V194="","کد در درخت نیست — نام برای تعریف را بنویسید","OK"),"OK"))))</x:f>
      </x:c>
      <x:c r="V194" s="27">
        <x:f>IF(S194="","",IF(COUNTIFS('درخت جدید'!$B:$B,S194&amp;"",'درخت جدید'!$A:$A,"معین")=0,D194,""))</x:f>
      </x:c>
      <x:c r="W194" s="27"/>
      <x:c r="X194" s="38"/>
    </x:row>
    <x:row r="195" spans="1:24">
      <x:c r="A195" s="21" t="s">
        <x:v>70</x:v>
      </x:c>
      <x:c r="B195" s="22" t="s">
        <x:v>272</x:v>
      </x:c>
      <x:c r="C195" s="22" t="s">
        <x:v>71</x:v>
      </x:c>
      <x:c r="D195" s="22" t="s">
        <x:v>424</x:v>
      </x:c>
      <x:c r="E195" s="22" t="s">
        <x:v>195</x:v>
      </x:c>
      <x:c r="F195" s="22" t="s">
        <x:v>194</x:v>
      </x:c>
      <x:c r="G195" s="22" t="s">
        <x:v>199</x:v>
      </x:c>
      <x:c r="H195" s="22">
        <x:v>78</x:v>
      </x:c>
      <x:c r="I195" s="22">
        <x:v>0</x:v>
      </x:c>
      <x:c r="J195" s="22">
        <x:v>0</x:v>
      </x:c>
      <x:c r="K195" s="23">
        <x:v>0</x:v>
      </x:c>
      <x:c r="L195" s="23">
        <x:v>0</x:v>
      </x:c>
      <x:c r="M195" s="23">
        <x:f>K195-L195</x:f>
      </x:c>
      <x:c r="N195" s="22" t="s">
        <x:v>351</x:v>
      </x:c>
      <x:c r="O195" s="24">
        <x:f>IFERROR(INDEX('تطبیق کل'!$J:$J,MATCH(A195&amp;"",'تطبیق کل'!$A:$A,0))&amp;"","")</x:f>
      </x:c>
      <x:c r="P195" s="24">
        <x:f>IF(O195="","",O195&amp;B195)</x:f>
      </x:c>
      <x:c r="Q195" s="24">
        <x:f>IF(P195="","",IFERROR(INDEX('درخت جدید'!$C:$C,MATCH(P195&amp;"",'درخت جدید'!$B:$B,0)),"— در درخت نیست؛ با نام قدیم ساخته می‌شود —"))</x:f>
      </x:c>
      <x:c r="R195" s="25"/>
      <x:c r="S195" s="26">
        <x:f>P195</x:f>
      </x:c>
      <x:c r="T195" s="22">
        <x:f>IF(S195="","",IFERROR(INDEX('درخت جدید'!$C:$C,MATCH(S195&amp;"",'درخت جدید'!$B:$B,0)),"(ساخته می‌شود) "&amp;V195))</x:f>
      </x:c>
      <x:c r="U195" s="22">
        <x:f>IF(S195="",IF(N195="بله","الزامی — تکمیل نشده",""),IF(AND(O195&lt;&gt;"",LEFT(S195&amp;"",4)&lt;&gt;O195),"زیر کل دیگری است — کل یا معین را اصلاح کنید",IF(AND(S195=P195,FALSE,W195=""),"تداخل: کد "&amp;S195&amp;" در برگهٔ درخت جدید با نام «"&amp;T195&amp;"» از قبل تعریف شده",IF(COUNTIFS('درخت جدید'!$B:$B,S195&amp;"",'درخت جدید'!$A:$A,"معین")=0,IF(V195="","کد در درخت نیست — نام برای تعریف را بنویسید","OK"),"OK"))))</x:f>
      </x:c>
      <x:c r="V195" s="27">
        <x:f>IF(S195="","",IF(COUNTIFS('درخت جدید'!$B:$B,S195&amp;"",'درخت جدید'!$A:$A,"معین")=0,D195,""))</x:f>
      </x:c>
      <x:c r="W195" s="27"/>
      <x:c r="X195" s="38"/>
    </x:row>
    <x:row r="196" spans="1:24">
      <x:c r="A196" s="21" t="s">
        <x:v>70</x:v>
      </x:c>
      <x:c r="B196" s="22" t="s">
        <x:v>305</x:v>
      </x:c>
      <x:c r="C196" s="22" t="s">
        <x:v>71</x:v>
      </x:c>
      <x:c r="D196" s="22" t="s">
        <x:v>425</x:v>
      </x:c>
      <x:c r="E196" s="22" t="s">
        <x:v>195</x:v>
      </x:c>
      <x:c r="F196" s="22" t="s">
        <x:v>194</x:v>
      </x:c>
      <x:c r="G196" s="22" t="s">
        <x:v>199</x:v>
      </x:c>
      <x:c r="H196" s="22">
        <x:v>1</x:v>
      </x:c>
      <x:c r="I196" s="22">
        <x:v>0</x:v>
      </x:c>
      <x:c r="J196" s="22">
        <x:v>0</x:v>
      </x:c>
      <x:c r="K196" s="23">
        <x:v>0</x:v>
      </x:c>
      <x:c r="L196" s="23">
        <x:v>0</x:v>
      </x:c>
      <x:c r="M196" s="23">
        <x:f>K196-L196</x:f>
      </x:c>
      <x:c r="N196" s="22" t="s">
        <x:v>351</x:v>
      </x:c>
      <x:c r="O196" s="24">
        <x:f>IFERROR(INDEX('تطبیق کل'!$J:$J,MATCH(A196&amp;"",'تطبیق کل'!$A:$A,0))&amp;"","")</x:f>
      </x:c>
      <x:c r="P196" s="24">
        <x:f>IF(O196="","",O196&amp;B196)</x:f>
      </x:c>
      <x:c r="Q196" s="24">
        <x:f>IF(P196="","",IFERROR(INDEX('درخت جدید'!$C:$C,MATCH(P196&amp;"",'درخت جدید'!$B:$B,0)),"— در درخت نیست؛ با نام قدیم ساخته می‌شود —"))</x:f>
      </x:c>
      <x:c r="R196" s="25"/>
      <x:c r="S196" s="26">
        <x:f>P196</x:f>
      </x:c>
      <x:c r="T196" s="22">
        <x:f>IF(S196="","",IFERROR(INDEX('درخت جدید'!$C:$C,MATCH(S196&amp;"",'درخت جدید'!$B:$B,0)),"(ساخته می‌شود) "&amp;V196))</x:f>
      </x:c>
      <x:c r="U196" s="22">
        <x:f>IF(S196="",IF(N196="بله","الزامی — تکمیل نشده",""),IF(AND(O196&lt;&gt;"",LEFT(S196&amp;"",4)&lt;&gt;O196),"زیر کل دیگری است — کل یا معین را اصلاح کنید",IF(AND(S196=P196,FALSE,W196=""),"تداخل: کد "&amp;S196&amp;" در برگهٔ درخت جدید با نام «"&amp;T196&amp;"» از قبل تعریف شده",IF(COUNTIFS('درخت جدید'!$B:$B,S196&amp;"",'درخت جدید'!$A:$A,"معین")=0,IF(V196="","کد در درخت نیست — نام برای تعریف را بنویسید","OK"),"OK"))))</x:f>
      </x:c>
      <x:c r="V196" s="27">
        <x:f>IF(S196="","",IF(COUNTIFS('درخت جدید'!$B:$B,S196&amp;"",'درخت جدید'!$A:$A,"معین")=0,D196,""))</x:f>
      </x:c>
      <x:c r="W196" s="27"/>
      <x:c r="X196" s="38"/>
    </x:row>
    <x:row r="197" spans="1:24">
      <x:c r="A197" s="21" t="s">
        <x:v>70</x:v>
      </x:c>
      <x:c r="B197" s="22" t="s">
        <x:v>21</x:v>
      </x:c>
      <x:c r="C197" s="22" t="s">
        <x:v>71</x:v>
      </x:c>
      <x:c r="D197" s="22" t="s">
        <x:v>426</x:v>
      </x:c>
      <x:c r="E197" s="22" t="s">
        <x:v>195</x:v>
      </x:c>
      <x:c r="F197" s="22" t="s">
        <x:v>194</x:v>
      </x:c>
      <x:c r="G197" s="22" t="s">
        <x:v>199</x:v>
      </x:c>
      <x:c r="H197" s="22">
        <x:v>1</x:v>
      </x:c>
      <x:c r="I197" s="22">
        <x:v>0</x:v>
      </x:c>
      <x:c r="J197" s="22">
        <x:v>0</x:v>
      </x:c>
      <x:c r="K197" s="23">
        <x:v>0</x:v>
      </x:c>
      <x:c r="L197" s="23">
        <x:v>0</x:v>
      </x:c>
      <x:c r="M197" s="23">
        <x:f>K197-L197</x:f>
      </x:c>
      <x:c r="N197" s="22" t="s">
        <x:v>351</x:v>
      </x:c>
      <x:c r="O197" s="24">
        <x:f>IFERROR(INDEX('تطبیق کل'!$J:$J,MATCH(A197&amp;"",'تطبیق کل'!$A:$A,0))&amp;"","")</x:f>
      </x:c>
      <x:c r="P197" s="24">
        <x:f>IF(O197="","",O197&amp;B197)</x:f>
      </x:c>
      <x:c r="Q197" s="24">
        <x:f>IF(P197="","",IFERROR(INDEX('درخت جدید'!$C:$C,MATCH(P197&amp;"",'درخت جدید'!$B:$B,0)),"— در درخت نیست؛ با نام قدیم ساخته می‌شود —"))</x:f>
      </x:c>
      <x:c r="R197" s="25"/>
      <x:c r="S197" s="26">
        <x:f>P197</x:f>
      </x:c>
      <x:c r="T197" s="22">
        <x:f>IF(S197="","",IFERROR(INDEX('درخت جدید'!$C:$C,MATCH(S197&amp;"",'درخت جدید'!$B:$B,0)),"(ساخته می‌شود) "&amp;V197))</x:f>
      </x:c>
      <x:c r="U197" s="22">
        <x:f>IF(S197="",IF(N197="بله","الزامی — تکمیل نشده",""),IF(AND(O197&lt;&gt;"",LEFT(S197&amp;"",4)&lt;&gt;O197),"زیر کل دیگری است — کل یا معین را اصلاح کنید",IF(AND(S197=P197,FALSE,W197=""),"تداخل: کد "&amp;S197&amp;" در برگهٔ درخت جدید با نام «"&amp;T197&amp;"» از قبل تعریف شده",IF(COUNTIFS('درخت جدید'!$B:$B,S197&amp;"",'درخت جدید'!$A:$A,"معین")=0,IF(V197="","کد در درخت نیست — نام برای تعریف را بنویسید","OK"),"OK"))))</x:f>
      </x:c>
      <x:c r="V197" s="27">
        <x:f>IF(S197="","",IF(COUNTIFS('درخت جدید'!$B:$B,S197&amp;"",'درخت جدید'!$A:$A,"معین")=0,D197,""))</x:f>
      </x:c>
      <x:c r="W197" s="27"/>
      <x:c r="X197" s="38"/>
    </x:row>
    <x:row r="198" spans="1:24">
      <x:c r="A198" s="21" t="s">
        <x:v>70</x:v>
      </x:c>
      <x:c r="B198" s="22" t="s">
        <x:v>286</x:v>
      </x:c>
      <x:c r="C198" s="22" t="s">
        <x:v>71</x:v>
      </x:c>
      <x:c r="D198" s="22" t="s">
        <x:v>427</x:v>
      </x:c>
      <x:c r="E198" s="22" t="s">
        <x:v>195</x:v>
      </x:c>
      <x:c r="F198" s="22" t="s">
        <x:v>194</x:v>
      </x:c>
      <x:c r="G198" s="22" t="s">
        <x:v>199</x:v>
      </x:c>
      <x:c r="H198" s="22">
        <x:v>1</x:v>
      </x:c>
      <x:c r="I198" s="22">
        <x:v>0</x:v>
      </x:c>
      <x:c r="J198" s="22">
        <x:v>0</x:v>
      </x:c>
      <x:c r="K198" s="23">
        <x:v>0</x:v>
      </x:c>
      <x:c r="L198" s="23">
        <x:v>0</x:v>
      </x:c>
      <x:c r="M198" s="23">
        <x:f>K198-L198</x:f>
      </x:c>
      <x:c r="N198" s="22" t="s">
        <x:v>351</x:v>
      </x:c>
      <x:c r="O198" s="24">
        <x:f>IFERROR(INDEX('تطبیق کل'!$J:$J,MATCH(A198&amp;"",'تطبیق کل'!$A:$A,0))&amp;"","")</x:f>
      </x:c>
      <x:c r="P198" s="24">
        <x:f>IF(O198="","",O198&amp;B198)</x:f>
      </x:c>
      <x:c r="Q198" s="24">
        <x:f>IF(P198="","",IFERROR(INDEX('درخت جدید'!$C:$C,MATCH(P198&amp;"",'درخت جدید'!$B:$B,0)),"— در درخت نیست؛ با نام قدیم ساخته می‌شود —"))</x:f>
      </x:c>
      <x:c r="R198" s="25"/>
      <x:c r="S198" s="26">
        <x:f>P198</x:f>
      </x:c>
      <x:c r="T198" s="22">
        <x:f>IF(S198="","",IFERROR(INDEX('درخت جدید'!$C:$C,MATCH(S198&amp;"",'درخت جدید'!$B:$B,0)),"(ساخته می‌شود) "&amp;V198))</x:f>
      </x:c>
      <x:c r="U198" s="22">
        <x:f>IF(S198="",IF(N198="بله","الزامی — تکمیل نشده",""),IF(AND(O198&lt;&gt;"",LEFT(S198&amp;"",4)&lt;&gt;O198),"زیر کل دیگری است — کل یا معین را اصلاح کنید",IF(AND(S198=P198,FALSE,W198=""),"تداخل: کد "&amp;S198&amp;" در برگهٔ درخت جدید با نام «"&amp;T198&amp;"» از قبل تعریف شده",IF(COUNTIFS('درخت جدید'!$B:$B,S198&amp;"",'درخت جدید'!$A:$A,"معین")=0,IF(V198="","کد در درخت نیست — نام برای تعریف را بنویسید","OK"),"OK"))))</x:f>
      </x:c>
      <x:c r="V198" s="27">
        <x:f>IF(S198="","",IF(COUNTIFS('درخت جدید'!$B:$B,S198&amp;"",'درخت جدید'!$A:$A,"معین")=0,D198,""))</x:f>
      </x:c>
      <x:c r="W198" s="27"/>
      <x:c r="X198" s="38"/>
    </x:row>
    <x:row r="199" spans="1:24">
      <x:c r="A199" s="21" t="s">
        <x:v>70</x:v>
      </x:c>
      <x:c r="B199" s="22" t="s">
        <x:v>197</x:v>
      </x:c>
      <x:c r="C199" s="22" t="s">
        <x:v>71</x:v>
      </x:c>
      <x:c r="D199" s="22" t="s">
        <x:v>428</x:v>
      </x:c>
      <x:c r="E199" s="22" t="s">
        <x:v>195</x:v>
      </x:c>
      <x:c r="F199" s="22" t="s">
        <x:v>194</x:v>
      </x:c>
      <x:c r="G199" s="22" t="s">
        <x:v>199</x:v>
      </x:c>
      <x:c r="H199" s="22">
        <x:v>1</x:v>
      </x:c>
      <x:c r="I199" s="22">
        <x:v>0</x:v>
      </x:c>
      <x:c r="J199" s="22">
        <x:v>0</x:v>
      </x:c>
      <x:c r="K199" s="23">
        <x:v>0</x:v>
      </x:c>
      <x:c r="L199" s="23">
        <x:v>0</x:v>
      </x:c>
      <x:c r="M199" s="23">
        <x:f>K199-L199</x:f>
      </x:c>
      <x:c r="N199" s="22" t="s">
        <x:v>351</x:v>
      </x:c>
      <x:c r="O199" s="24">
        <x:f>IFERROR(INDEX('تطبیق کل'!$J:$J,MATCH(A199&amp;"",'تطبیق کل'!$A:$A,0))&amp;"","")</x:f>
      </x:c>
      <x:c r="P199" s="24">
        <x:f>IF(O199="","",O199&amp;B199)</x:f>
      </x:c>
      <x:c r="Q199" s="24">
        <x:f>IF(P199="","",IFERROR(INDEX('درخت جدید'!$C:$C,MATCH(P199&amp;"",'درخت جدید'!$B:$B,0)),"— در درخت نیست؛ با نام قدیم ساخته می‌شود —"))</x:f>
      </x:c>
      <x:c r="R199" s="25"/>
      <x:c r="S199" s="26">
        <x:f>P199</x:f>
      </x:c>
      <x:c r="T199" s="22">
        <x:f>IF(S199="","",IFERROR(INDEX('درخت جدید'!$C:$C,MATCH(S199&amp;"",'درخت جدید'!$B:$B,0)),"(ساخته می‌شود) "&amp;V199))</x:f>
      </x:c>
      <x:c r="U199" s="22">
        <x:f>IF(S199="",IF(N199="بله","الزامی — تکمیل نشده",""),IF(AND(O199&lt;&gt;"",LEFT(S199&amp;"",4)&lt;&gt;O199),"زیر کل دیگری است — کل یا معین را اصلاح کنید",IF(AND(S199=P199,FALSE,W199=""),"تداخل: کد "&amp;S199&amp;" در برگهٔ درخت جدید با نام «"&amp;T199&amp;"» از قبل تعریف شده",IF(COUNTIFS('درخت جدید'!$B:$B,S199&amp;"",'درخت جدید'!$A:$A,"معین")=0,IF(V199="","کد در درخت نیست — نام برای تعریف را بنویسید","OK"),"OK"))))</x:f>
      </x:c>
      <x:c r="V199" s="27">
        <x:f>IF(S199="","",IF(COUNTIFS('درخت جدید'!$B:$B,S199&amp;"",'درخت جدید'!$A:$A,"معین")=0,D199,""))</x:f>
      </x:c>
      <x:c r="W199" s="27"/>
      <x:c r="X199" s="38"/>
    </x:row>
    <x:row r="200" spans="1:24">
      <x:c r="A200" s="21" t="s">
        <x:v>70</x:v>
      </x:c>
      <x:c r="B200" s="22" t="s">
        <x:v>262</x:v>
      </x:c>
      <x:c r="C200" s="22" t="s">
        <x:v>71</x:v>
      </x:c>
      <x:c r="D200" s="22" t="s">
        <x:v>429</x:v>
      </x:c>
      <x:c r="E200" s="22" t="s">
        <x:v>195</x:v>
      </x:c>
      <x:c r="F200" s="22" t="s">
        <x:v>194</x:v>
      </x:c>
      <x:c r="G200" s="22" t="s">
        <x:v>199</x:v>
      </x:c>
      <x:c r="H200" s="22">
        <x:v>1</x:v>
      </x:c>
      <x:c r="I200" s="22">
        <x:v>0</x:v>
      </x:c>
      <x:c r="J200" s="22">
        <x:v>0</x:v>
      </x:c>
      <x:c r="K200" s="23">
        <x:v>0</x:v>
      </x:c>
      <x:c r="L200" s="23">
        <x:v>0</x:v>
      </x:c>
      <x:c r="M200" s="23">
        <x:f>K200-L200</x:f>
      </x:c>
      <x:c r="N200" s="22" t="s">
        <x:v>351</x:v>
      </x:c>
      <x:c r="O200" s="24">
        <x:f>IFERROR(INDEX('تطبیق کل'!$J:$J,MATCH(A200&amp;"",'تطبیق کل'!$A:$A,0))&amp;"","")</x:f>
      </x:c>
      <x:c r="P200" s="24">
        <x:f>IF(O200="","",O200&amp;B200)</x:f>
      </x:c>
      <x:c r="Q200" s="24">
        <x:f>IF(P200="","",IFERROR(INDEX('درخت جدید'!$C:$C,MATCH(P200&amp;"",'درخت جدید'!$B:$B,0)),"— در درخت نیست؛ با نام قدیم ساخته می‌شود —"))</x:f>
      </x:c>
      <x:c r="R200" s="25"/>
      <x:c r="S200" s="26">
        <x:f>P200</x:f>
      </x:c>
      <x:c r="T200" s="22">
        <x:f>IF(S200="","",IFERROR(INDEX('درخت جدید'!$C:$C,MATCH(S200&amp;"",'درخت جدید'!$B:$B,0)),"(ساخته می‌شود) "&amp;V200))</x:f>
      </x:c>
      <x:c r="U200" s="22">
        <x:f>IF(S200="",IF(N200="بله","الزامی — تکمیل نشده",""),IF(AND(O200&lt;&gt;"",LEFT(S200&amp;"",4)&lt;&gt;O200),"زیر کل دیگری است — کل یا معین را اصلاح کنید",IF(AND(S200=P200,FALSE,W200=""),"تداخل: کد "&amp;S200&amp;" در برگهٔ درخت جدید با نام «"&amp;T200&amp;"» از قبل تعریف شده",IF(COUNTIFS('درخت جدید'!$B:$B,S200&amp;"",'درخت جدید'!$A:$A,"معین")=0,IF(V200="","کد در درخت نیست — نام برای تعریف را بنویسید","OK"),"OK"))))</x:f>
      </x:c>
      <x:c r="V200" s="27">
        <x:f>IF(S200="","",IF(COUNTIFS('درخت جدید'!$B:$B,S200&amp;"",'درخت جدید'!$A:$A,"معین")=0,D200,""))</x:f>
      </x:c>
      <x:c r="W200" s="27"/>
      <x:c r="X200" s="38"/>
    </x:row>
    <x:row r="201" spans="1:24">
      <x:c r="A201" s="21" t="s">
        <x:v>70</x:v>
      </x:c>
      <x:c r="B201" s="22" t="s">
        <x:v>290</x:v>
      </x:c>
      <x:c r="C201" s="22" t="s">
        <x:v>71</x:v>
      </x:c>
      <x:c r="D201" s="22" t="s">
        <x:v>430</x:v>
      </x:c>
      <x:c r="E201" s="22" t="s">
        <x:v>195</x:v>
      </x:c>
      <x:c r="F201" s="22" t="s">
        <x:v>194</x:v>
      </x:c>
      <x:c r="G201" s="22" t="s">
        <x:v>199</x:v>
      </x:c>
      <x:c r="H201" s="22">
        <x:v>2</x:v>
      </x:c>
      <x:c r="I201" s="22">
        <x:v>0</x:v>
      </x:c>
      <x:c r="J201" s="22">
        <x:v>0</x:v>
      </x:c>
      <x:c r="K201" s="23">
        <x:v>0</x:v>
      </x:c>
      <x:c r="L201" s="23">
        <x:v>0</x:v>
      </x:c>
      <x:c r="M201" s="23">
        <x:f>K201-L201</x:f>
      </x:c>
      <x:c r="N201" s="22" t="s">
        <x:v>351</x:v>
      </x:c>
      <x:c r="O201" s="24">
        <x:f>IFERROR(INDEX('تطبیق کل'!$J:$J,MATCH(A201&amp;"",'تطبیق کل'!$A:$A,0))&amp;"","")</x:f>
      </x:c>
      <x:c r="P201" s="24">
        <x:f>IF(O201="","",O201&amp;B201)</x:f>
      </x:c>
      <x:c r="Q201" s="24">
        <x:f>IF(P201="","",IFERROR(INDEX('درخت جدید'!$C:$C,MATCH(P201&amp;"",'درخت جدید'!$B:$B,0)),"— در درخت نیست؛ با نام قدیم ساخته می‌شود —"))</x:f>
      </x:c>
      <x:c r="R201" s="25"/>
      <x:c r="S201" s="26">
        <x:f>P201</x:f>
      </x:c>
      <x:c r="T201" s="22">
        <x:f>IF(S201="","",IFERROR(INDEX('درخت جدید'!$C:$C,MATCH(S201&amp;"",'درخت جدید'!$B:$B,0)),"(ساخته می‌شود) "&amp;V201))</x:f>
      </x:c>
      <x:c r="U201" s="22">
        <x:f>IF(S201="",IF(N201="بله","الزامی — تکمیل نشده",""),IF(AND(O201&lt;&gt;"",LEFT(S201&amp;"",4)&lt;&gt;O201),"زیر کل دیگری است — کل یا معین را اصلاح کنید",IF(AND(S201=P201,FALSE,W201=""),"تداخل: کد "&amp;S201&amp;" در برگهٔ درخت جدید با نام «"&amp;T201&amp;"» از قبل تعریف شده",IF(COUNTIFS('درخت جدید'!$B:$B,S201&amp;"",'درخت جدید'!$A:$A,"معین")=0,IF(V201="","کد در درخت نیست — نام برای تعریف را بنویسید","OK"),"OK"))))</x:f>
      </x:c>
      <x:c r="V201" s="27">
        <x:f>IF(S201="","",IF(COUNTIFS('درخت جدید'!$B:$B,S201&amp;"",'درخت جدید'!$A:$A,"معین")=0,D201,""))</x:f>
      </x:c>
      <x:c r="W201" s="27"/>
      <x:c r="X201" s="38">
        <x:v>7</x:v>
      </x:c>
    </x:row>
    <x:row r="202" spans="1:24">
      <x:c r="A202" s="21" t="s">
        <x:v>70</x:v>
      </x:c>
      <x:c r="B202" s="22" t="s">
        <x:v>321</x:v>
      </x:c>
      <x:c r="C202" s="22" t="s">
        <x:v>71</x:v>
      </x:c>
      <x:c r="D202" s="22" t="s">
        <x:v>431</x:v>
      </x:c>
      <x:c r="E202" s="22" t="s">
        <x:v>195</x:v>
      </x:c>
      <x:c r="F202" s="22" t="s">
        <x:v>194</x:v>
      </x:c>
      <x:c r="G202" s="22" t="s">
        <x:v>199</x:v>
      </x:c>
      <x:c r="H202" s="22">
        <x:v>2</x:v>
      </x:c>
      <x:c r="I202" s="22">
        <x:v>0</x:v>
      </x:c>
      <x:c r="J202" s="22">
        <x:v>0</x:v>
      </x:c>
      <x:c r="K202" s="23">
        <x:v>0</x:v>
      </x:c>
      <x:c r="L202" s="23">
        <x:v>0</x:v>
      </x:c>
      <x:c r="M202" s="23">
        <x:f>K202-L202</x:f>
      </x:c>
      <x:c r="N202" s="22" t="s">
        <x:v>351</x:v>
      </x:c>
      <x:c r="O202" s="24">
        <x:f>IFERROR(INDEX('تطبیق کل'!$J:$J,MATCH(A202&amp;"",'تطبیق کل'!$A:$A,0))&amp;"","")</x:f>
      </x:c>
      <x:c r="P202" s="24">
        <x:f>IF(O202="","",O202&amp;B202)</x:f>
      </x:c>
      <x:c r="Q202" s="24">
        <x:f>IF(P202="","",IFERROR(INDEX('درخت جدید'!$C:$C,MATCH(P202&amp;"",'درخت جدید'!$B:$B,0)),"— در درخت نیست؛ با نام قدیم ساخته می‌شود —"))</x:f>
      </x:c>
      <x:c r="R202" s="25"/>
      <x:c r="S202" s="26">
        <x:f>P202</x:f>
      </x:c>
      <x:c r="T202" s="22">
        <x:f>IF(S202="","",IFERROR(INDEX('درخت جدید'!$C:$C,MATCH(S202&amp;"",'درخت جدید'!$B:$B,0)),"(ساخته می‌شود) "&amp;V202))</x:f>
      </x:c>
      <x:c r="U202" s="22">
        <x:f>IF(S202="",IF(N202="بله","الزامی — تکمیل نشده",""),IF(AND(O202&lt;&gt;"",LEFT(S202&amp;"",4)&lt;&gt;O202),"زیر کل دیگری است — کل یا معین را اصلاح کنید",IF(AND(S202=P202,FALSE,W202=""),"تداخل: کد "&amp;S202&amp;" در برگهٔ درخت جدید با نام «"&amp;T202&amp;"» از قبل تعریف شده",IF(COUNTIFS('درخت جدید'!$B:$B,S202&amp;"",'درخت جدید'!$A:$A,"معین")=0,IF(V202="","کد در درخت نیست — نام برای تعریف را بنویسید","OK"),"OK"))))</x:f>
      </x:c>
      <x:c r="V202" s="27">
        <x:f>IF(S202="","",IF(COUNTIFS('درخت جدید'!$B:$B,S202&amp;"",'درخت جدید'!$A:$A,"معین")=0,D202,""))</x:f>
      </x:c>
      <x:c r="W202" s="27"/>
      <x:c r="X202" s="38"/>
    </x:row>
    <x:row r="203" spans="1:24">
      <x:c r="A203" s="21" t="s">
        <x:v>70</x:v>
      </x:c>
      <x:c r="B203" s="22" t="s">
        <x:v>323</x:v>
      </x:c>
      <x:c r="C203" s="22" t="s">
        <x:v>71</x:v>
      </x:c>
      <x:c r="D203" s="22" t="s">
        <x:v>432</x:v>
      </x:c>
      <x:c r="E203" s="22" t="s">
        <x:v>195</x:v>
      </x:c>
      <x:c r="F203" s="22" t="s">
        <x:v>194</x:v>
      </x:c>
      <x:c r="G203" s="22" t="s">
        <x:v>199</x:v>
      </x:c>
      <x:c r="H203" s="22">
        <x:v>1</x:v>
      </x:c>
      <x:c r="I203" s="22">
        <x:v>0</x:v>
      </x:c>
      <x:c r="J203" s="22">
        <x:v>0</x:v>
      </x:c>
      <x:c r="K203" s="23">
        <x:v>0</x:v>
      </x:c>
      <x:c r="L203" s="23">
        <x:v>0</x:v>
      </x:c>
      <x:c r="M203" s="23">
        <x:f>K203-L203</x:f>
      </x:c>
      <x:c r="N203" s="22" t="s">
        <x:v>351</x:v>
      </x:c>
      <x:c r="O203" s="24">
        <x:f>IFERROR(INDEX('تطبیق کل'!$J:$J,MATCH(A203&amp;"",'تطبیق کل'!$A:$A,0))&amp;"","")</x:f>
      </x:c>
      <x:c r="P203" s="24">
        <x:f>IF(O203="","",O203&amp;B203)</x:f>
      </x:c>
      <x:c r="Q203" s="24">
        <x:f>IF(P203="","",IFERROR(INDEX('درخت جدید'!$C:$C,MATCH(P203&amp;"",'درخت جدید'!$B:$B,0)),"— در درخت نیست؛ با نام قدیم ساخته می‌شود —"))</x:f>
      </x:c>
      <x:c r="R203" s="25"/>
      <x:c r="S203" s="26">
        <x:f>P203</x:f>
      </x:c>
      <x:c r="T203" s="22">
        <x:f>IF(S203="","",IFERROR(INDEX('درخت جدید'!$C:$C,MATCH(S203&amp;"",'درخت جدید'!$B:$B,0)),"(ساخته می‌شود) "&amp;V203))</x:f>
      </x:c>
      <x:c r="U203" s="22">
        <x:f>IF(S203="",IF(N203="بله","الزامی — تکمیل نشده",""),IF(AND(O203&lt;&gt;"",LEFT(S203&amp;"",4)&lt;&gt;O203),"زیر کل دیگری است — کل یا معین را اصلاح کنید",IF(AND(S203=P203,FALSE,W203=""),"تداخل: کد "&amp;S203&amp;" در برگهٔ درخت جدید با نام «"&amp;T203&amp;"» از قبل تعریف شده",IF(COUNTIFS('درخت جدید'!$B:$B,S203&amp;"",'درخت جدید'!$A:$A,"معین")=0,IF(V203="","کد در درخت نیست — نام برای تعریف را بنویسید","OK"),"OK"))))</x:f>
      </x:c>
      <x:c r="V203" s="27">
        <x:f>IF(S203="","",IF(COUNTIFS('درخت جدید'!$B:$B,S203&amp;"",'درخت جدید'!$A:$A,"معین")=0,D203,""))</x:f>
      </x:c>
      <x:c r="W203" s="27"/>
      <x:c r="X203" s="38"/>
    </x:row>
    <x:row r="204" spans="1:24">
      <x:c r="A204" s="21" t="s">
        <x:v>70</x:v>
      </x:c>
      <x:c r="B204" s="22" t="s">
        <x:v>45</x:v>
      </x:c>
      <x:c r="C204" s="22" t="s">
        <x:v>71</x:v>
      </x:c>
      <x:c r="D204" s="22" t="s">
        <x:v>433</x:v>
      </x:c>
      <x:c r="E204" s="22" t="s">
        <x:v>195</x:v>
      </x:c>
      <x:c r="F204" s="22" t="s">
        <x:v>194</x:v>
      </x:c>
      <x:c r="G204" s="22" t="s">
        <x:v>199</x:v>
      </x:c>
      <x:c r="H204" s="22">
        <x:v>4</x:v>
      </x:c>
      <x:c r="I204" s="22">
        <x:v>0</x:v>
      </x:c>
      <x:c r="J204" s="22">
        <x:v>0</x:v>
      </x:c>
      <x:c r="K204" s="23">
        <x:v>0</x:v>
      </x:c>
      <x:c r="L204" s="23">
        <x:v>0</x:v>
      </x:c>
      <x:c r="M204" s="23">
        <x:f>K204-L204</x:f>
      </x:c>
      <x:c r="N204" s="22" t="s">
        <x:v>351</x:v>
      </x:c>
      <x:c r="O204" s="24">
        <x:f>IFERROR(INDEX('تطبیق کل'!$J:$J,MATCH(A204&amp;"",'تطبیق کل'!$A:$A,0))&amp;"","")</x:f>
      </x:c>
      <x:c r="P204" s="24">
        <x:f>IF(O204="","",O204&amp;B204)</x:f>
      </x:c>
      <x:c r="Q204" s="24">
        <x:f>IF(P204="","",IFERROR(INDEX('درخت جدید'!$C:$C,MATCH(P204&amp;"",'درخت جدید'!$B:$B,0)),"— در درخت نیست؛ با نام قدیم ساخته می‌شود —"))</x:f>
      </x:c>
      <x:c r="R204" s="25"/>
      <x:c r="S204" s="26">
        <x:f>P204</x:f>
      </x:c>
      <x:c r="T204" s="22">
        <x:f>IF(S204="","",IFERROR(INDEX('درخت جدید'!$C:$C,MATCH(S204&amp;"",'درخت جدید'!$B:$B,0)),"(ساخته می‌شود) "&amp;V204))</x:f>
      </x:c>
      <x:c r="U204" s="22">
        <x:f>IF(S204="",IF(N204="بله","الزامی — تکمیل نشده",""),IF(AND(O204&lt;&gt;"",LEFT(S204&amp;"",4)&lt;&gt;O204),"زیر کل دیگری است — کل یا معین را اصلاح کنید",IF(AND(S204=P204,FALSE,W204=""),"تداخل: کد "&amp;S204&amp;" در برگهٔ درخت جدید با نام «"&amp;T204&amp;"» از قبل تعریف شده",IF(COUNTIFS('درخت جدید'!$B:$B,S204&amp;"",'درخت جدید'!$A:$A,"معین")=0,IF(V204="","کد در درخت نیست — نام برای تعریف را بنویسید","OK"),"OK"))))</x:f>
      </x:c>
      <x:c r="V204" s="27">
        <x:f>IF(S204="","",IF(COUNTIFS('درخت جدید'!$B:$B,S204&amp;"",'درخت جدید'!$A:$A,"معین")=0,D204,""))</x:f>
      </x:c>
      <x:c r="W204" s="27"/>
      <x:c r="X204" s="38"/>
    </x:row>
    <x:row r="205" spans="1:24">
      <x:c r="A205" s="21" t="s">
        <x:v>70</x:v>
      </x:c>
      <x:c r="B205" s="22" t="s">
        <x:v>398</x:v>
      </x:c>
      <x:c r="C205" s="22" t="s">
        <x:v>71</x:v>
      </x:c>
      <x:c r="D205" s="22" t="s">
        <x:v>399</x:v>
      </x:c>
      <x:c r="E205" s="22" t="s">
        <x:v>195</x:v>
      </x:c>
      <x:c r="F205" s="22" t="s">
        <x:v>194</x:v>
      </x:c>
      <x:c r="G205" s="22" t="s">
        <x:v>195</x:v>
      </x:c>
      <x:c r="H205" s="22">
        <x:v>10</x:v>
      </x:c>
      <x:c r="I205" s="22">
        <x:v>0</x:v>
      </x:c>
      <x:c r="J205" s="22">
        <x:v>0</x:v>
      </x:c>
      <x:c r="K205" s="23">
        <x:v>0</x:v>
      </x:c>
      <x:c r="L205" s="23">
        <x:v>0</x:v>
      </x:c>
      <x:c r="M205" s="23">
        <x:f>K205-L205</x:f>
      </x:c>
      <x:c r="N205" s="22" t="s">
        <x:v>351</x:v>
      </x:c>
      <x:c r="O205" s="24">
        <x:f>IFERROR(INDEX('تطبیق کل'!$J:$J,MATCH(A205&amp;"",'تطبیق کل'!$A:$A,0))&amp;"","")</x:f>
      </x:c>
      <x:c r="P205" s="24">
        <x:f>IF(O205="","",O205&amp;B205)</x:f>
      </x:c>
      <x:c r="Q205" s="24">
        <x:f>IF(P205="","",IFERROR(INDEX('درخت جدید'!$C:$C,MATCH(P205&amp;"",'درخت جدید'!$B:$B,0)),"— در درخت نیست؛ با نام قدیم ساخته می‌شود —"))</x:f>
      </x:c>
      <x:c r="R205" s="25"/>
      <x:c r="S205" s="26">
        <x:f>P205</x:f>
      </x:c>
      <x:c r="T205" s="22">
        <x:f>IF(S205="","",IFERROR(INDEX('درخت جدید'!$C:$C,MATCH(S205&amp;"",'درخت جدید'!$B:$B,0)),"(ساخته می‌شود) "&amp;V205))</x:f>
      </x:c>
      <x:c r="U205" s="22">
        <x:f>IF(S205="",IF(N205="بله","الزامی — تکمیل نشده",""),IF(AND(O205&lt;&gt;"",LEFT(S205&amp;"",4)&lt;&gt;O205),"زیر کل دیگری است — کل یا معین را اصلاح کنید",IF(AND(S205=P205,FALSE,W205=""),"تداخل: کد "&amp;S205&amp;" در برگهٔ درخت جدید با نام «"&amp;T205&amp;"» از قبل تعریف شده",IF(COUNTIFS('درخت جدید'!$B:$B,S205&amp;"",'درخت جدید'!$A:$A,"معین")=0,IF(V205="","کد در درخت نیست — نام برای تعریف را بنویسید","OK"),"OK"))))</x:f>
      </x:c>
      <x:c r="V205" s="27">
        <x:f>IF(S205="","",IF(COUNTIFS('درخت جدید'!$B:$B,S205&amp;"",'درخت جدید'!$A:$A,"معین")=0,D205,""))</x:f>
      </x:c>
      <x:c r="W205" s="27"/>
      <x:c r="X205" s="38"/>
    </x:row>
    <x:row r="206" spans="1:24">
      <x:c r="A206" s="21" t="s">
        <x:v>70</x:v>
      </x:c>
      <x:c r="B206" s="22" t="s">
        <x:v>200</x:v>
      </x:c>
      <x:c r="C206" s="22" t="s">
        <x:v>71</x:v>
      </x:c>
      <x:c r="D206" s="22" t="s">
        <x:v>434</x:v>
      </x:c>
      <x:c r="E206" s="22" t="s">
        <x:v>195</x:v>
      </x:c>
      <x:c r="F206" s="22" t="s">
        <x:v>194</x:v>
      </x:c>
      <x:c r="G206" s="22" t="s">
        <x:v>199</x:v>
      </x:c>
      <x:c r="H206" s="22">
        <x:v>1</x:v>
      </x:c>
      <x:c r="I206" s="22">
        <x:v>0</x:v>
      </x:c>
      <x:c r="J206" s="22">
        <x:v>0</x:v>
      </x:c>
      <x:c r="K206" s="23">
        <x:v>0</x:v>
      </x:c>
      <x:c r="L206" s="23">
        <x:v>0</x:v>
      </x:c>
      <x:c r="M206" s="23">
        <x:f>K206-L206</x:f>
      </x:c>
      <x:c r="N206" s="22" t="s">
        <x:v>351</x:v>
      </x:c>
      <x:c r="O206" s="24">
        <x:f>IFERROR(INDEX('تطبیق کل'!$J:$J,MATCH(A206&amp;"",'تطبیق کل'!$A:$A,0))&amp;"","")</x:f>
      </x:c>
      <x:c r="P206" s="24">
        <x:f>IF(O206="","",O206&amp;B206)</x:f>
      </x:c>
      <x:c r="Q206" s="24">
        <x:f>IF(P206="","",IFERROR(INDEX('درخت جدید'!$C:$C,MATCH(P206&amp;"",'درخت جدید'!$B:$B,0)),"— در درخت نیست؛ با نام قدیم ساخته می‌شود —"))</x:f>
      </x:c>
      <x:c r="R206" s="25"/>
      <x:c r="S206" s="26">
        <x:f>P206</x:f>
      </x:c>
      <x:c r="T206" s="22">
        <x:f>IF(S206="","",IFERROR(INDEX('درخت جدید'!$C:$C,MATCH(S206&amp;"",'درخت جدید'!$B:$B,0)),"(ساخته می‌شود) "&amp;V206))</x:f>
      </x:c>
      <x:c r="U206" s="22">
        <x:f>IF(S206="",IF(N206="بله","الزامی — تکمیل نشده",""),IF(AND(O206&lt;&gt;"",LEFT(S206&amp;"",4)&lt;&gt;O206),"زیر کل دیگری است — کل یا معین را اصلاح کنید",IF(AND(S206=P206,FALSE,W206=""),"تداخل: کد "&amp;S206&amp;" در برگهٔ درخت جدید با نام «"&amp;T206&amp;"» از قبل تعریف شده",IF(COUNTIFS('درخت جدید'!$B:$B,S206&amp;"",'درخت جدید'!$A:$A,"معین")=0,IF(V206="","کد در درخت نیست — نام برای تعریف را بنویسید","OK"),"OK"))))</x:f>
      </x:c>
      <x:c r="V206" s="27">
        <x:f>IF(S206="","",IF(COUNTIFS('درخت جدید'!$B:$B,S206&amp;"",'درخت جدید'!$A:$A,"معین")=0,D206,""))</x:f>
      </x:c>
      <x:c r="W206" s="27"/>
      <x:c r="X206" s="38"/>
    </x:row>
    <x:row r="207" spans="1:24">
      <x:c r="A207" s="21" t="s">
        <x:v>70</x:v>
      </x:c>
      <x:c r="B207" s="22" t="s">
        <x:v>70</x:v>
      </x:c>
      <x:c r="C207" s="22" t="s">
        <x:v>71</x:v>
      </x:c>
      <x:c r="D207" s="22" t="s">
        <x:v>435</x:v>
      </x:c>
      <x:c r="E207" s="22" t="s">
        <x:v>195</x:v>
      </x:c>
      <x:c r="F207" s="22" t="s">
        <x:v>194</x:v>
      </x:c>
      <x:c r="G207" s="22" t="s">
        <x:v>195</x:v>
      </x:c>
      <x:c r="H207" s="22">
        <x:v>2</x:v>
      </x:c>
      <x:c r="I207" s="22">
        <x:v>0</x:v>
      </x:c>
      <x:c r="J207" s="22">
        <x:v>0</x:v>
      </x:c>
      <x:c r="K207" s="23">
        <x:v>0</x:v>
      </x:c>
      <x:c r="L207" s="23">
        <x:v>0</x:v>
      </x:c>
      <x:c r="M207" s="23">
        <x:f>K207-L207</x:f>
      </x:c>
      <x:c r="N207" s="22" t="s">
        <x:v>351</x:v>
      </x:c>
      <x:c r="O207" s="24">
        <x:f>IFERROR(INDEX('تطبیق کل'!$J:$J,MATCH(A207&amp;"",'تطبیق کل'!$A:$A,0))&amp;"","")</x:f>
      </x:c>
      <x:c r="P207" s="24">
        <x:f>IF(O207="","",O207&amp;B207)</x:f>
      </x:c>
      <x:c r="Q207" s="24">
        <x:f>IF(P207="","",IFERROR(INDEX('درخت جدید'!$C:$C,MATCH(P207&amp;"",'درخت جدید'!$B:$B,0)),"— در درخت نیست؛ با نام قدیم ساخته می‌شود —"))</x:f>
      </x:c>
      <x:c r="R207" s="25"/>
      <x:c r="S207" s="26">
        <x:f>P207</x:f>
      </x:c>
      <x:c r="T207" s="22">
        <x:f>IF(S207="","",IFERROR(INDEX('درخت جدید'!$C:$C,MATCH(S207&amp;"",'درخت جدید'!$B:$B,0)),"(ساخته می‌شود) "&amp;V207))</x:f>
      </x:c>
      <x:c r="U207" s="22">
        <x:f>IF(S207="",IF(N207="بله","الزامی — تکمیل نشده",""),IF(AND(O207&lt;&gt;"",LEFT(S207&amp;"",4)&lt;&gt;O207),"زیر کل دیگری است — کل یا معین را اصلاح کنید",IF(AND(S207=P207,FALSE,W207=""),"تداخل: کد "&amp;S207&amp;" در برگهٔ درخت جدید با نام «"&amp;T207&amp;"» از قبل تعریف شده",IF(COUNTIFS('درخت جدید'!$B:$B,S207&amp;"",'درخت جدید'!$A:$A,"معین")=0,IF(V207="","کد در درخت نیست — نام برای تعریف را بنویسید","OK"),"OK"))))</x:f>
      </x:c>
      <x:c r="V207" s="27">
        <x:f>IF(S207="","",IF(COUNTIFS('درخت جدید'!$B:$B,S207&amp;"",'درخت جدید'!$A:$A,"معین")=0,D207,""))</x:f>
      </x:c>
      <x:c r="W207" s="27"/>
      <x:c r="X207" s="38"/>
    </x:row>
    <x:row r="208" spans="1:24">
      <x:c r="A208" s="21" t="s">
        <x:v>70</x:v>
      </x:c>
      <x:c r="B208" s="22" t="s">
        <x:v>73</x:v>
      </x:c>
      <x:c r="C208" s="22" t="s">
        <x:v>71</x:v>
      </x:c>
      <x:c r="D208" s="22" t="s">
        <x:v>436</x:v>
      </x:c>
      <x:c r="E208" s="22" t="s">
        <x:v>195</x:v>
      </x:c>
      <x:c r="F208" s="22" t="s">
        <x:v>194</x:v>
      </x:c>
      <x:c r="G208" s="22" t="s">
        <x:v>195</x:v>
      </x:c>
      <x:c r="H208" s="22">
        <x:v>1</x:v>
      </x:c>
      <x:c r="I208" s="22">
        <x:v>0</x:v>
      </x:c>
      <x:c r="J208" s="22">
        <x:v>0</x:v>
      </x:c>
      <x:c r="K208" s="23">
        <x:v>0</x:v>
      </x:c>
      <x:c r="L208" s="23">
        <x:v>0</x:v>
      </x:c>
      <x:c r="M208" s="23">
        <x:f>K208-L208</x:f>
      </x:c>
      <x:c r="N208" s="22" t="s">
        <x:v>351</x:v>
      </x:c>
      <x:c r="O208" s="24">
        <x:f>IFERROR(INDEX('تطبیق کل'!$J:$J,MATCH(A208&amp;"",'تطبیق کل'!$A:$A,0))&amp;"","")</x:f>
      </x:c>
      <x:c r="P208" s="24">
        <x:f>IF(O208="","",O208&amp;B208)</x:f>
      </x:c>
      <x:c r="Q208" s="24">
        <x:f>IF(P208="","",IFERROR(INDEX('درخت جدید'!$C:$C,MATCH(P208&amp;"",'درخت جدید'!$B:$B,0)),"— در درخت نیست؛ با نام قدیم ساخته می‌شود —"))</x:f>
      </x:c>
      <x:c r="R208" s="25"/>
      <x:c r="S208" s="26">
        <x:f>P208</x:f>
      </x:c>
      <x:c r="T208" s="22">
        <x:f>IF(S208="","",IFERROR(INDEX('درخت جدید'!$C:$C,MATCH(S208&amp;"",'درخت جدید'!$B:$B,0)),"(ساخته می‌شود) "&amp;V208))</x:f>
      </x:c>
      <x:c r="U208" s="22">
        <x:f>IF(S208="",IF(N208="بله","الزامی — تکمیل نشده",""),IF(AND(O208&lt;&gt;"",LEFT(S208&amp;"",4)&lt;&gt;O208),"زیر کل دیگری است — کل یا معین را اصلاح کنید",IF(AND(S208=P208,FALSE,W208=""),"تداخل: کد "&amp;S208&amp;" در برگهٔ درخت جدید با نام «"&amp;T208&amp;"» از قبل تعریف شده",IF(COUNTIFS('درخت جدید'!$B:$B,S208&amp;"",'درخت جدید'!$A:$A,"معین")=0,IF(V208="","کد در درخت نیست — نام برای تعریف را بنویسید","OK"),"OK"))))</x:f>
      </x:c>
      <x:c r="V208" s="27">
        <x:f>IF(S208="","",IF(COUNTIFS('درخت جدید'!$B:$B,S208&amp;"",'درخت جدید'!$A:$A,"معین")=0,D208,""))</x:f>
      </x:c>
      <x:c r="W208" s="27"/>
      <x:c r="X208" s="38"/>
    </x:row>
    <x:row r="209" spans="1:24">
      <x:c r="A209" s="21" t="s">
        <x:v>70</x:v>
      </x:c>
      <x:c r="B209" s="22" t="s">
        <x:v>437</x:v>
      </x:c>
      <x:c r="C209" s="22" t="s">
        <x:v>71</x:v>
      </x:c>
      <x:c r="D209" s="22" t="s">
        <x:v>438</x:v>
      </x:c>
      <x:c r="E209" s="22" t="s">
        <x:v>195</x:v>
      </x:c>
      <x:c r="F209" s="22" t="s">
        <x:v>194</x:v>
      </x:c>
      <x:c r="G209" s="22" t="s">
        <x:v>195</x:v>
      </x:c>
      <x:c r="H209" s="22">
        <x:v>1</x:v>
      </x:c>
      <x:c r="I209" s="22">
        <x:v>0</x:v>
      </x:c>
      <x:c r="J209" s="22">
        <x:v>0</x:v>
      </x:c>
      <x:c r="K209" s="23">
        <x:v>0</x:v>
      </x:c>
      <x:c r="L209" s="23">
        <x:v>0</x:v>
      </x:c>
      <x:c r="M209" s="23">
        <x:f>K209-L209</x:f>
      </x:c>
      <x:c r="N209" s="22" t="s">
        <x:v>351</x:v>
      </x:c>
      <x:c r="O209" s="24">
        <x:f>IFERROR(INDEX('تطبیق کل'!$J:$J,MATCH(A209&amp;"",'تطبیق کل'!$A:$A,0))&amp;"","")</x:f>
      </x:c>
      <x:c r="P209" s="24">
        <x:f>IF(O209="","",O209&amp;B209)</x:f>
      </x:c>
      <x:c r="Q209" s="24">
        <x:f>IF(P209="","",IFERROR(INDEX('درخت جدید'!$C:$C,MATCH(P209&amp;"",'درخت جدید'!$B:$B,0)),"— در درخت نیست؛ با نام قدیم ساخته می‌شود —"))</x:f>
      </x:c>
      <x:c r="R209" s="25"/>
      <x:c r="S209" s="26">
        <x:f>P209</x:f>
      </x:c>
      <x:c r="T209" s="22">
        <x:f>IF(S209="","",IFERROR(INDEX('درخت جدید'!$C:$C,MATCH(S209&amp;"",'درخت جدید'!$B:$B,0)),"(ساخته می‌شود) "&amp;V209))</x:f>
      </x:c>
      <x:c r="U209" s="22">
        <x:f>IF(S209="",IF(N209="بله","الزامی — تکمیل نشده",""),IF(AND(O209&lt;&gt;"",LEFT(S209&amp;"",4)&lt;&gt;O209),"زیر کل دیگری است — کل یا معین را اصلاح کنید",IF(AND(S209=P209,FALSE,W209=""),"تداخل: کد "&amp;S209&amp;" در برگهٔ درخت جدید با نام «"&amp;T209&amp;"» از قبل تعریف شده",IF(COUNTIFS('درخت جدید'!$B:$B,S209&amp;"",'درخت جدید'!$A:$A,"معین")=0,IF(V209="","کد در درخت نیست — نام برای تعریف را بنویسید","OK"),"OK"))))</x:f>
      </x:c>
      <x:c r="V209" s="27">
        <x:f>IF(S209="","",IF(COUNTIFS('درخت جدید'!$B:$B,S209&amp;"",'درخت جدید'!$A:$A,"معین")=0,D209,""))</x:f>
      </x:c>
      <x:c r="W209" s="27"/>
      <x:c r="X209" s="38"/>
    </x:row>
    <x:row r="210" spans="1:24">
      <x:c r="A210" s="21" t="s">
        <x:v>70</x:v>
      </x:c>
      <x:c r="B210" s="22" t="s">
        <x:v>89</x:v>
      </x:c>
      <x:c r="C210" s="22" t="s">
        <x:v>71</x:v>
      </x:c>
      <x:c r="D210" s="22" t="s">
        <x:v>439</x:v>
      </x:c>
      <x:c r="E210" s="22" t="s">
        <x:v>195</x:v>
      </x:c>
      <x:c r="F210" s="22" t="s">
        <x:v>194</x:v>
      </x:c>
      <x:c r="G210" s="22" t="s">
        <x:v>195</x:v>
      </x:c>
      <x:c r="H210" s="22">
        <x:v>4</x:v>
      </x:c>
      <x:c r="I210" s="22">
        <x:v>0</x:v>
      </x:c>
      <x:c r="J210" s="22">
        <x:v>0</x:v>
      </x:c>
      <x:c r="K210" s="23">
        <x:v>0</x:v>
      </x:c>
      <x:c r="L210" s="23">
        <x:v>0</x:v>
      </x:c>
      <x:c r="M210" s="23">
        <x:f>K210-L210</x:f>
      </x:c>
      <x:c r="N210" s="22" t="s">
        <x:v>351</x:v>
      </x:c>
      <x:c r="O210" s="24">
        <x:f>IFERROR(INDEX('تطبیق کل'!$J:$J,MATCH(A210&amp;"",'تطبیق کل'!$A:$A,0))&amp;"","")</x:f>
      </x:c>
      <x:c r="P210" s="24">
        <x:f>IF(O210="","",O210&amp;B210)</x:f>
      </x:c>
      <x:c r="Q210" s="24">
        <x:f>IF(P210="","",IFERROR(INDEX('درخت جدید'!$C:$C,MATCH(P210&amp;"",'درخت جدید'!$B:$B,0)),"— در درخت نیست؛ با نام قدیم ساخته می‌شود —"))</x:f>
      </x:c>
      <x:c r="R210" s="25"/>
      <x:c r="S210" s="26">
        <x:f>P210</x:f>
      </x:c>
      <x:c r="T210" s="22">
        <x:f>IF(S210="","",IFERROR(INDEX('درخت جدید'!$C:$C,MATCH(S210&amp;"",'درخت جدید'!$B:$B,0)),"(ساخته می‌شود) "&amp;V210))</x:f>
      </x:c>
      <x:c r="U210" s="22">
        <x:f>IF(S210="",IF(N210="بله","الزامی — تکمیل نشده",""),IF(AND(O210&lt;&gt;"",LEFT(S210&amp;"",4)&lt;&gt;O210),"زیر کل دیگری است — کل یا معین را اصلاح کنید",IF(AND(S210=P210,FALSE,W210=""),"تداخل: کد "&amp;S210&amp;" در برگهٔ درخت جدید با نام «"&amp;T210&amp;"» از قبل تعریف شده",IF(COUNTIFS('درخت جدید'!$B:$B,S210&amp;"",'درخت جدید'!$A:$A,"معین")=0,IF(V210="","کد در درخت نیست — نام برای تعریف را بنویسید","OK"),"OK"))))</x:f>
      </x:c>
      <x:c r="V210" s="27">
        <x:f>IF(S210="","",IF(COUNTIFS('درخت جدید'!$B:$B,S210&amp;"",'درخت جدید'!$A:$A,"معین")=0,D210,""))</x:f>
      </x:c>
      <x:c r="W210" s="27"/>
      <x:c r="X210" s="38"/>
    </x:row>
    <x:row r="211" spans="1:24">
      <x:c r="A211" s="21" t="s">
        <x:v>70</x:v>
      </x:c>
      <x:c r="B211" s="22" t="s">
        <x:v>115</x:v>
      </x:c>
      <x:c r="C211" s="22" t="s">
        <x:v>71</x:v>
      </x:c>
      <x:c r="D211" s="22" t="s">
        <x:v>440</x:v>
      </x:c>
      <x:c r="E211" s="22" t="s">
        <x:v>195</x:v>
      </x:c>
      <x:c r="F211" s="22" t="s">
        <x:v>194</x:v>
      </x:c>
      <x:c r="G211" s="22" t="s">
        <x:v>199</x:v>
      </x:c>
      <x:c r="H211" s="22">
        <x:v>1</x:v>
      </x:c>
      <x:c r="I211" s="22">
        <x:v>0</x:v>
      </x:c>
      <x:c r="J211" s="22">
        <x:v>0</x:v>
      </x:c>
      <x:c r="K211" s="23">
        <x:v>0</x:v>
      </x:c>
      <x:c r="L211" s="23">
        <x:v>0</x:v>
      </x:c>
      <x:c r="M211" s="23">
        <x:f>K211-L211</x:f>
      </x:c>
      <x:c r="N211" s="22" t="s">
        <x:v>351</x:v>
      </x:c>
      <x:c r="O211" s="24">
        <x:f>IFERROR(INDEX('تطبیق کل'!$J:$J,MATCH(A211&amp;"",'تطبیق کل'!$A:$A,0))&amp;"","")</x:f>
      </x:c>
      <x:c r="P211" s="24">
        <x:f>IF(O211="","",O211&amp;B211)</x:f>
      </x:c>
      <x:c r="Q211" s="24">
        <x:f>IF(P211="","",IFERROR(INDEX('درخت جدید'!$C:$C,MATCH(P211&amp;"",'درخت جدید'!$B:$B,0)),"— در درخت نیست؛ با نام قدیم ساخته می‌شود —"))</x:f>
      </x:c>
      <x:c r="R211" s="25"/>
      <x:c r="S211" s="26">
        <x:f>P211</x:f>
      </x:c>
      <x:c r="T211" s="22">
        <x:f>IF(S211="","",IFERROR(INDEX('درخت جدید'!$C:$C,MATCH(S211&amp;"",'درخت جدید'!$B:$B,0)),"(ساخته می‌شود) "&amp;V211))</x:f>
      </x:c>
      <x:c r="U211" s="22">
        <x:f>IF(S211="",IF(N211="بله","الزامی — تکمیل نشده",""),IF(AND(O211&lt;&gt;"",LEFT(S211&amp;"",4)&lt;&gt;O211),"زیر کل دیگری است — کل یا معین را اصلاح کنید",IF(AND(S211=P211,FALSE,W211=""),"تداخل: کد "&amp;S211&amp;" در برگهٔ درخت جدید با نام «"&amp;T211&amp;"» از قبل تعریف شده",IF(COUNTIFS('درخت جدید'!$B:$B,S211&amp;"",'درخت جدید'!$A:$A,"معین")=0,IF(V211="","کد در درخت نیست — نام برای تعریف را بنویسید","OK"),"OK"))))</x:f>
      </x:c>
      <x:c r="V211" s="27">
        <x:f>IF(S211="","",IF(COUNTIFS('درخت جدید'!$B:$B,S211&amp;"",'درخت جدید'!$A:$A,"معین")=0,D211,""))</x:f>
      </x:c>
      <x:c r="W211" s="27"/>
      <x:c r="X211" s="38"/>
    </x:row>
    <x:row r="212" spans="1:24">
      <x:c r="A212" s="21" t="s">
        <x:v>81</x:v>
      </x:c>
      <x:c r="B212" s="22" t="s">
        <x:v>202</x:v>
      </x:c>
      <x:c r="C212" s="22" t="s">
        <x:v>82</x:v>
      </x:c>
      <x:c r="D212" s="22" t="s">
        <x:v>441</x:v>
      </x:c>
      <x:c r="E212" s="22" t="s">
        <x:v>194</x:v>
      </x:c>
      <x:c r="F212" s="22" t="s">
        <x:v>194</x:v>
      </x:c>
      <x:c r="G212" s="22" t="s">
        <x:v>195</x:v>
      </x:c>
      <x:c r="H212" s="22">
        <x:v>1</x:v>
      </x:c>
      <x:c r="I212" s="22">
        <x:v>0</x:v>
      </x:c>
      <x:c r="J212" s="22">
        <x:v>0</x:v>
      </x:c>
      <x:c r="K212" s="23">
        <x:v>0</x:v>
      </x:c>
      <x:c r="L212" s="23">
        <x:v>0</x:v>
      </x:c>
      <x:c r="M212" s="23">
        <x:f>K212-L212</x:f>
      </x:c>
      <x:c r="N212" s="22" t="s">
        <x:v>351</x:v>
      </x:c>
      <x:c r="O212" s="24">
        <x:f>IFERROR(INDEX('تطبیق کل'!$J:$J,MATCH(A212&amp;"",'تطبیق کل'!$A:$A,0))&amp;"","")</x:f>
      </x:c>
      <x:c r="P212" s="24">
        <x:f>IF(O212="","",O212&amp;B212)</x:f>
      </x:c>
      <x:c r="Q212" s="24">
        <x:f>IF(P212="","",IFERROR(INDEX('درخت جدید'!$C:$C,MATCH(P212&amp;"",'درخت جدید'!$B:$B,0)),"— در درخت نیست؛ با نام قدیم ساخته می‌شود —"))</x:f>
      </x:c>
      <x:c r="R212" s="25"/>
      <x:c r="S212" s="26">
        <x:f>P212</x:f>
      </x:c>
      <x:c r="T212" s="22">
        <x:f>IF(S212="","",IFERROR(INDEX('درخت جدید'!$C:$C,MATCH(S212&amp;"",'درخت جدید'!$B:$B,0)),"(ساخته می‌شود) "&amp;V212))</x:f>
      </x:c>
      <x:c r="U212" s="22">
        <x:f>IF(S212="",IF(N212="بله","الزامی — تکمیل نشده",""),IF(AND(O212&lt;&gt;"",LEFT(S212&amp;"",4)&lt;&gt;O212),"زیر کل دیگری است — کل یا معین را اصلاح کنید",IF(AND(S212=P212,FALSE,W212=""),"تداخل: کد "&amp;S212&amp;" در برگهٔ درخت جدید با نام «"&amp;T212&amp;"» از قبل تعریف شده",IF(COUNTIFS('درخت جدید'!$B:$B,S212&amp;"",'درخت جدید'!$A:$A,"معین")=0,IF(V212="","کد در درخت نیست — نام برای تعریف را بنویسید","OK"),"OK"))))</x:f>
      </x:c>
      <x:c r="V212" s="27">
        <x:f>IF(S212="","",IF(COUNTIFS('درخت جدید'!$B:$B,S212&amp;"",'درخت جدید'!$A:$A,"معین")=0,D212,""))</x:f>
      </x:c>
      <x:c r="W212" s="27"/>
      <x:c r="X212" s="38"/>
    </x:row>
    <x:row r="213" spans="1:24">
      <x:c r="A213" s="21" t="s">
        <x:v>85</x:v>
      </x:c>
      <x:c r="B213" s="22" t="s">
        <x:v>330</x:v>
      </x:c>
      <x:c r="C213" s="22" t="s">
        <x:v>86</x:v>
      </x:c>
      <x:c r="D213" s="22" t="s">
        <x:v>442</x:v>
      </x:c>
      <x:c r="E213" s="22" t="s">
        <x:v>195</x:v>
      </x:c>
      <x:c r="F213" s="22" t="s">
        <x:v>195</x:v>
      </x:c>
      <x:c r="G213" s="22" t="s">
        <x:v>199</x:v>
      </x:c>
      <x:c r="H213" s="22">
        <x:v>3</x:v>
      </x:c>
      <x:c r="I213" s="22">
        <x:v>0</x:v>
      </x:c>
      <x:c r="J213" s="22">
        <x:v>0</x:v>
      </x:c>
      <x:c r="K213" s="23">
        <x:v>0</x:v>
      </x:c>
      <x:c r="L213" s="23">
        <x:v>0</x:v>
      </x:c>
      <x:c r="M213" s="23">
        <x:f>K213-L213</x:f>
      </x:c>
      <x:c r="N213" s="22" t="s">
        <x:v>351</x:v>
      </x:c>
      <x:c r="O213" s="24">
        <x:f>IFERROR(INDEX('تطبیق کل'!$J:$J,MATCH(A213&amp;"",'تطبیق کل'!$A:$A,0))&amp;"","")</x:f>
      </x:c>
      <x:c r="P213" s="24">
        <x:f>IF(O213="","",O213&amp;B213)</x:f>
      </x:c>
      <x:c r="Q213" s="24">
        <x:f>IF(P213="","",IFERROR(INDEX('درخت جدید'!$C:$C,MATCH(P213&amp;"",'درخت جدید'!$B:$B,0)),"— در درخت نیست؛ با نام قدیم ساخته می‌شود —"))</x:f>
      </x:c>
      <x:c r="R213" s="25"/>
      <x:c r="S213" s="26">
        <x:f>P213</x:f>
      </x:c>
      <x:c r="T213" s="22">
        <x:f>IF(S213="","",IFERROR(INDEX('درخت جدید'!$C:$C,MATCH(S213&amp;"",'درخت جدید'!$B:$B,0)),"(ساخته می‌شود) "&amp;V213))</x:f>
      </x:c>
      <x:c r="U213" s="22">
        <x:f>IF(S213="",IF(N213="بله","الزامی — تکمیل نشده",""),IF(AND(O213&lt;&gt;"",LEFT(S213&amp;"",4)&lt;&gt;O213),"زیر کل دیگری است — کل یا معین را اصلاح کنید",IF(AND(S213=P213,FALSE,W213=""),"تداخل: کد "&amp;S213&amp;" در برگهٔ درخت جدید با نام «"&amp;T213&amp;"» از قبل تعریف شده",IF(COUNTIFS('درخت جدید'!$B:$B,S213&amp;"",'درخت جدید'!$A:$A,"معین")=0,IF(V213="","کد در درخت نیست — نام برای تعریف را بنویسید","OK"),"OK"))))</x:f>
      </x:c>
      <x:c r="V213" s="27">
        <x:f>IF(S213="","",IF(COUNTIFS('درخت جدید'!$B:$B,S213&amp;"",'درخت جدید'!$A:$A,"معین")=0,D213,""))</x:f>
      </x:c>
      <x:c r="W213" s="27"/>
      <x:c r="X213" s="38"/>
    </x:row>
    <x:row r="214" spans="1:24">
      <x:c r="A214" s="21" t="s">
        <x:v>85</x:v>
      </x:c>
      <x:c r="B214" s="22" t="s">
        <x:v>174</x:v>
      </x:c>
      <x:c r="C214" s="22" t="s">
        <x:v>86</x:v>
      </x:c>
      <x:c r="D214" s="22" t="s">
        <x:v>443</x:v>
      </x:c>
      <x:c r="E214" s="22" t="s">
        <x:v>195</x:v>
      </x:c>
      <x:c r="F214" s="22" t="s">
        <x:v>195</x:v>
      </x:c>
      <x:c r="G214" s="22" t="s">
        <x:v>199</x:v>
      </x:c>
      <x:c r="H214" s="22">
        <x:v>2</x:v>
      </x:c>
      <x:c r="I214" s="22">
        <x:v>0</x:v>
      </x:c>
      <x:c r="J214" s="22">
        <x:v>0</x:v>
      </x:c>
      <x:c r="K214" s="23">
        <x:v>0</x:v>
      </x:c>
      <x:c r="L214" s="23">
        <x:v>0</x:v>
      </x:c>
      <x:c r="M214" s="23">
        <x:f>K214-L214</x:f>
      </x:c>
      <x:c r="N214" s="22" t="s">
        <x:v>351</x:v>
      </x:c>
      <x:c r="O214" s="24">
        <x:f>IFERROR(INDEX('تطبیق کل'!$J:$J,MATCH(A214&amp;"",'تطبیق کل'!$A:$A,0))&amp;"","")</x:f>
      </x:c>
      <x:c r="P214" s="24">
        <x:f>IF(O214="","",O214&amp;B214)</x:f>
      </x:c>
      <x:c r="Q214" s="24">
        <x:f>IF(P214="","",IFERROR(INDEX('درخت جدید'!$C:$C,MATCH(P214&amp;"",'درخت جدید'!$B:$B,0)),"— در درخت نیست؛ با نام قدیم ساخته می‌شود —"))</x:f>
      </x:c>
      <x:c r="R214" s="25"/>
      <x:c r="S214" s="26">
        <x:f>P214</x:f>
      </x:c>
      <x:c r="T214" s="22">
        <x:f>IF(S214="","",IFERROR(INDEX('درخت جدید'!$C:$C,MATCH(S214&amp;"",'درخت جدید'!$B:$B,0)),"(ساخته می‌شود) "&amp;V214))</x:f>
      </x:c>
      <x:c r="U214" s="22">
        <x:f>IF(S214="",IF(N214="بله","الزامی — تکمیل نشده",""),IF(AND(O214&lt;&gt;"",LEFT(S214&amp;"",4)&lt;&gt;O214),"زیر کل دیگری است — کل یا معین را اصلاح کنید",IF(AND(S214=P214,FALSE,W214=""),"تداخل: کد "&amp;S214&amp;" در برگهٔ درخت جدید با نام «"&amp;T214&amp;"» از قبل تعریف شده",IF(COUNTIFS('درخت جدید'!$B:$B,S214&amp;"",'درخت جدید'!$A:$A,"معین")=0,IF(V214="","کد در درخت نیست — نام برای تعریف را بنویسید","OK"),"OK"))))</x:f>
      </x:c>
      <x:c r="V214" s="27">
        <x:f>IF(S214="","",IF(COUNTIFS('درخت جدید'!$B:$B,S214&amp;"",'درخت جدید'!$A:$A,"معین")=0,D214,""))</x:f>
      </x:c>
      <x:c r="W214" s="27"/>
      <x:c r="X214" s="38"/>
    </x:row>
    <x:row r="215" spans="1:24">
      <x:c r="A215" s="21" t="s">
        <x:v>89</x:v>
      </x:c>
      <x:c r="B215" s="22" t="s">
        <x:v>101</x:v>
      </x:c>
      <x:c r="C215" s="22" t="s">
        <x:v>90</x:v>
      </x:c>
      <x:c r="D215" s="22" t="s">
        <x:v>444</x:v>
      </x:c>
      <x:c r="E215" s="22" t="s">
        <x:v>195</x:v>
      </x:c>
      <x:c r="F215" s="22" t="s">
        <x:v>195</x:v>
      </x:c>
      <x:c r="G215" s="22" t="s">
        <x:v>199</x:v>
      </x:c>
      <x:c r="H215" s="22">
        <x:v>1</x:v>
      </x:c>
      <x:c r="I215" s="22">
        <x:v>0</x:v>
      </x:c>
      <x:c r="J215" s="22">
        <x:v>0</x:v>
      </x:c>
      <x:c r="K215" s="23">
        <x:v>0</x:v>
      </x:c>
      <x:c r="L215" s="23">
        <x:v>0</x:v>
      </x:c>
      <x:c r="M215" s="23">
        <x:f>K215-L215</x:f>
      </x:c>
      <x:c r="N215" s="22" t="s">
        <x:v>351</x:v>
      </x:c>
      <x:c r="O215" s="24">
        <x:f>IFERROR(INDEX('تطبیق کل'!$J:$J,MATCH(A215&amp;"",'تطبیق کل'!$A:$A,0))&amp;"","")</x:f>
      </x:c>
      <x:c r="P215" s="24">
        <x:f>IF(O215="","",O215&amp;B215)</x:f>
      </x:c>
      <x:c r="Q215" s="24">
        <x:f>IF(P215="","",IFERROR(INDEX('درخت جدید'!$C:$C,MATCH(P215&amp;"",'درخت جدید'!$B:$B,0)),"— در درخت نیست؛ با نام قدیم ساخته می‌شود —"))</x:f>
      </x:c>
      <x:c r="R215" s="25"/>
      <x:c r="S215" s="26">
        <x:f>P215</x:f>
      </x:c>
      <x:c r="T215" s="22">
        <x:f>IF(S215="","",IFERROR(INDEX('درخت جدید'!$C:$C,MATCH(S215&amp;"",'درخت جدید'!$B:$B,0)),"(ساخته می‌شود) "&amp;V215))</x:f>
      </x:c>
      <x:c r="U215" s="22">
        <x:f>IF(S215="",IF(N215="بله","الزامی — تکمیل نشده",""),IF(AND(O215&lt;&gt;"",LEFT(S215&amp;"",4)&lt;&gt;O215),"زیر کل دیگری است — کل یا معین را اصلاح کنید",IF(AND(S215=P215,FALSE,W215=""),"تداخل: کد "&amp;S215&amp;" در برگهٔ درخت جدید با نام «"&amp;T215&amp;"» از قبل تعریف شده",IF(COUNTIFS('درخت جدید'!$B:$B,S215&amp;"",'درخت جدید'!$A:$A,"معین")=0,IF(V215="","کد در درخت نیست — نام برای تعریف را بنویسید","OK"),"OK"))))</x:f>
      </x:c>
      <x:c r="V215" s="27">
        <x:f>IF(S215="","",IF(COUNTIFS('درخت جدید'!$B:$B,S215&amp;"",'درخت جدید'!$A:$A,"معین")=0,D215,""))</x:f>
      </x:c>
      <x:c r="W215" s="27"/>
      <x:c r="X215" s="38"/>
    </x:row>
    <x:row r="216" spans="1:24">
      <x:c r="A216" s="21" t="s">
        <x:v>89</x:v>
      </x:c>
      <x:c r="B216" s="22" t="s">
        <x:v>362</x:v>
      </x:c>
      <x:c r="C216" s="22" t="s">
        <x:v>90</x:v>
      </x:c>
      <x:c r="D216" s="22" t="s">
        <x:v>445</x:v>
      </x:c>
      <x:c r="E216" s="22" t="s">
        <x:v>195</x:v>
      </x:c>
      <x:c r="F216" s="22" t="s">
        <x:v>195</x:v>
      </x:c>
      <x:c r="G216" s="22" t="s">
        <x:v>199</x:v>
      </x:c>
      <x:c r="H216" s="22">
        <x:v>1</x:v>
      </x:c>
      <x:c r="I216" s="22">
        <x:v>0</x:v>
      </x:c>
      <x:c r="J216" s="22">
        <x:v>0</x:v>
      </x:c>
      <x:c r="K216" s="23">
        <x:v>0</x:v>
      </x:c>
      <x:c r="L216" s="23">
        <x:v>0</x:v>
      </x:c>
      <x:c r="M216" s="23">
        <x:f>K216-L216</x:f>
      </x:c>
      <x:c r="N216" s="22" t="s">
        <x:v>351</x:v>
      </x:c>
      <x:c r="O216" s="24">
        <x:f>IFERROR(INDEX('تطبیق کل'!$J:$J,MATCH(A216&amp;"",'تطبیق کل'!$A:$A,0))&amp;"","")</x:f>
      </x:c>
      <x:c r="P216" s="24">
        <x:f>IF(O216="","",O216&amp;B216)</x:f>
      </x:c>
      <x:c r="Q216" s="24">
        <x:f>IF(P216="","",IFERROR(INDEX('درخت جدید'!$C:$C,MATCH(P216&amp;"",'درخت جدید'!$B:$B,0)),"— در درخت نیست؛ با نام قدیم ساخته می‌شود —"))</x:f>
      </x:c>
      <x:c r="R216" s="25"/>
      <x:c r="S216" s="26">
        <x:f>P216</x:f>
      </x:c>
      <x:c r="T216" s="22">
        <x:f>IF(S216="","",IFERROR(INDEX('درخت جدید'!$C:$C,MATCH(S216&amp;"",'درخت جدید'!$B:$B,0)),"(ساخته می‌شود) "&amp;V216))</x:f>
      </x:c>
      <x:c r="U216" s="22">
        <x:f>IF(S216="",IF(N216="بله","الزامی — تکمیل نشده",""),IF(AND(O216&lt;&gt;"",LEFT(S216&amp;"",4)&lt;&gt;O216),"زیر کل دیگری است — کل یا معین را اصلاح کنید",IF(AND(S216=P216,FALSE,W216=""),"تداخل: کد "&amp;S216&amp;" در برگهٔ درخت جدید با نام «"&amp;T216&amp;"» از قبل تعریف شده",IF(COUNTIFS('درخت جدید'!$B:$B,S216&amp;"",'درخت جدید'!$A:$A,"معین")=0,IF(V216="","کد در درخت نیست — نام برای تعریف را بنویسید","OK"),"OK"))))</x:f>
      </x:c>
      <x:c r="V216" s="27">
        <x:f>IF(S216="","",IF(COUNTIFS('درخت جدید'!$B:$B,S216&amp;"",'درخت جدید'!$A:$A,"معین")=0,D216,""))</x:f>
      </x:c>
      <x:c r="W216" s="27"/>
      <x:c r="X216" s="38"/>
    </x:row>
    <x:row r="217" spans="1:24">
      <x:c r="A217" s="21" t="s">
        <x:v>89</x:v>
      </x:c>
      <x:c r="B217" s="22" t="s">
        <x:v>364</x:v>
      </x:c>
      <x:c r="C217" s="22" t="s">
        <x:v>90</x:v>
      </x:c>
      <x:c r="D217" s="22" t="s">
        <x:v>446</x:v>
      </x:c>
      <x:c r="E217" s="22" t="s">
        <x:v>195</x:v>
      </x:c>
      <x:c r="F217" s="22" t="s">
        <x:v>195</x:v>
      </x:c>
      <x:c r="G217" s="22" t="s">
        <x:v>199</x:v>
      </x:c>
      <x:c r="H217" s="22">
        <x:v>1</x:v>
      </x:c>
      <x:c r="I217" s="22">
        <x:v>0</x:v>
      </x:c>
      <x:c r="J217" s="22">
        <x:v>0</x:v>
      </x:c>
      <x:c r="K217" s="23">
        <x:v>0</x:v>
      </x:c>
      <x:c r="L217" s="23">
        <x:v>0</x:v>
      </x:c>
      <x:c r="M217" s="23">
        <x:f>K217-L217</x:f>
      </x:c>
      <x:c r="N217" s="22" t="s">
        <x:v>351</x:v>
      </x:c>
      <x:c r="O217" s="24">
        <x:f>IFERROR(INDEX('تطبیق کل'!$J:$J,MATCH(A217&amp;"",'تطبیق کل'!$A:$A,0))&amp;"","")</x:f>
      </x:c>
      <x:c r="P217" s="24">
        <x:f>IF(O217="","",O217&amp;B217)</x:f>
      </x:c>
      <x:c r="Q217" s="24">
        <x:f>IF(P217="","",IFERROR(INDEX('درخت جدید'!$C:$C,MATCH(P217&amp;"",'درخت جدید'!$B:$B,0)),"— در درخت نیست؛ با نام قدیم ساخته می‌شود —"))</x:f>
      </x:c>
      <x:c r="R217" s="25"/>
      <x:c r="S217" s="26">
        <x:f>P217</x:f>
      </x:c>
      <x:c r="T217" s="22">
        <x:f>IF(S217="","",IFERROR(INDEX('درخت جدید'!$C:$C,MATCH(S217&amp;"",'درخت جدید'!$B:$B,0)),"(ساخته می‌شود) "&amp;V217))</x:f>
      </x:c>
      <x:c r="U217" s="22">
        <x:f>IF(S217="",IF(N217="بله","الزامی — تکمیل نشده",""),IF(AND(O217&lt;&gt;"",LEFT(S217&amp;"",4)&lt;&gt;O217),"زیر کل دیگری است — کل یا معین را اصلاح کنید",IF(AND(S217=P217,FALSE,W217=""),"تداخل: کد "&amp;S217&amp;" در برگهٔ درخت جدید با نام «"&amp;T217&amp;"» از قبل تعریف شده",IF(COUNTIFS('درخت جدید'!$B:$B,S217&amp;"",'درخت جدید'!$A:$A,"معین")=0,IF(V217="","کد در درخت نیست — نام برای تعریف را بنویسید","OK"),"OK"))))</x:f>
      </x:c>
      <x:c r="V217" s="27">
        <x:f>IF(S217="","",IF(COUNTIFS('درخت جدید'!$B:$B,S217&amp;"",'درخت جدید'!$A:$A,"معین")=0,D217,""))</x:f>
      </x:c>
      <x:c r="W217" s="27"/>
      <x:c r="X217" s="38"/>
    </x:row>
    <x:row r="218" spans="1:24">
      <x:c r="A218" s="21" t="s">
        <x:v>89</x:v>
      </x:c>
      <x:c r="B218" s="22" t="s">
        <x:v>213</x:v>
      </x:c>
      <x:c r="C218" s="22" t="s">
        <x:v>90</x:v>
      </x:c>
      <x:c r="D218" s="22" t="s">
        <x:v>447</x:v>
      </x:c>
      <x:c r="E218" s="22" t="s">
        <x:v>195</x:v>
      </x:c>
      <x:c r="F218" s="22" t="s">
        <x:v>195</x:v>
      </x:c>
      <x:c r="G218" s="22" t="s">
        <x:v>199</x:v>
      </x:c>
      <x:c r="H218" s="22">
        <x:v>1</x:v>
      </x:c>
      <x:c r="I218" s="22">
        <x:v>0</x:v>
      </x:c>
      <x:c r="J218" s="22">
        <x:v>0</x:v>
      </x:c>
      <x:c r="K218" s="23">
        <x:v>0</x:v>
      </x:c>
      <x:c r="L218" s="23">
        <x:v>0</x:v>
      </x:c>
      <x:c r="M218" s="23">
        <x:f>K218-L218</x:f>
      </x:c>
      <x:c r="N218" s="22" t="s">
        <x:v>351</x:v>
      </x:c>
      <x:c r="O218" s="24">
        <x:f>IFERROR(INDEX('تطبیق کل'!$J:$J,MATCH(A218&amp;"",'تطبیق کل'!$A:$A,0))&amp;"","")</x:f>
      </x:c>
      <x:c r="P218" s="24">
        <x:f>IF(O218="","",O218&amp;B218)</x:f>
      </x:c>
      <x:c r="Q218" s="24">
        <x:f>IF(P218="","",IFERROR(INDEX('درخت جدید'!$C:$C,MATCH(P218&amp;"",'درخت جدید'!$B:$B,0)),"— در درخت نیست؛ با نام قدیم ساخته می‌شود —"))</x:f>
      </x:c>
      <x:c r="R218" s="25"/>
      <x:c r="S218" s="26">
        <x:f>P218</x:f>
      </x:c>
      <x:c r="T218" s="22">
        <x:f>IF(S218="","",IFERROR(INDEX('درخت جدید'!$C:$C,MATCH(S218&amp;"",'درخت جدید'!$B:$B,0)),"(ساخته می‌شود) "&amp;V218))</x:f>
      </x:c>
      <x:c r="U218" s="22">
        <x:f>IF(S218="",IF(N218="بله","الزامی — تکمیل نشده",""),IF(AND(O218&lt;&gt;"",LEFT(S218&amp;"",4)&lt;&gt;O218),"زیر کل دیگری است — کل یا معین را اصلاح کنید",IF(AND(S218=P218,FALSE,W218=""),"تداخل: کد "&amp;S218&amp;" در برگهٔ درخت جدید با نام «"&amp;T218&amp;"» از قبل تعریف شده",IF(COUNTIFS('درخت جدید'!$B:$B,S218&amp;"",'درخت جدید'!$A:$A,"معین")=0,IF(V218="","کد در درخت نیست — نام برای تعریف را بنویسید","OK"),"OK"))))</x:f>
      </x:c>
      <x:c r="V218" s="27">
        <x:f>IF(S218="","",IF(COUNTIFS('درخت جدید'!$B:$B,S218&amp;"",'درخت جدید'!$A:$A,"معین")=0,D218,""))</x:f>
      </x:c>
      <x:c r="W218" s="27"/>
      <x:c r="X218" s="38"/>
    </x:row>
    <x:row r="219" spans="1:24">
      <x:c r="A219" s="21" t="s">
        <x:v>89</x:v>
      </x:c>
      <x:c r="B219" s="22" t="s">
        <x:v>152</x:v>
      </x:c>
      <x:c r="C219" s="22" t="s">
        <x:v>90</x:v>
      </x:c>
      <x:c r="D219" s="22" t="s">
        <x:v>448</x:v>
      </x:c>
      <x:c r="E219" s="22" t="s">
        <x:v>195</x:v>
      </x:c>
      <x:c r="F219" s="22" t="s">
        <x:v>195</x:v>
      </x:c>
      <x:c r="G219" s="22" t="s">
        <x:v>199</x:v>
      </x:c>
      <x:c r="H219" s="22">
        <x:v>1</x:v>
      </x:c>
      <x:c r="I219" s="22">
        <x:v>0</x:v>
      </x:c>
      <x:c r="J219" s="22">
        <x:v>0</x:v>
      </x:c>
      <x:c r="K219" s="23">
        <x:v>0</x:v>
      </x:c>
      <x:c r="L219" s="23">
        <x:v>0</x:v>
      </x:c>
      <x:c r="M219" s="23">
        <x:f>K219-L219</x:f>
      </x:c>
      <x:c r="N219" s="22" t="s">
        <x:v>351</x:v>
      </x:c>
      <x:c r="O219" s="24">
        <x:f>IFERROR(INDEX('تطبیق کل'!$J:$J,MATCH(A219&amp;"",'تطبیق کل'!$A:$A,0))&amp;"","")</x:f>
      </x:c>
      <x:c r="P219" s="24">
        <x:f>IF(O219="","",O219&amp;B219)</x:f>
      </x:c>
      <x:c r="Q219" s="24">
        <x:f>IF(P219="","",IFERROR(INDEX('درخت جدید'!$C:$C,MATCH(P219&amp;"",'درخت جدید'!$B:$B,0)),"— در درخت نیست؛ با نام قدیم ساخته می‌شود —"))</x:f>
      </x:c>
      <x:c r="R219" s="25"/>
      <x:c r="S219" s="26">
        <x:f>P219</x:f>
      </x:c>
      <x:c r="T219" s="22">
        <x:f>IF(S219="","",IFERROR(INDEX('درخت جدید'!$C:$C,MATCH(S219&amp;"",'درخت جدید'!$B:$B,0)),"(ساخته می‌شود) "&amp;V219))</x:f>
      </x:c>
      <x:c r="U219" s="22">
        <x:f>IF(S219="",IF(N219="بله","الزامی — تکمیل نشده",""),IF(AND(O219&lt;&gt;"",LEFT(S219&amp;"",4)&lt;&gt;O219),"زیر کل دیگری است — کل یا معین را اصلاح کنید",IF(AND(S219=P219,FALSE,W219=""),"تداخل: کد "&amp;S219&amp;" در برگهٔ درخت جدید با نام «"&amp;T219&amp;"» از قبل تعریف شده",IF(COUNTIFS('درخت جدید'!$B:$B,S219&amp;"",'درخت جدید'!$A:$A,"معین")=0,IF(V219="","کد در درخت نیست — نام برای تعریف را بنویسید","OK"),"OK"))))</x:f>
      </x:c>
      <x:c r="V219" s="27">
        <x:f>IF(S219="","",IF(COUNTIFS('درخت جدید'!$B:$B,S219&amp;"",'درخت جدید'!$A:$A,"معین")=0,D219,""))</x:f>
      </x:c>
      <x:c r="W219" s="27"/>
      <x:c r="X219" s="38"/>
    </x:row>
    <x:row r="220" spans="1:24">
      <x:c r="A220" s="21" t="s">
        <x:v>93</x:v>
      </x:c>
      <x:c r="B220" s="22" t="s">
        <x:v>245</x:v>
      </x:c>
      <x:c r="C220" s="22" t="s">
        <x:v>94</x:v>
      </x:c>
      <x:c r="D220" s="22" t="s">
        <x:v>449</x:v>
      </x:c>
      <x:c r="E220" s="22" t="s">
        <x:v>195</x:v>
      </x:c>
      <x:c r="F220" s="22" t="s">
        <x:v>195</x:v>
      </x:c>
      <x:c r="G220" s="22" t="s">
        <x:v>199</x:v>
      </x:c>
      <x:c r="H220" s="22">
        <x:v>1</x:v>
      </x:c>
      <x:c r="I220" s="22">
        <x:v>0</x:v>
      </x:c>
      <x:c r="J220" s="22">
        <x:v>0</x:v>
      </x:c>
      <x:c r="K220" s="23">
        <x:v>0</x:v>
      </x:c>
      <x:c r="L220" s="23">
        <x:v>0</x:v>
      </x:c>
      <x:c r="M220" s="23">
        <x:f>K220-L220</x:f>
      </x:c>
      <x:c r="N220" s="22" t="s">
        <x:v>351</x:v>
      </x:c>
      <x:c r="O220" s="24">
        <x:f>IFERROR(INDEX('تطبیق کل'!$J:$J,MATCH(A220&amp;"",'تطبیق کل'!$A:$A,0))&amp;"","")</x:f>
      </x:c>
      <x:c r="P220" s="24">
        <x:f>IF(O220="","",O220&amp;B220)</x:f>
      </x:c>
      <x:c r="Q220" s="24">
        <x:f>IF(P220="","",IFERROR(INDEX('درخت جدید'!$C:$C,MATCH(P220&amp;"",'درخت جدید'!$B:$B,0)),"— در درخت نیست؛ با نام قدیم ساخته می‌شود —"))</x:f>
      </x:c>
      <x:c r="R220" s="25"/>
      <x:c r="S220" s="26">
        <x:f>P220</x:f>
      </x:c>
      <x:c r="T220" s="22">
        <x:f>IF(S220="","",IFERROR(INDEX('درخت جدید'!$C:$C,MATCH(S220&amp;"",'درخت جدید'!$B:$B,0)),"(ساخته می‌شود) "&amp;V220))</x:f>
      </x:c>
      <x:c r="U220" s="22">
        <x:f>IF(S220="",IF(N220="بله","الزامی — تکمیل نشده",""),IF(AND(O220&lt;&gt;"",LEFT(S220&amp;"",4)&lt;&gt;O220),"زیر کل دیگری است — کل یا معین را اصلاح کنید",IF(AND(S220=P220,FALSE,W220=""),"تداخل: کد "&amp;S220&amp;" در برگهٔ درخت جدید با نام «"&amp;T220&amp;"» از قبل تعریف شده",IF(COUNTIFS('درخت جدید'!$B:$B,S220&amp;"",'درخت جدید'!$A:$A,"معین")=0,IF(V220="","کد در درخت نیست — نام برای تعریف را بنویسید","OK"),"OK"))))</x:f>
      </x:c>
      <x:c r="V220" s="27">
        <x:f>IF(S220="","",IF(COUNTIFS('درخت جدید'!$B:$B,S220&amp;"",'درخت جدید'!$A:$A,"معین")=0,D220,""))</x:f>
      </x:c>
      <x:c r="W220" s="27"/>
      <x:c r="X220" s="38"/>
    </x:row>
    <x:row r="221" spans="1:24">
      <x:c r="A221" s="21" t="s">
        <x:v>93</x:v>
      </x:c>
      <x:c r="B221" s="22" t="s">
        <x:v>262</x:v>
      </x:c>
      <x:c r="C221" s="22" t="s">
        <x:v>94</x:v>
      </x:c>
      <x:c r="D221" s="22" t="s">
        <x:v>450</x:v>
      </x:c>
      <x:c r="E221" s="22" t="s">
        <x:v>195</x:v>
      </x:c>
      <x:c r="F221" s="22" t="s">
        <x:v>195</x:v>
      </x:c>
      <x:c r="G221" s="22" t="s">
        <x:v>199</x:v>
      </x:c>
      <x:c r="H221" s="22">
        <x:v>1</x:v>
      </x:c>
      <x:c r="I221" s="22">
        <x:v>0</x:v>
      </x:c>
      <x:c r="J221" s="22">
        <x:v>0</x:v>
      </x:c>
      <x:c r="K221" s="23">
        <x:v>0</x:v>
      </x:c>
      <x:c r="L221" s="23">
        <x:v>0</x:v>
      </x:c>
      <x:c r="M221" s="23">
        <x:f>K221-L221</x:f>
      </x:c>
      <x:c r="N221" s="22" t="s">
        <x:v>351</x:v>
      </x:c>
      <x:c r="O221" s="24">
        <x:f>IFERROR(INDEX('تطبیق کل'!$J:$J,MATCH(A221&amp;"",'تطبیق کل'!$A:$A,0))&amp;"","")</x:f>
      </x:c>
      <x:c r="P221" s="24">
        <x:f>IF(O221="","",O221&amp;B221)</x:f>
      </x:c>
      <x:c r="Q221" s="24">
        <x:f>IF(P221="","",IFERROR(INDEX('درخت جدید'!$C:$C,MATCH(P221&amp;"",'درخت جدید'!$B:$B,0)),"— در درخت نیست؛ با نام قدیم ساخته می‌شود —"))</x:f>
      </x:c>
      <x:c r="R221" s="25"/>
      <x:c r="S221" s="26">
        <x:f>P221</x:f>
      </x:c>
      <x:c r="T221" s="22">
        <x:f>IF(S221="","",IFERROR(INDEX('درخت جدید'!$C:$C,MATCH(S221&amp;"",'درخت جدید'!$B:$B,0)),"(ساخته می‌شود) "&amp;V221))</x:f>
      </x:c>
      <x:c r="U221" s="22">
        <x:f>IF(S221="",IF(N221="بله","الزامی — تکمیل نشده",""),IF(AND(O221&lt;&gt;"",LEFT(S221&amp;"",4)&lt;&gt;O221),"زیر کل دیگری است — کل یا معین را اصلاح کنید",IF(AND(S221=P221,FALSE,W221=""),"تداخل: کد "&amp;S221&amp;" در برگهٔ درخت جدید با نام «"&amp;T221&amp;"» از قبل تعریف شده",IF(COUNTIFS('درخت جدید'!$B:$B,S221&amp;"",'درخت جدید'!$A:$A,"معین")=0,IF(V221="","کد در درخت نیست — نام برای تعریف را بنویسید","OK"),"OK"))))</x:f>
      </x:c>
      <x:c r="V221" s="27">
        <x:f>IF(S221="","",IF(COUNTIFS('درخت جدید'!$B:$B,S221&amp;"",'درخت جدید'!$A:$A,"معین")=0,D221,""))</x:f>
      </x:c>
      <x:c r="W221" s="27"/>
      <x:c r="X221" s="38"/>
    </x:row>
    <x:row r="222" spans="1:24">
      <x:c r="A222" s="21" t="s">
        <x:v>97</x:v>
      </x:c>
      <x:c r="B222" s="22" t="s">
        <x:v>202</x:v>
      </x:c>
      <x:c r="C222" s="22" t="s">
        <x:v>98</x:v>
      </x:c>
      <x:c r="D222" s="22" t="s">
        <x:v>451</x:v>
      </x:c>
      <x:c r="E222" s="22" t="s">
        <x:v>195</x:v>
      </x:c>
      <x:c r="F222" s="22" t="s">
        <x:v>195</x:v>
      </x:c>
      <x:c r="G222" s="22" t="s">
        <x:v>199</x:v>
      </x:c>
      <x:c r="H222" s="22">
        <x:v>2</x:v>
      </x:c>
      <x:c r="I222" s="22">
        <x:v>0</x:v>
      </x:c>
      <x:c r="J222" s="22">
        <x:v>0</x:v>
      </x:c>
      <x:c r="K222" s="23">
        <x:v>0</x:v>
      </x:c>
      <x:c r="L222" s="23">
        <x:v>0</x:v>
      </x:c>
      <x:c r="M222" s="23">
        <x:f>K222-L222</x:f>
      </x:c>
      <x:c r="N222" s="22" t="s">
        <x:v>351</x:v>
      </x:c>
      <x:c r="O222" s="24">
        <x:f>IFERROR(INDEX('تطبیق کل'!$J:$J,MATCH(A222&amp;"",'تطبیق کل'!$A:$A,0))&amp;"","")</x:f>
      </x:c>
      <x:c r="P222" s="24">
        <x:f>IF(O222="","",O222&amp;B222)</x:f>
      </x:c>
      <x:c r="Q222" s="24">
        <x:f>IF(P222="","",IFERROR(INDEX('درخت جدید'!$C:$C,MATCH(P222&amp;"",'درخت جدید'!$B:$B,0)),"— در درخت نیست؛ با نام قدیم ساخته می‌شود —"))</x:f>
      </x:c>
      <x:c r="R222" s="25">
        <x:v>1</x:v>
      </x:c>
      <x:c r="S222" s="26">
        <x:f>P222</x:f>
      </x:c>
      <x:c r="T222" s="22">
        <x:f>IF(S222="","",IFERROR(INDEX('درخت جدید'!$C:$C,MATCH(S222&amp;"",'درخت جدید'!$B:$B,0)),"(ساخته می‌شود) "&amp;V222))</x:f>
      </x:c>
      <x:c r="U222" s="22">
        <x:f>IF(S222="",IF(N222="بله","الزامی — تکمیل نشده",""),IF(AND(O222&lt;&gt;"",LEFT(S222&amp;"",4)&lt;&gt;O222),"زیر کل دیگری است — کل یا معین را اصلاح کنید",IF(AND(S222=P222,FALSE,W222=""),"تداخل: کد "&amp;S222&amp;" در برگهٔ درخت جدید با نام «"&amp;T222&amp;"» از قبل تعریف شده",IF(COUNTIFS('درخت جدید'!$B:$B,S222&amp;"",'درخت جدید'!$A:$A,"معین")=0,IF(V222="","کد در درخت نیست — نام برای تعریف را بنویسید","OK"),"OK"))))</x:f>
      </x:c>
      <x:c r="V222" s="27">
        <x:f>IF(S222="","",IF(COUNTIFS('درخت جدید'!$B:$B,S222&amp;"",'درخت جدید'!$A:$A,"معین")=0,D222,""))</x:f>
      </x:c>
      <x:c r="W222" s="27"/>
      <x:c r="X222" s="38"/>
    </x:row>
    <x:row r="223" spans="1:24">
      <x:c r="A223" s="21" t="s">
        <x:v>101</x:v>
      </x:c>
      <x:c r="B223" s="22" t="s">
        <x:v>21</x:v>
      </x:c>
      <x:c r="C223" s="22" t="s">
        <x:v>102</x:v>
      </x:c>
      <x:c r="D223" s="22" t="s">
        <x:v>452</x:v>
      </x:c>
      <x:c r="E223" s="22" t="s">
        <x:v>195</x:v>
      </x:c>
      <x:c r="F223" s="22" t="s">
        <x:v>195</x:v>
      </x:c>
      <x:c r="G223" s="22" t="s">
        <x:v>199</x:v>
      </x:c>
      <x:c r="H223" s="22">
        <x:v>1</x:v>
      </x:c>
      <x:c r="I223" s="22">
        <x:v>0</x:v>
      </x:c>
      <x:c r="J223" s="22">
        <x:v>0</x:v>
      </x:c>
      <x:c r="K223" s="23">
        <x:v>0</x:v>
      </x:c>
      <x:c r="L223" s="23">
        <x:v>0</x:v>
      </x:c>
      <x:c r="M223" s="23">
        <x:f>K223-L223</x:f>
      </x:c>
      <x:c r="N223" s="22" t="s">
        <x:v>351</x:v>
      </x:c>
      <x:c r="O223" s="24">
        <x:f>IFERROR(INDEX('تطبیق کل'!$J:$J,MATCH(A223&amp;"",'تطبیق کل'!$A:$A,0))&amp;"","")</x:f>
      </x:c>
      <x:c r="P223" s="24">
        <x:f>IF(O223="","",O223&amp;B223)</x:f>
      </x:c>
      <x:c r="Q223" s="24">
        <x:f>IF(P223="","",IFERROR(INDEX('درخت جدید'!$C:$C,MATCH(P223&amp;"",'درخت جدید'!$B:$B,0)),"— در درخت نیست؛ با نام قدیم ساخته می‌شود —"))</x:f>
      </x:c>
      <x:c r="R223" s="25"/>
      <x:c r="S223" s="26">
        <x:f>P223</x:f>
      </x:c>
      <x:c r="T223" s="22">
        <x:f>IF(S223="","",IFERROR(INDEX('درخت جدید'!$C:$C,MATCH(S223&amp;"",'درخت جدید'!$B:$B,0)),"(ساخته می‌شود) "&amp;V223))</x:f>
      </x:c>
      <x:c r="U223" s="22">
        <x:f>IF(S223="",IF(N223="بله","الزامی — تکمیل نشده",""),IF(AND(O223&lt;&gt;"",LEFT(S223&amp;"",4)&lt;&gt;O223),"زیر کل دیگری است — کل یا معین را اصلاح کنید",IF(AND(S223=P223,FALSE,W223=""),"تداخل: کد "&amp;S223&amp;" در برگهٔ درخت جدید با نام «"&amp;T223&amp;"» از قبل تعریف شده",IF(COUNTIFS('درخت جدید'!$B:$B,S223&amp;"",'درخت جدید'!$A:$A,"معین")=0,IF(V223="","کد در درخت نیست — نام برای تعریف را بنویسید","OK"),"OK"))))</x:f>
      </x:c>
      <x:c r="V223" s="27">
        <x:f>IF(S223="","",IF(COUNTIFS('درخت جدید'!$B:$B,S223&amp;"",'درخت جدید'!$A:$A,"معین")=0,D223,""))</x:f>
      </x:c>
      <x:c r="W223" s="27"/>
      <x:c r="X223" s="38"/>
    </x:row>
    <x:row r="224" spans="1:24">
      <x:c r="A224" s="21" t="s">
        <x:v>101</x:v>
      </x:c>
      <x:c r="B224" s="22" t="s">
        <x:v>41</x:v>
      </x:c>
      <x:c r="C224" s="22" t="s">
        <x:v>102</x:v>
      </x:c>
      <x:c r="D224" s="22" t="s">
        <x:v>453</x:v>
      </x:c>
      <x:c r="E224" s="22" t="s">
        <x:v>195</x:v>
      </x:c>
      <x:c r="F224" s="22" t="s">
        <x:v>195</x:v>
      </x:c>
      <x:c r="G224" s="22" t="s">
        <x:v>199</x:v>
      </x:c>
      <x:c r="H224" s="22">
        <x:v>1</x:v>
      </x:c>
      <x:c r="I224" s="22">
        <x:v>0</x:v>
      </x:c>
      <x:c r="J224" s="22">
        <x:v>0</x:v>
      </x:c>
      <x:c r="K224" s="23">
        <x:v>0</x:v>
      </x:c>
      <x:c r="L224" s="23">
        <x:v>0</x:v>
      </x:c>
      <x:c r="M224" s="23">
        <x:f>K224-L224</x:f>
      </x:c>
      <x:c r="N224" s="22" t="s">
        <x:v>351</x:v>
      </x:c>
      <x:c r="O224" s="24">
        <x:f>IFERROR(INDEX('تطبیق کل'!$J:$J,MATCH(A224&amp;"",'تطبیق کل'!$A:$A,0))&amp;"","")</x:f>
      </x:c>
      <x:c r="P224" s="24">
        <x:f>IF(O224="","",O224&amp;B224)</x:f>
      </x:c>
      <x:c r="Q224" s="24">
        <x:f>IF(P224="","",IFERROR(INDEX('درخت جدید'!$C:$C,MATCH(P224&amp;"",'درخت جدید'!$B:$B,0)),"— در درخت نیست؛ با نام قدیم ساخته می‌شود —"))</x:f>
      </x:c>
      <x:c r="R224" s="25"/>
      <x:c r="S224" s="26">
        <x:f>P224</x:f>
      </x:c>
      <x:c r="T224" s="22">
        <x:f>IF(S224="","",IFERROR(INDEX('درخت جدید'!$C:$C,MATCH(S224&amp;"",'درخت جدید'!$B:$B,0)),"(ساخته می‌شود) "&amp;V224))</x:f>
      </x:c>
      <x:c r="U224" s="22">
        <x:f>IF(S224="",IF(N224="بله","الزامی — تکمیل نشده",""),IF(AND(O224&lt;&gt;"",LEFT(S224&amp;"",4)&lt;&gt;O224),"زیر کل دیگری است — کل یا معین را اصلاح کنید",IF(AND(S224=P224,FALSE,W224=""),"تداخل: کد "&amp;S224&amp;" در برگهٔ درخت جدید با نام «"&amp;T224&amp;"» از قبل تعریف شده",IF(COUNTIFS('درخت جدید'!$B:$B,S224&amp;"",'درخت جدید'!$A:$A,"معین")=0,IF(V224="","کد در درخت نیست — نام برای تعریف را بنویسید","OK"),"OK"))))</x:f>
      </x:c>
      <x:c r="V224" s="27">
        <x:f>IF(S224="","",IF(COUNTIFS('درخت جدید'!$B:$B,S224&amp;"",'درخت جدید'!$A:$A,"معین")=0,D224,""))</x:f>
      </x:c>
      <x:c r="W224" s="27"/>
      <x:c r="X224" s="38"/>
    </x:row>
    <x:row r="225" spans="1:24">
      <x:c r="A225" s="21" t="s">
        <x:v>101</x:v>
      </x:c>
      <x:c r="B225" s="22" t="s">
        <x:v>205</x:v>
      </x:c>
      <x:c r="C225" s="22" t="s">
        <x:v>102</x:v>
      </x:c>
      <x:c r="D225" s="22" t="s">
        <x:v>454</x:v>
      </x:c>
      <x:c r="E225" s="22" t="s">
        <x:v>195</x:v>
      </x:c>
      <x:c r="F225" s="22" t="s">
        <x:v>195</x:v>
      </x:c>
      <x:c r="G225" s="22" t="s">
        <x:v>199</x:v>
      </x:c>
      <x:c r="H225" s="22">
        <x:v>1</x:v>
      </x:c>
      <x:c r="I225" s="22">
        <x:v>0</x:v>
      </x:c>
      <x:c r="J225" s="22">
        <x:v>0</x:v>
      </x:c>
      <x:c r="K225" s="23">
        <x:v>0</x:v>
      </x:c>
      <x:c r="L225" s="23">
        <x:v>0</x:v>
      </x:c>
      <x:c r="M225" s="23">
        <x:f>K225-L225</x:f>
      </x:c>
      <x:c r="N225" s="22" t="s">
        <x:v>351</x:v>
      </x:c>
      <x:c r="O225" s="24">
        <x:f>IFERROR(INDEX('تطبیق کل'!$J:$J,MATCH(A225&amp;"",'تطبیق کل'!$A:$A,0))&amp;"","")</x:f>
      </x:c>
      <x:c r="P225" s="24">
        <x:f>IF(O225="","",O225&amp;B225)</x:f>
      </x:c>
      <x:c r="Q225" s="24">
        <x:f>IF(P225="","",IFERROR(INDEX('درخت جدید'!$C:$C,MATCH(P225&amp;"",'درخت جدید'!$B:$B,0)),"— در درخت نیست؛ با نام قدیم ساخته می‌شود —"))</x:f>
      </x:c>
      <x:c r="R225" s="25">
        <x:v>0.41</x:v>
      </x:c>
      <x:c r="S225" s="26">
        <x:f>P225</x:f>
      </x:c>
      <x:c r="T225" s="22">
        <x:f>IF(S225="","",IFERROR(INDEX('درخت جدید'!$C:$C,MATCH(S225&amp;"",'درخت جدید'!$B:$B,0)),"(ساخته می‌شود) "&amp;V225))</x:f>
      </x:c>
      <x:c r="U225" s="22">
        <x:f>IF(S225="",IF(N225="بله","الزامی — تکمیل نشده",""),IF(AND(O225&lt;&gt;"",LEFT(S225&amp;"",4)&lt;&gt;O225),"زیر کل دیگری است — کل یا معین را اصلاح کنید",IF(AND(S225=P225,TRUE,W225=""),"تداخل: کد "&amp;S225&amp;" در برگهٔ درخت جدید با نام «"&amp;T225&amp;"» از قبل تعریف شده",IF(COUNTIFS('درخت جدید'!$B:$B,S225&amp;"",'درخت جدید'!$A:$A,"معین")=0,IF(V225="","کد در درخت نیست — نام برای تعریف را بنویسید","OK"),"OK"))))</x:f>
      </x:c>
      <x:c r="V225" s="27">
        <x:f>IF(S225="","",IF(COUNTIFS('درخت جدید'!$B:$B,S225&amp;"",'درخت جدید'!$A:$A,"معین")=0,D225,""))</x:f>
      </x:c>
      <x:c r="W225" s="27"/>
      <x:c r="X225" s="38"/>
    </x:row>
    <x:row r="226" spans="1:24">
      <x:c r="A226" s="21" t="s">
        <x:v>101</x:v>
      </x:c>
      <x:c r="B226" s="22" t="s">
        <x:v>45</x:v>
      </x:c>
      <x:c r="C226" s="22" t="s">
        <x:v>102</x:v>
      </x:c>
      <x:c r="D226" s="22" t="s">
        <x:v>455</x:v>
      </x:c>
      <x:c r="E226" s="22" t="s">
        <x:v>195</x:v>
      </x:c>
      <x:c r="F226" s="22" t="s">
        <x:v>195</x:v>
      </x:c>
      <x:c r="G226" s="22" t="s">
        <x:v>199</x:v>
      </x:c>
      <x:c r="H226" s="22">
        <x:v>1</x:v>
      </x:c>
      <x:c r="I226" s="22">
        <x:v>0</x:v>
      </x:c>
      <x:c r="J226" s="22">
        <x:v>0</x:v>
      </x:c>
      <x:c r="K226" s="23">
        <x:v>0</x:v>
      </x:c>
      <x:c r="L226" s="23">
        <x:v>0</x:v>
      </x:c>
      <x:c r="M226" s="23">
        <x:f>K226-L226</x:f>
      </x:c>
      <x:c r="N226" s="22" t="s">
        <x:v>351</x:v>
      </x:c>
      <x:c r="O226" s="24">
        <x:f>IFERROR(INDEX('تطبیق کل'!$J:$J,MATCH(A226&amp;"",'تطبیق کل'!$A:$A,0))&amp;"","")</x:f>
      </x:c>
      <x:c r="P226" s="24">
        <x:f>IF(O226="","",O226&amp;B226)</x:f>
      </x:c>
      <x:c r="Q226" s="24">
        <x:f>IF(P226="","",IFERROR(INDEX('درخت جدید'!$C:$C,MATCH(P226&amp;"",'درخت جدید'!$B:$B,0)),"— در درخت نیست؛ با نام قدیم ساخته می‌شود —"))</x:f>
      </x:c>
      <x:c r="R226" s="25"/>
      <x:c r="S226" s="26">
        <x:f>P226</x:f>
      </x:c>
      <x:c r="T226" s="22">
        <x:f>IF(S226="","",IFERROR(INDEX('درخت جدید'!$C:$C,MATCH(S226&amp;"",'درخت جدید'!$B:$B,0)),"(ساخته می‌شود) "&amp;V226))</x:f>
      </x:c>
      <x:c r="U226" s="22">
        <x:f>IF(S226="",IF(N226="بله","الزامی — تکمیل نشده",""),IF(AND(O226&lt;&gt;"",LEFT(S226&amp;"",4)&lt;&gt;O226),"زیر کل دیگری است — کل یا معین را اصلاح کنید",IF(AND(S226=P226,FALSE,W226=""),"تداخل: کد "&amp;S226&amp;" در برگهٔ درخت جدید با نام «"&amp;T226&amp;"» از قبل تعریف شده",IF(COUNTIFS('درخت جدید'!$B:$B,S226&amp;"",'درخت جدید'!$A:$A,"معین")=0,IF(V226="","کد در درخت نیست — نام برای تعریف را بنویسید","OK"),"OK"))))</x:f>
      </x:c>
      <x:c r="V226" s="27">
        <x:f>IF(S226="","",IF(COUNTIFS('درخت جدید'!$B:$B,S226&amp;"",'درخت جدید'!$A:$A,"معین")=0,D226,""))</x:f>
      </x:c>
      <x:c r="W226" s="27"/>
      <x:c r="X226" s="38"/>
    </x:row>
    <x:row r="227" spans="1:24">
      <x:c r="A227" s="21" t="s">
        <x:v>101</x:v>
      </x:c>
      <x:c r="B227" s="22" t="s">
        <x:v>49</x:v>
      </x:c>
      <x:c r="C227" s="22" t="s">
        <x:v>102</x:v>
      </x:c>
      <x:c r="D227" s="22" t="s">
        <x:v>456</x:v>
      </x:c>
      <x:c r="E227" s="22" t="s">
        <x:v>195</x:v>
      </x:c>
      <x:c r="F227" s="22" t="s">
        <x:v>195</x:v>
      </x:c>
      <x:c r="G227" s="22" t="s">
        <x:v>199</x:v>
      </x:c>
      <x:c r="H227" s="22">
        <x:v>1</x:v>
      </x:c>
      <x:c r="I227" s="22">
        <x:v>0</x:v>
      </x:c>
      <x:c r="J227" s="22">
        <x:v>0</x:v>
      </x:c>
      <x:c r="K227" s="23">
        <x:v>0</x:v>
      </x:c>
      <x:c r="L227" s="23">
        <x:v>0</x:v>
      </x:c>
      <x:c r="M227" s="23">
        <x:f>K227-L227</x:f>
      </x:c>
      <x:c r="N227" s="22" t="s">
        <x:v>351</x:v>
      </x:c>
      <x:c r="O227" s="24">
        <x:f>IFERROR(INDEX('تطبیق کل'!$J:$J,MATCH(A227&amp;"",'تطبیق کل'!$A:$A,0))&amp;"","")</x:f>
      </x:c>
      <x:c r="P227" s="24">
        <x:f>IF(O227="","",O227&amp;B227)</x:f>
      </x:c>
      <x:c r="Q227" s="24">
        <x:f>IF(P227="","",IFERROR(INDEX('درخت جدید'!$C:$C,MATCH(P227&amp;"",'درخت جدید'!$B:$B,0)),"— در درخت نیست؛ با نام قدیم ساخته می‌شود —"))</x:f>
      </x:c>
      <x:c r="R227" s="25"/>
      <x:c r="S227" s="26">
        <x:f>P227</x:f>
      </x:c>
      <x:c r="T227" s="22">
        <x:f>IF(S227="","",IFERROR(INDEX('درخت جدید'!$C:$C,MATCH(S227&amp;"",'درخت جدید'!$B:$B,0)),"(ساخته می‌شود) "&amp;V227))</x:f>
      </x:c>
      <x:c r="U227" s="22">
        <x:f>IF(S227="",IF(N227="بله","الزامی — تکمیل نشده",""),IF(AND(O227&lt;&gt;"",LEFT(S227&amp;"",4)&lt;&gt;O227),"زیر کل دیگری است — کل یا معین را اصلاح کنید",IF(AND(S227=P227,FALSE,W227=""),"تداخل: کد "&amp;S227&amp;" در برگهٔ درخت جدید با نام «"&amp;T227&amp;"» از قبل تعریف شده",IF(COUNTIFS('درخت جدید'!$B:$B,S227&amp;"",'درخت جدید'!$A:$A,"معین")=0,IF(V227="","کد در درخت نیست — نام برای تعریف را بنویسید","OK"),"OK"))))</x:f>
      </x:c>
      <x:c r="V227" s="27">
        <x:f>IF(S227="","",IF(COUNTIFS('درخت جدید'!$B:$B,S227&amp;"",'درخت جدید'!$A:$A,"معین")=0,D227,""))</x:f>
      </x:c>
      <x:c r="W227" s="27"/>
      <x:c r="X227" s="38"/>
    </x:row>
    <x:row r="228" spans="1:24">
      <x:c r="A228" s="21" t="s">
        <x:v>101</x:v>
      </x:c>
      <x:c r="B228" s="22" t="s">
        <x:v>59</x:v>
      </x:c>
      <x:c r="C228" s="22" t="s">
        <x:v>102</x:v>
      </x:c>
      <x:c r="D228" s="22" t="s">
        <x:v>457</x:v>
      </x:c>
      <x:c r="E228" s="22" t="s">
        <x:v>195</x:v>
      </x:c>
      <x:c r="F228" s="22" t="s">
        <x:v>195</x:v>
      </x:c>
      <x:c r="G228" s="22" t="s">
        <x:v>195</x:v>
      </x:c>
      <x:c r="H228" s="22">
        <x:v>2</x:v>
      </x:c>
      <x:c r="I228" s="22">
        <x:v>0</x:v>
      </x:c>
      <x:c r="J228" s="22">
        <x:v>0</x:v>
      </x:c>
      <x:c r="K228" s="23">
        <x:v>0</x:v>
      </x:c>
      <x:c r="L228" s="23">
        <x:v>0</x:v>
      </x:c>
      <x:c r="M228" s="23">
        <x:f>K228-L228</x:f>
      </x:c>
      <x:c r="N228" s="22" t="s">
        <x:v>351</x:v>
      </x:c>
      <x:c r="O228" s="24">
        <x:f>IFERROR(INDEX('تطبیق کل'!$J:$J,MATCH(A228&amp;"",'تطبیق کل'!$A:$A,0))&amp;"","")</x:f>
      </x:c>
      <x:c r="P228" s="24">
        <x:f>IF(O228="","",O228&amp;B228)</x:f>
      </x:c>
      <x:c r="Q228" s="24">
        <x:f>IF(P228="","",IFERROR(INDEX('درخت جدید'!$C:$C,MATCH(P228&amp;"",'درخت جدید'!$B:$B,0)),"— در درخت نیست؛ با نام قدیم ساخته می‌شود —"))</x:f>
      </x:c>
      <x:c r="R228" s="25"/>
      <x:c r="S228" s="26">
        <x:f>P228</x:f>
      </x:c>
      <x:c r="T228" s="22">
        <x:f>IF(S228="","",IFERROR(INDEX('درخت جدید'!$C:$C,MATCH(S228&amp;"",'درخت جدید'!$B:$B,0)),"(ساخته می‌شود) "&amp;V228))</x:f>
      </x:c>
      <x:c r="U228" s="22">
        <x:f>IF(S228="",IF(N228="بله","الزامی — تکمیل نشده",""),IF(AND(O228&lt;&gt;"",LEFT(S228&amp;"",4)&lt;&gt;O228),"زیر کل دیگری است — کل یا معین را اصلاح کنید",IF(AND(S228=P228,FALSE,W228=""),"تداخل: کد "&amp;S228&amp;" در برگهٔ درخت جدید با نام «"&amp;T228&amp;"» از قبل تعریف شده",IF(COUNTIFS('درخت جدید'!$B:$B,S228&amp;"",'درخت جدید'!$A:$A,"معین")=0,IF(V228="","کد در درخت نیست — نام برای تعریف را بنویسید","OK"),"OK"))))</x:f>
      </x:c>
      <x:c r="V228" s="27">
        <x:f>IF(S228="","",IF(COUNTIFS('درخت جدید'!$B:$B,S228&amp;"",'درخت جدید'!$A:$A,"معین")=0,D228,""))</x:f>
      </x:c>
      <x:c r="W228" s="27"/>
      <x:c r="X228" s="38"/>
    </x:row>
    <x:row r="229" spans="1:24">
      <x:c r="A229" s="21" t="s">
        <x:v>101</x:v>
      </x:c>
      <x:c r="B229" s="22" t="s">
        <x:v>458</x:v>
      </x:c>
      <x:c r="C229" s="22" t="s">
        <x:v>102</x:v>
      </x:c>
      <x:c r="D229" s="22" t="s">
        <x:v>459</x:v>
      </x:c>
      <x:c r="E229" s="22" t="s">
        <x:v>195</x:v>
      </x:c>
      <x:c r="F229" s="22" t="s">
        <x:v>195</x:v>
      </x:c>
      <x:c r="G229" s="22" t="s">
        <x:v>199</x:v>
      </x:c>
      <x:c r="H229" s="22">
        <x:v>10</x:v>
      </x:c>
      <x:c r="I229" s="22">
        <x:v>0</x:v>
      </x:c>
      <x:c r="J229" s="22">
        <x:v>0</x:v>
      </x:c>
      <x:c r="K229" s="23">
        <x:v>0</x:v>
      </x:c>
      <x:c r="L229" s="23">
        <x:v>0</x:v>
      </x:c>
      <x:c r="M229" s="23">
        <x:f>K229-L229</x:f>
      </x:c>
      <x:c r="N229" s="22" t="s">
        <x:v>351</x:v>
      </x:c>
      <x:c r="O229" s="24">
        <x:f>IFERROR(INDEX('تطبیق کل'!$J:$J,MATCH(A229&amp;"",'تطبیق کل'!$A:$A,0))&amp;"","")</x:f>
      </x:c>
      <x:c r="P229" s="24">
        <x:f>IF(O229="","",O229&amp;B229)</x:f>
      </x:c>
      <x:c r="Q229" s="24">
        <x:f>IF(P229="","",IFERROR(INDEX('درخت جدید'!$C:$C,MATCH(P229&amp;"",'درخت جدید'!$B:$B,0)),"— در درخت نیست؛ با نام قدیم ساخته می‌شود —"))</x:f>
      </x:c>
      <x:c r="R229" s="25"/>
      <x:c r="S229" s="26">
        <x:f>P229</x:f>
      </x:c>
      <x:c r="T229" s="22">
        <x:f>IF(S229="","",IFERROR(INDEX('درخت جدید'!$C:$C,MATCH(S229&amp;"",'درخت جدید'!$B:$B,0)),"(ساخته می‌شود) "&amp;V229))</x:f>
      </x:c>
      <x:c r="U229" s="22">
        <x:f>IF(S229="",IF(N229="بله","الزامی — تکمیل نشده",""),IF(AND(O229&lt;&gt;"",LEFT(S229&amp;"",4)&lt;&gt;O229),"زیر کل دیگری است — کل یا معین را اصلاح کنید",IF(AND(S229=P229,FALSE,W229=""),"تداخل: کد "&amp;S229&amp;" در برگهٔ درخت جدید با نام «"&amp;T229&amp;"» از قبل تعریف شده",IF(COUNTIFS('درخت جدید'!$B:$B,S229&amp;"",'درخت جدید'!$A:$A,"معین")=0,IF(V229="","کد در درخت نیست — نام برای تعریف را بنویسید","OK"),"OK"))))</x:f>
      </x:c>
      <x:c r="V229" s="27">
        <x:f>IF(S229="","",IF(COUNTIFS('درخت جدید'!$B:$B,S229&amp;"",'درخت جدید'!$A:$A,"معین")=0,D229,""))</x:f>
      </x:c>
      <x:c r="W229" s="27"/>
      <x:c r="X229" s="38"/>
    </x:row>
    <x:row r="230" spans="1:24">
      <x:c r="A230" s="21" t="s">
        <x:v>101</x:v>
      </x:c>
      <x:c r="B230" s="22" t="s">
        <x:v>89</x:v>
      </x:c>
      <x:c r="C230" s="22" t="s">
        <x:v>102</x:v>
      </x:c>
      <x:c r="D230" s="22" t="s">
        <x:v>460</x:v>
      </x:c>
      <x:c r="E230" s="22" t="s">
        <x:v>195</x:v>
      </x:c>
      <x:c r="F230" s="22" t="s">
        <x:v>195</x:v>
      </x:c>
      <x:c r="G230" s="22" t="s">
        <x:v>195</x:v>
      </x:c>
      <x:c r="H230" s="22">
        <x:v>2</x:v>
      </x:c>
      <x:c r="I230" s="22">
        <x:v>0</x:v>
      </x:c>
      <x:c r="J230" s="22">
        <x:v>0</x:v>
      </x:c>
      <x:c r="K230" s="23">
        <x:v>0</x:v>
      </x:c>
      <x:c r="L230" s="23">
        <x:v>0</x:v>
      </x:c>
      <x:c r="M230" s="23">
        <x:f>K230-L230</x:f>
      </x:c>
      <x:c r="N230" s="22" t="s">
        <x:v>351</x:v>
      </x:c>
      <x:c r="O230" s="24">
        <x:f>IFERROR(INDEX('تطبیق کل'!$J:$J,MATCH(A230&amp;"",'تطبیق کل'!$A:$A,0))&amp;"","")</x:f>
      </x:c>
      <x:c r="P230" s="24">
        <x:f>IF(O230="","",O230&amp;B230)</x:f>
      </x:c>
      <x:c r="Q230" s="24">
        <x:f>IF(P230="","",IFERROR(INDEX('درخت جدید'!$C:$C,MATCH(P230&amp;"",'درخت جدید'!$B:$B,0)),"— در درخت نیست؛ با نام قدیم ساخته می‌شود —"))</x:f>
      </x:c>
      <x:c r="R230" s="25"/>
      <x:c r="S230" s="26">
        <x:f>P230</x:f>
      </x:c>
      <x:c r="T230" s="22">
        <x:f>IF(S230="","",IFERROR(INDEX('درخت جدید'!$C:$C,MATCH(S230&amp;"",'درخت جدید'!$B:$B,0)),"(ساخته می‌شود) "&amp;V230))</x:f>
      </x:c>
      <x:c r="U230" s="22">
        <x:f>IF(S230="",IF(N230="بله","الزامی — تکمیل نشده",""),IF(AND(O230&lt;&gt;"",LEFT(S230&amp;"",4)&lt;&gt;O230),"زیر کل دیگری است — کل یا معین را اصلاح کنید",IF(AND(S230=P230,FALSE,W230=""),"تداخل: کد "&amp;S230&amp;" در برگهٔ درخت جدید با نام «"&amp;T230&amp;"» از قبل تعریف شده",IF(COUNTIFS('درخت جدید'!$B:$B,S230&amp;"",'درخت جدید'!$A:$A,"معین")=0,IF(V230="","کد در درخت نیست — نام برای تعریف را بنویسید","OK"),"OK"))))</x:f>
      </x:c>
      <x:c r="V230" s="27">
        <x:f>IF(S230="","",IF(COUNTIFS('درخت جدید'!$B:$B,S230&amp;"",'درخت جدید'!$A:$A,"معین")=0,D230,""))</x:f>
      </x:c>
      <x:c r="W230" s="27"/>
      <x:c r="X230" s="38"/>
    </x:row>
    <x:row r="231" spans="1:24">
      <x:c r="A231" s="21" t="s">
        <x:v>101</x:v>
      </x:c>
      <x:c r="B231" s="22" t="s">
        <x:v>104</x:v>
      </x:c>
      <x:c r="C231" s="22" t="s">
        <x:v>102</x:v>
      </x:c>
      <x:c r="D231" s="22" t="s">
        <x:v>461</x:v>
      </x:c>
      <x:c r="E231" s="22" t="s">
        <x:v>195</x:v>
      </x:c>
      <x:c r="F231" s="22" t="s">
        <x:v>195</x:v>
      </x:c>
      <x:c r="G231" s="22" t="s">
        <x:v>199</x:v>
      </x:c>
      <x:c r="H231" s="22">
        <x:v>1</x:v>
      </x:c>
      <x:c r="I231" s="22">
        <x:v>0</x:v>
      </x:c>
      <x:c r="J231" s="22">
        <x:v>0</x:v>
      </x:c>
      <x:c r="K231" s="23">
        <x:v>0</x:v>
      </x:c>
      <x:c r="L231" s="23">
        <x:v>0</x:v>
      </x:c>
      <x:c r="M231" s="23">
        <x:f>K231-L231</x:f>
      </x:c>
      <x:c r="N231" s="22" t="s">
        <x:v>351</x:v>
      </x:c>
      <x:c r="O231" s="24">
        <x:f>IFERROR(INDEX('تطبیق کل'!$J:$J,MATCH(A231&amp;"",'تطبیق کل'!$A:$A,0))&amp;"","")</x:f>
      </x:c>
      <x:c r="P231" s="24">
        <x:f>IF(O231="","",O231&amp;B231)</x:f>
      </x:c>
      <x:c r="Q231" s="24">
        <x:f>IF(P231="","",IFERROR(INDEX('درخت جدید'!$C:$C,MATCH(P231&amp;"",'درخت جدید'!$B:$B,0)),"— در درخت نیست؛ با نام قدیم ساخته می‌شود —"))</x:f>
      </x:c>
      <x:c r="R231" s="25"/>
      <x:c r="S231" s="26">
        <x:f>P231</x:f>
      </x:c>
      <x:c r="T231" s="22">
        <x:f>IF(S231="","",IFERROR(INDEX('درخت جدید'!$C:$C,MATCH(S231&amp;"",'درخت جدید'!$B:$B,0)),"(ساخته می‌شود) "&amp;V231))</x:f>
      </x:c>
      <x:c r="U231" s="22">
        <x:f>IF(S231="",IF(N231="بله","الزامی — تکمیل نشده",""),IF(AND(O231&lt;&gt;"",LEFT(S231&amp;"",4)&lt;&gt;O231),"زیر کل دیگری است — کل یا معین را اصلاح کنید",IF(AND(S231=P231,FALSE,W231=""),"تداخل: کد "&amp;S231&amp;" در برگهٔ درخت جدید با نام «"&amp;T231&amp;"» از قبل تعریف شده",IF(COUNTIFS('درخت جدید'!$B:$B,S231&amp;"",'درخت جدید'!$A:$A,"معین")=0,IF(V231="","کد در درخت نیست — نام برای تعریف را بنویسید","OK"),"OK"))))</x:f>
      </x:c>
      <x:c r="V231" s="27">
        <x:f>IF(S231="","",IF(COUNTIFS('درخت جدید'!$B:$B,S231&amp;"",'درخت جدید'!$A:$A,"معین")=0,D231,""))</x:f>
      </x:c>
      <x:c r="W231" s="27"/>
      <x:c r="X231" s="38"/>
    </x:row>
    <x:row r="232" spans="1:24">
      <x:c r="A232" s="21" t="s">
        <x:v>101</x:v>
      </x:c>
      <x:c r="B232" s="22" t="s">
        <x:v>362</x:v>
      </x:c>
      <x:c r="C232" s="22" t="s">
        <x:v>102</x:v>
      </x:c>
      <x:c r="D232" s="22" t="s">
        <x:v>462</x:v>
      </x:c>
      <x:c r="E232" s="22" t="s">
        <x:v>195</x:v>
      </x:c>
      <x:c r="F232" s="22" t="s">
        <x:v>195</x:v>
      </x:c>
      <x:c r="G232" s="22" t="s">
        <x:v>199</x:v>
      </x:c>
      <x:c r="H232" s="22">
        <x:v>1</x:v>
      </x:c>
      <x:c r="I232" s="22">
        <x:v>0</x:v>
      </x:c>
      <x:c r="J232" s="22">
        <x:v>0</x:v>
      </x:c>
      <x:c r="K232" s="23">
        <x:v>0</x:v>
      </x:c>
      <x:c r="L232" s="23">
        <x:v>0</x:v>
      </x:c>
      <x:c r="M232" s="23">
        <x:f>K232-L232</x:f>
      </x:c>
      <x:c r="N232" s="22" t="s">
        <x:v>351</x:v>
      </x:c>
      <x:c r="O232" s="24">
        <x:f>IFERROR(INDEX('تطبیق کل'!$J:$J,MATCH(A232&amp;"",'تطبیق کل'!$A:$A,0))&amp;"","")</x:f>
      </x:c>
      <x:c r="P232" s="24">
        <x:f>IF(O232="","",O232&amp;B232)</x:f>
      </x:c>
      <x:c r="Q232" s="24">
        <x:f>IF(P232="","",IFERROR(INDEX('درخت جدید'!$C:$C,MATCH(P232&amp;"",'درخت جدید'!$B:$B,0)),"— در درخت نیست؛ با نام قدیم ساخته می‌شود —"))</x:f>
      </x:c>
      <x:c r="R232" s="25">
        <x:v>0.45</x:v>
      </x:c>
      <x:c r="S232" s="26">
        <x:f>P232</x:f>
      </x:c>
      <x:c r="T232" s="22">
        <x:f>IF(S232="","",IFERROR(INDEX('درخت جدید'!$C:$C,MATCH(S232&amp;"",'درخت جدید'!$B:$B,0)),"(ساخته می‌شود) "&amp;V232))</x:f>
      </x:c>
      <x:c r="U232" s="22">
        <x:f>IF(S232="",IF(N232="بله","الزامی — تکمیل نشده",""),IF(AND(O232&lt;&gt;"",LEFT(S232&amp;"",4)&lt;&gt;O232),"زیر کل دیگری است — کل یا معین را اصلاح کنید",IF(AND(S232=P232,TRUE,W232=""),"تداخل: کد "&amp;S232&amp;" در برگهٔ درخت جدید با نام «"&amp;T232&amp;"» از قبل تعریف شده",IF(COUNTIFS('درخت جدید'!$B:$B,S232&amp;"",'درخت جدید'!$A:$A,"معین")=0,IF(V232="","کد در درخت نیست — نام برای تعریف را بنویسید","OK"),"OK"))))</x:f>
      </x:c>
      <x:c r="V232" s="27">
        <x:f>IF(S232="","",IF(COUNTIFS('درخت جدید'!$B:$B,S232&amp;"",'درخت جدید'!$A:$A,"معین")=0,D232,""))</x:f>
      </x:c>
      <x:c r="W232" s="27"/>
      <x:c r="X232" s="38"/>
    </x:row>
    <x:row r="233" spans="1:24">
      <x:c r="A233" s="21" t="s">
        <x:v>101</x:v>
      </x:c>
      <x:c r="B233" s="22" t="s">
        <x:v>213</x:v>
      </x:c>
      <x:c r="C233" s="22" t="s">
        <x:v>102</x:v>
      </x:c>
      <x:c r="D233" s="22" t="s">
        <x:v>463</x:v>
      </x:c>
      <x:c r="E233" s="22" t="s">
        <x:v>195</x:v>
      </x:c>
      <x:c r="F233" s="22" t="s">
        <x:v>195</x:v>
      </x:c>
      <x:c r="G233" s="22" t="s">
        <x:v>199</x:v>
      </x:c>
      <x:c r="H233" s="22">
        <x:v>1</x:v>
      </x:c>
      <x:c r="I233" s="22">
        <x:v>0</x:v>
      </x:c>
      <x:c r="J233" s="22">
        <x:v>0</x:v>
      </x:c>
      <x:c r="K233" s="23">
        <x:v>0</x:v>
      </x:c>
      <x:c r="L233" s="23">
        <x:v>0</x:v>
      </x:c>
      <x:c r="M233" s="23">
        <x:f>K233-L233</x:f>
      </x:c>
      <x:c r="N233" s="22" t="s">
        <x:v>351</x:v>
      </x:c>
      <x:c r="O233" s="24">
        <x:f>IFERROR(INDEX('تطبیق کل'!$J:$J,MATCH(A233&amp;"",'تطبیق کل'!$A:$A,0))&amp;"","")</x:f>
      </x:c>
      <x:c r="P233" s="24">
        <x:f>IF(O233="","",O233&amp;B233)</x:f>
      </x:c>
      <x:c r="Q233" s="24">
        <x:f>IF(P233="","",IFERROR(INDEX('درخت جدید'!$C:$C,MATCH(P233&amp;"",'درخت جدید'!$B:$B,0)),"— در درخت نیست؛ با نام قدیم ساخته می‌شود —"))</x:f>
      </x:c>
      <x:c r="R233" s="25">
        <x:v>0.5</x:v>
      </x:c>
      <x:c r="S233" s="26">
        <x:f>P233</x:f>
      </x:c>
      <x:c r="T233" s="22">
        <x:f>IF(S233="","",IFERROR(INDEX('درخت جدید'!$C:$C,MATCH(S233&amp;"",'درخت جدید'!$B:$B,0)),"(ساخته می‌شود) "&amp;V233))</x:f>
      </x:c>
      <x:c r="U233" s="22">
        <x:f>IF(S233="",IF(N233="بله","الزامی — تکمیل نشده",""),IF(AND(O233&lt;&gt;"",LEFT(S233&amp;"",4)&lt;&gt;O233),"زیر کل دیگری است — کل یا معین را اصلاح کنید",IF(AND(S233=P233,TRUE,W233=""),"تداخل: کد "&amp;S233&amp;" در برگهٔ درخت جدید با نام «"&amp;T233&amp;"» از قبل تعریف شده",IF(COUNTIFS('درخت جدید'!$B:$B,S233&amp;"",'درخت جدید'!$A:$A,"معین")=0,IF(V233="","کد در درخت نیست — نام برای تعریف را بنویسید","OK"),"OK"))))</x:f>
      </x:c>
      <x:c r="V233" s="27">
        <x:f>IF(S233="","",IF(COUNTIFS('درخت جدید'!$B:$B,S233&amp;"",'درخت جدید'!$A:$A,"معین")=0,D233,""))</x:f>
      </x:c>
      <x:c r="W233" s="27"/>
      <x:c r="X233" s="38"/>
    </x:row>
    <x:row r="234" spans="1:24">
      <x:c r="A234" s="21" t="s">
        <x:v>101</x:v>
      </x:c>
      <x:c r="B234" s="22" t="s">
        <x:v>152</x:v>
      </x:c>
      <x:c r="C234" s="22" t="s">
        <x:v>102</x:v>
      </x:c>
      <x:c r="D234" s="22" t="s">
        <x:v>464</x:v>
      </x:c>
      <x:c r="E234" s="22" t="s">
        <x:v>195</x:v>
      </x:c>
      <x:c r="F234" s="22" t="s">
        <x:v>195</x:v>
      </x:c>
      <x:c r="G234" s="22" t="s">
        <x:v>199</x:v>
      </x:c>
      <x:c r="H234" s="22">
        <x:v>1</x:v>
      </x:c>
      <x:c r="I234" s="22">
        <x:v>0</x:v>
      </x:c>
      <x:c r="J234" s="22">
        <x:v>0</x:v>
      </x:c>
      <x:c r="K234" s="23">
        <x:v>0</x:v>
      </x:c>
      <x:c r="L234" s="23">
        <x:v>0</x:v>
      </x:c>
      <x:c r="M234" s="23">
        <x:f>K234-L234</x:f>
      </x:c>
      <x:c r="N234" s="22" t="s">
        <x:v>351</x:v>
      </x:c>
      <x:c r="O234" s="24">
        <x:f>IFERROR(INDEX('تطبیق کل'!$J:$J,MATCH(A234&amp;"",'تطبیق کل'!$A:$A,0))&amp;"","")</x:f>
      </x:c>
      <x:c r="P234" s="24">
        <x:f>IF(O234="","",O234&amp;B234)</x:f>
      </x:c>
      <x:c r="Q234" s="24">
        <x:f>IF(P234="","",IFERROR(INDEX('درخت جدید'!$C:$C,MATCH(P234&amp;"",'درخت جدید'!$B:$B,0)),"— در درخت نیست؛ با نام قدیم ساخته می‌شود —"))</x:f>
      </x:c>
      <x:c r="R234" s="25"/>
      <x:c r="S234" s="26">
        <x:f>P234</x:f>
      </x:c>
      <x:c r="T234" s="22">
        <x:f>IF(S234="","",IFERROR(INDEX('درخت جدید'!$C:$C,MATCH(S234&amp;"",'درخت جدید'!$B:$B,0)),"(ساخته می‌شود) "&amp;V234))</x:f>
      </x:c>
      <x:c r="U234" s="22">
        <x:f>IF(S234="",IF(N234="بله","الزامی — تکمیل نشده",""),IF(AND(O234&lt;&gt;"",LEFT(S234&amp;"",4)&lt;&gt;O234),"زیر کل دیگری است — کل یا معین را اصلاح کنید",IF(AND(S234=P234,FALSE,W234=""),"تداخل: کد "&amp;S234&amp;" در برگهٔ درخت جدید با نام «"&amp;T234&amp;"» از قبل تعریف شده",IF(COUNTIFS('درخت جدید'!$B:$B,S234&amp;"",'درخت جدید'!$A:$A,"معین")=0,IF(V234="","کد در درخت نیست — نام برای تعریف را بنویسید","OK"),"OK"))))</x:f>
      </x:c>
      <x:c r="V234" s="27">
        <x:f>IF(S234="","",IF(COUNTIFS('درخت جدید'!$B:$B,S234&amp;"",'درخت جدید'!$A:$A,"معین")=0,D234,""))</x:f>
      </x:c>
      <x:c r="W234" s="27"/>
      <x:c r="X234" s="38"/>
    </x:row>
    <x:row r="235" spans="1:24">
      <x:c r="A235" s="21" t="s">
        <x:v>101</x:v>
      </x:c>
      <x:c r="B235" s="22" t="s">
        <x:v>174</x:v>
      </x:c>
      <x:c r="C235" s="22" t="s">
        <x:v>102</x:v>
      </x:c>
      <x:c r="D235" s="22" t="s">
        <x:v>465</x:v>
      </x:c>
      <x:c r="E235" s="22" t="s">
        <x:v>195</x:v>
      </x:c>
      <x:c r="F235" s="22" t="s">
        <x:v>195</x:v>
      </x:c>
      <x:c r="G235" s="22" t="s">
        <x:v>199</x:v>
      </x:c>
      <x:c r="H235" s="22">
        <x:v>8</x:v>
      </x:c>
      <x:c r="I235" s="22">
        <x:v>0</x:v>
      </x:c>
      <x:c r="J235" s="22">
        <x:v>0</x:v>
      </x:c>
      <x:c r="K235" s="23">
        <x:v>0</x:v>
      </x:c>
      <x:c r="L235" s="23">
        <x:v>0</x:v>
      </x:c>
      <x:c r="M235" s="23">
        <x:f>K235-L235</x:f>
      </x:c>
      <x:c r="N235" s="22" t="s">
        <x:v>351</x:v>
      </x:c>
      <x:c r="O235" s="24">
        <x:f>IFERROR(INDEX('تطبیق کل'!$J:$J,MATCH(A235&amp;"",'تطبیق کل'!$A:$A,0))&amp;"","")</x:f>
      </x:c>
      <x:c r="P235" s="24">
        <x:f>IF(O235="","",O235&amp;B235)</x:f>
      </x:c>
      <x:c r="Q235" s="24">
        <x:f>IF(P235="","",IFERROR(INDEX('درخت جدید'!$C:$C,MATCH(P235&amp;"",'درخت جدید'!$B:$B,0)),"— در درخت نیست؛ با نام قدیم ساخته می‌شود —"))</x:f>
      </x:c>
      <x:c r="R235" s="25"/>
      <x:c r="S235" s="26">
        <x:f>P235</x:f>
      </x:c>
      <x:c r="T235" s="22">
        <x:f>IF(S235="","",IFERROR(INDEX('درخت جدید'!$C:$C,MATCH(S235&amp;"",'درخت جدید'!$B:$B,0)),"(ساخته می‌شود) "&amp;V235))</x:f>
      </x:c>
      <x:c r="U235" s="22">
        <x:f>IF(S235="",IF(N235="بله","الزامی — تکمیل نشده",""),IF(AND(O235&lt;&gt;"",LEFT(S235&amp;"",4)&lt;&gt;O235),"زیر کل دیگری است — کل یا معین را اصلاح کنید",IF(AND(S235=P235,FALSE,W235=""),"تداخل: کد "&amp;S235&amp;" در برگهٔ درخت جدید با نام «"&amp;T235&amp;"» از قبل تعریف شده",IF(COUNTIFS('درخت جدید'!$B:$B,S235&amp;"",'درخت جدید'!$A:$A,"معین")=0,IF(V235="","کد در درخت نیست — نام برای تعریف را بنویسید","OK"),"OK"))))</x:f>
      </x:c>
      <x:c r="V235" s="27">
        <x:f>IF(S235="","",IF(COUNTIFS('درخت جدید'!$B:$B,S235&amp;"",'درخت جدید'!$A:$A,"معین")=0,D235,""))</x:f>
      </x:c>
      <x:c r="W235" s="27"/>
      <x:c r="X235" s="38"/>
    </x:row>
    <x:row r="236" spans="1:24">
      <x:c r="A236" s="21" t="s">
        <x:v>104</x:v>
      </x:c>
      <x:c r="B236" s="22" t="s">
        <x:v>290</x:v>
      </x:c>
      <x:c r="C236" s="22" t="s">
        <x:v>105</x:v>
      </x:c>
      <x:c r="D236" s="22" t="s">
        <x:v>105</x:v>
      </x:c>
      <x:c r="E236" s="22" t="s">
        <x:v>194</x:v>
      </x:c>
      <x:c r="F236" s="22" t="s">
        <x:v>194</x:v>
      </x:c>
      <x:c r="G236" s="22" t="s">
        <x:v>195</x:v>
      </x:c>
      <x:c r="H236" s="22">
        <x:v>1</x:v>
      </x:c>
      <x:c r="I236" s="22">
        <x:v>0</x:v>
      </x:c>
      <x:c r="J236" s="22">
        <x:v>0</x:v>
      </x:c>
      <x:c r="K236" s="23">
        <x:v>0</x:v>
      </x:c>
      <x:c r="L236" s="23">
        <x:v>0</x:v>
      </x:c>
      <x:c r="M236" s="23">
        <x:f>K236-L236</x:f>
      </x:c>
      <x:c r="N236" s="22" t="s">
        <x:v>351</x:v>
      </x:c>
      <x:c r="O236" s="24">
        <x:f>IFERROR(INDEX('تطبیق کل'!$J:$J,MATCH(A236&amp;"",'تطبیق کل'!$A:$A,0))&amp;"","")</x:f>
      </x:c>
      <x:c r="P236" s="24">
        <x:f>IF(O236="","",O236&amp;B236)</x:f>
      </x:c>
      <x:c r="Q236" s="24">
        <x:f>IF(P236="","",IFERROR(INDEX('درخت جدید'!$C:$C,MATCH(P236&amp;"",'درخت جدید'!$B:$B,0)),"— در درخت نیست؛ با نام قدیم ساخته می‌شود —"))</x:f>
      </x:c>
      <x:c r="R236" s="25"/>
      <x:c r="S236" s="26">
        <x:f>P236</x:f>
      </x:c>
      <x:c r="T236" s="22">
        <x:f>IF(S236="","",IFERROR(INDEX('درخت جدید'!$C:$C,MATCH(S236&amp;"",'درخت جدید'!$B:$B,0)),"(ساخته می‌شود) "&amp;V236))</x:f>
      </x:c>
      <x:c r="U236" s="22">
        <x:f>IF(S236="",IF(N236="بله","الزامی — تکمیل نشده",""),IF(AND(O236&lt;&gt;"",LEFT(S236&amp;"",4)&lt;&gt;O236),"زیر کل دیگری است — کل یا معین را اصلاح کنید",IF(AND(S236=P236,FALSE,W236=""),"تداخل: کد "&amp;S236&amp;" در برگهٔ درخت جدید با نام «"&amp;T236&amp;"» از قبل تعریف شده",IF(COUNTIFS('درخت جدید'!$B:$B,S236&amp;"",'درخت جدید'!$A:$A,"معین")=0,IF(V236="","کد در درخت نیست — نام برای تعریف را بنویسید","OK"),"OK"))))</x:f>
      </x:c>
      <x:c r="V236" s="27">
        <x:f>IF(S236="","",IF(COUNTIFS('درخت جدید'!$B:$B,S236&amp;"",'درخت جدید'!$A:$A,"معین")=0,D236,""))</x:f>
      </x:c>
      <x:c r="W236" s="27"/>
      <x:c r="X236" s="38"/>
    </x:row>
    <x:row r="237" spans="1:24">
      <x:c r="A237" s="21" t="s">
        <x:v>111</x:v>
      </x:c>
      <x:c r="B237" s="22" t="s">
        <x:v>200</x:v>
      </x:c>
      <x:c r="C237" s="22" t="s">
        <x:v>112</x:v>
      </x:c>
      <x:c r="D237" s="22" t="s">
        <x:v>114</x:v>
      </x:c>
      <x:c r="E237" s="22" t="s">
        <x:v>194</x:v>
      </x:c>
      <x:c r="F237" s="22" t="s">
        <x:v>195</x:v>
      </x:c>
      <x:c r="G237" s="22" t="s">
        <x:v>195</x:v>
      </x:c>
      <x:c r="H237" s="22">
        <x:v>2</x:v>
      </x:c>
      <x:c r="I237" s="22">
        <x:v>0</x:v>
      </x:c>
      <x:c r="J237" s="22">
        <x:v>0</x:v>
      </x:c>
      <x:c r="K237" s="23">
        <x:v>0</x:v>
      </x:c>
      <x:c r="L237" s="23">
        <x:v>0</x:v>
      </x:c>
      <x:c r="M237" s="23">
        <x:f>K237-L237</x:f>
      </x:c>
      <x:c r="N237" s="22" t="s">
        <x:v>351</x:v>
      </x:c>
      <x:c r="O237" s="24">
        <x:f>IFERROR(INDEX('تطبیق کل'!$J:$J,MATCH(A237&amp;"",'تطبیق کل'!$A:$A,0))&amp;"","")</x:f>
      </x:c>
      <x:c r="P237" s="24">
        <x:f>IF(O237="","",O237&amp;B237)</x:f>
      </x:c>
      <x:c r="Q237" s="24">
        <x:f>IF(P237="","",IFERROR(INDEX('درخت جدید'!$C:$C,MATCH(P237&amp;"",'درخت جدید'!$B:$B,0)),"— در درخت نیست؛ با نام قدیم ساخته می‌شود —"))</x:f>
      </x:c>
      <x:c r="R237" s="25"/>
      <x:c r="S237" s="26">
        <x:f>P237</x:f>
      </x:c>
      <x:c r="T237" s="22">
        <x:f>IF(S237="","",IFERROR(INDEX('درخت جدید'!$C:$C,MATCH(S237&amp;"",'درخت جدید'!$B:$B,0)),"(ساخته می‌شود) "&amp;V237))</x:f>
      </x:c>
      <x:c r="U237" s="22">
        <x:f>IF(S237="",IF(N237="بله","الزامی — تکمیل نشده",""),IF(AND(O237&lt;&gt;"",LEFT(S237&amp;"",4)&lt;&gt;O237),"زیر کل دیگری است — کل یا معین را اصلاح کنید",IF(AND(S237=P237,FALSE,W237=""),"تداخل: کد "&amp;S237&amp;" در برگهٔ درخت جدید با نام «"&amp;T237&amp;"» از قبل تعریف شده",IF(COUNTIFS('درخت جدید'!$B:$B,S237&amp;"",'درخت جدید'!$A:$A,"معین")=0,IF(V237="","کد در درخت نیست — نام برای تعریف را بنویسید","OK"),"OK"))))</x:f>
      </x:c>
      <x:c r="V237" s="27">
        <x:f>IF(S237="","",IF(COUNTIFS('درخت جدید'!$B:$B,S237&amp;"",'درخت جدید'!$A:$A,"معین")=0,D237,""))</x:f>
      </x:c>
      <x:c r="W237" s="27"/>
      <x:c r="X237" s="38"/>
    </x:row>
    <x:row r="238" spans="1:24">
      <x:c r="A238" s="21" t="s">
        <x:v>115</x:v>
      </x:c>
      <x:c r="B238" s="22" t="s">
        <x:v>202</x:v>
      </x:c>
      <x:c r="C238" s="22" t="s">
        <x:v>116</x:v>
      </x:c>
      <x:c r="D238" s="22" t="s">
        <x:v>466</x:v>
      </x:c>
      <x:c r="E238" s="22" t="s">
        <x:v>194</x:v>
      </x:c>
      <x:c r="F238" s="22" t="s">
        <x:v>195</x:v>
      </x:c>
      <x:c r="G238" s="22" t="s">
        <x:v>199</x:v>
      </x:c>
      <x:c r="H238" s="22">
        <x:v>5</x:v>
      </x:c>
      <x:c r="I238" s="22">
        <x:v>0</x:v>
      </x:c>
      <x:c r="J238" s="22">
        <x:v>0</x:v>
      </x:c>
      <x:c r="K238" s="23">
        <x:v>0</x:v>
      </x:c>
      <x:c r="L238" s="23">
        <x:v>0</x:v>
      </x:c>
      <x:c r="M238" s="23">
        <x:f>K238-L238</x:f>
      </x:c>
      <x:c r="N238" s="22" t="s">
        <x:v>351</x:v>
      </x:c>
      <x:c r="O238" s="24">
        <x:f>IFERROR(INDEX('تطبیق کل'!$J:$J,MATCH(A238&amp;"",'تطبیق کل'!$A:$A,0))&amp;"","")</x:f>
      </x:c>
      <x:c r="P238" s="24">
        <x:f>IF(O238="","",O238&amp;B238)</x:f>
      </x:c>
      <x:c r="Q238" s="24">
        <x:f>IF(P238="","",IFERROR(INDEX('درخت جدید'!$C:$C,MATCH(P238&amp;"",'درخت جدید'!$B:$B,0)),"— در درخت نیست؛ با نام قدیم ساخته می‌شود —"))</x:f>
      </x:c>
      <x:c r="R238" s="25">
        <x:v>0.7</x:v>
      </x:c>
      <x:c r="S238" s="26">
        <x:f>P238</x:f>
      </x:c>
      <x:c r="T238" s="22">
        <x:f>IF(S238="","",IFERROR(INDEX('درخت جدید'!$C:$C,MATCH(S238&amp;"",'درخت جدید'!$B:$B,0)),"(ساخته می‌شود) "&amp;V238))</x:f>
      </x:c>
      <x:c r="U238" s="22">
        <x:f>IF(S238="",IF(N238="بله","الزامی — تکمیل نشده",""),IF(AND(O238&lt;&gt;"",LEFT(S238&amp;"",4)&lt;&gt;O238),"زیر کل دیگری است — کل یا معین را اصلاح کنید",IF(AND(S238=P238,FALSE,W238=""),"تداخل: کد "&amp;S238&amp;" در برگهٔ درخت جدید با نام «"&amp;T238&amp;"» از قبل تعریف شده",IF(COUNTIFS('درخت جدید'!$B:$B,S238&amp;"",'درخت جدید'!$A:$A,"معین")=0,IF(V238="","کد در درخت نیست — نام برای تعریف را بنویسید","OK"),"OK"))))</x:f>
      </x:c>
      <x:c r="V238" s="27">
        <x:f>IF(S238="","",IF(COUNTIFS('درخت جدید'!$B:$B,S238&amp;"",'درخت جدید'!$A:$A,"معین")=0,D238,""))</x:f>
      </x:c>
      <x:c r="W238" s="27"/>
      <x:c r="X238" s="38"/>
    </x:row>
    <x:row r="239" spans="1:24">
      <x:c r="A239" s="21" t="s">
        <x:v>115</x:v>
      </x:c>
      <x:c r="B239" s="22" t="s">
        <x:v>315</x:v>
      </x:c>
      <x:c r="C239" s="22" t="s">
        <x:v>116</x:v>
      </x:c>
      <x:c r="D239" s="22" t="s">
        <x:v>467</x:v>
      </x:c>
      <x:c r="E239" s="22" t="s">
        <x:v>194</x:v>
      </x:c>
      <x:c r="F239" s="22" t="s">
        <x:v>195</x:v>
      </x:c>
      <x:c r="G239" s="22" t="s">
        <x:v>199</x:v>
      </x:c>
      <x:c r="H239" s="22">
        <x:v>2</x:v>
      </x:c>
      <x:c r="I239" s="22">
        <x:v>0</x:v>
      </x:c>
      <x:c r="J239" s="22">
        <x:v>0</x:v>
      </x:c>
      <x:c r="K239" s="23">
        <x:v>0</x:v>
      </x:c>
      <x:c r="L239" s="23">
        <x:v>0</x:v>
      </x:c>
      <x:c r="M239" s="23">
        <x:f>K239-L239</x:f>
      </x:c>
      <x:c r="N239" s="22" t="s">
        <x:v>351</x:v>
      </x:c>
      <x:c r="O239" s="24">
        <x:f>IFERROR(INDEX('تطبیق کل'!$J:$J,MATCH(A239&amp;"",'تطبیق کل'!$A:$A,0))&amp;"","")</x:f>
      </x:c>
      <x:c r="P239" s="24">
        <x:f>IF(O239="","",O239&amp;B239)</x:f>
      </x:c>
      <x:c r="Q239" s="24">
        <x:f>IF(P239="","",IFERROR(INDEX('درخت جدید'!$C:$C,MATCH(P239&amp;"",'درخت جدید'!$B:$B,0)),"— در درخت نیست؛ با نام قدیم ساخته می‌شود —"))</x:f>
      </x:c>
      <x:c r="R239" s="25"/>
      <x:c r="S239" s="26">
        <x:f>P239</x:f>
      </x:c>
      <x:c r="T239" s="22">
        <x:f>IF(S239="","",IFERROR(INDEX('درخت جدید'!$C:$C,MATCH(S239&amp;"",'درخت جدید'!$B:$B,0)),"(ساخته می‌شود) "&amp;V239))</x:f>
      </x:c>
      <x:c r="U239" s="22">
        <x:f>IF(S239="",IF(N239="بله","الزامی — تکمیل نشده",""),IF(AND(O239&lt;&gt;"",LEFT(S239&amp;"",4)&lt;&gt;O239),"زیر کل دیگری است — کل یا معین را اصلاح کنید",IF(AND(S239=P239,FALSE,W239=""),"تداخل: کد "&amp;S239&amp;" در برگهٔ درخت جدید با نام «"&amp;T239&amp;"» از قبل تعریف شده",IF(COUNTIFS('درخت جدید'!$B:$B,S239&amp;"",'درخت جدید'!$A:$A,"معین")=0,IF(V239="","کد در درخت نیست — نام برای تعریف را بنویسید","OK"),"OK"))))</x:f>
      </x:c>
      <x:c r="V239" s="27">
        <x:f>IF(S239="","",IF(COUNTIFS('درخت جدید'!$B:$B,S239&amp;"",'درخت جدید'!$A:$A,"معین")=0,D239,""))</x:f>
      </x:c>
      <x:c r="W239" s="27"/>
      <x:c r="X239" s="38"/>
    </x:row>
    <x:row r="240" spans="1:24">
      <x:c r="A240" s="21" t="s">
        <x:v>115</x:v>
      </x:c>
      <x:c r="B240" s="22" t="s">
        <x:v>170</x:v>
      </x:c>
      <x:c r="C240" s="22" t="s">
        <x:v>116</x:v>
      </x:c>
      <x:c r="D240" s="22" t="s">
        <x:v>468</x:v>
      </x:c>
      <x:c r="E240" s="22" t="s">
        <x:v>194</x:v>
      </x:c>
      <x:c r="F240" s="22" t="s">
        <x:v>195</x:v>
      </x:c>
      <x:c r="G240" s="22" t="s">
        <x:v>199</x:v>
      </x:c>
      <x:c r="H240" s="22">
        <x:v>6</x:v>
      </x:c>
      <x:c r="I240" s="22">
        <x:v>0</x:v>
      </x:c>
      <x:c r="J240" s="22">
        <x:v>0</x:v>
      </x:c>
      <x:c r="K240" s="23">
        <x:v>0</x:v>
      </x:c>
      <x:c r="L240" s="23">
        <x:v>0</x:v>
      </x:c>
      <x:c r="M240" s="23">
        <x:f>K240-L240</x:f>
      </x:c>
      <x:c r="N240" s="22" t="s">
        <x:v>351</x:v>
      </x:c>
      <x:c r="O240" s="24">
        <x:f>IFERROR(INDEX('تطبیق کل'!$J:$J,MATCH(A240&amp;"",'تطبیق کل'!$A:$A,0))&amp;"","")</x:f>
      </x:c>
      <x:c r="P240" s="24">
        <x:f>IF(O240="","",O240&amp;B240)</x:f>
      </x:c>
      <x:c r="Q240" s="24">
        <x:f>IF(P240="","",IFERROR(INDEX('درخت جدید'!$C:$C,MATCH(P240&amp;"",'درخت جدید'!$B:$B,0)),"— در درخت نیست؛ با نام قدیم ساخته می‌شود —"))</x:f>
      </x:c>
      <x:c r="R240" s="25"/>
      <x:c r="S240" s="26">
        <x:f>P240</x:f>
      </x:c>
      <x:c r="T240" s="22">
        <x:f>IF(S240="","",IFERROR(INDEX('درخت جدید'!$C:$C,MATCH(S240&amp;"",'درخت جدید'!$B:$B,0)),"(ساخته می‌شود) "&amp;V240))</x:f>
      </x:c>
      <x:c r="U240" s="22">
        <x:f>IF(S240="",IF(N240="بله","الزامی — تکمیل نشده",""),IF(AND(O240&lt;&gt;"",LEFT(S240&amp;"",4)&lt;&gt;O240),"زیر کل دیگری است — کل یا معین را اصلاح کنید",IF(AND(S240=P240,FALSE,W240=""),"تداخل: کد "&amp;S240&amp;" در برگهٔ درخت جدید با نام «"&amp;T240&amp;"» از قبل تعریف شده",IF(COUNTIFS('درخت جدید'!$B:$B,S240&amp;"",'درخت جدید'!$A:$A,"معین")=0,IF(V240="","کد در درخت نیست — نام برای تعریف را بنویسید","OK"),"OK"))))</x:f>
      </x:c>
      <x:c r="V240" s="27">
        <x:f>IF(S240="","",IF(COUNTIFS('درخت جدید'!$B:$B,S240&amp;"",'درخت جدید'!$A:$A,"معین")=0,D240,""))</x:f>
      </x:c>
      <x:c r="W240" s="27"/>
      <x:c r="X240" s="38"/>
    </x:row>
    <x:row r="241" spans="1:24">
      <x:c r="A241" s="21" t="s">
        <x:v>115</x:v>
      </x:c>
      <x:c r="B241" s="22" t="s">
        <x:v>174</x:v>
      </x:c>
      <x:c r="C241" s="22" t="s">
        <x:v>116</x:v>
      </x:c>
      <x:c r="D241" s="22" t="s">
        <x:v>465</x:v>
      </x:c>
      <x:c r="E241" s="22" t="s">
        <x:v>194</x:v>
      </x:c>
      <x:c r="F241" s="22" t="s">
        <x:v>195</x:v>
      </x:c>
      <x:c r="G241" s="22" t="s">
        <x:v>199</x:v>
      </x:c>
      <x:c r="H241" s="22">
        <x:v>6</x:v>
      </x:c>
      <x:c r="I241" s="22">
        <x:v>0</x:v>
      </x:c>
      <x:c r="J241" s="22">
        <x:v>0</x:v>
      </x:c>
      <x:c r="K241" s="23">
        <x:v>0</x:v>
      </x:c>
      <x:c r="L241" s="23">
        <x:v>0</x:v>
      </x:c>
      <x:c r="M241" s="23">
        <x:f>K241-L241</x:f>
      </x:c>
      <x:c r="N241" s="22" t="s">
        <x:v>351</x:v>
      </x:c>
      <x:c r="O241" s="24">
        <x:f>IFERROR(INDEX('تطبیق کل'!$J:$J,MATCH(A241&amp;"",'تطبیق کل'!$A:$A,0))&amp;"","")</x:f>
      </x:c>
      <x:c r="P241" s="24">
        <x:f>IF(O241="","",O241&amp;B241)</x:f>
      </x:c>
      <x:c r="Q241" s="24">
        <x:f>IF(P241="","",IFERROR(INDEX('درخت جدید'!$C:$C,MATCH(P241&amp;"",'درخت جدید'!$B:$B,0)),"— در درخت نیست؛ با نام قدیم ساخته می‌شود —"))</x:f>
      </x:c>
      <x:c r="R241" s="25"/>
      <x:c r="S241" s="26">
        <x:f>P241</x:f>
      </x:c>
      <x:c r="T241" s="22">
        <x:f>IF(S241="","",IFERROR(INDEX('درخت جدید'!$C:$C,MATCH(S241&amp;"",'درخت جدید'!$B:$B,0)),"(ساخته می‌شود) "&amp;V241))</x:f>
      </x:c>
      <x:c r="U241" s="22">
        <x:f>IF(S241="",IF(N241="بله","الزامی — تکمیل نشده",""),IF(AND(O241&lt;&gt;"",LEFT(S241&amp;"",4)&lt;&gt;O241),"زیر کل دیگری است — کل یا معین را اصلاح کنید",IF(AND(S241=P241,FALSE,W241=""),"تداخل: کد "&amp;S241&amp;" در برگهٔ درخت جدید با نام «"&amp;T241&amp;"» از قبل تعریف شده",IF(COUNTIFS('درخت جدید'!$B:$B,S241&amp;"",'درخت جدید'!$A:$A,"معین")=0,IF(V241="","کد در درخت نیست — نام برای تعریف را بنویسید","OK"),"OK"))))</x:f>
      </x:c>
      <x:c r="V241" s="27">
        <x:f>IF(S241="","",IF(COUNTIFS('درخت جدید'!$B:$B,S241&amp;"",'درخت جدید'!$A:$A,"معین")=0,D241,""))</x:f>
      </x:c>
      <x:c r="W241" s="27"/>
      <x:c r="X241" s="38"/>
    </x:row>
    <x:row r="242" spans="1:24">
      <x:c r="A242" s="21" t="s">
        <x:v>127</x:v>
      </x:c>
      <x:c r="B242" s="22" t="s">
        <x:v>279</x:v>
      </x:c>
      <x:c r="C242" s="22" t="s">
        <x:v>128</x:v>
      </x:c>
      <x:c r="D242" s="22" t="s">
        <x:v>469</x:v>
      </x:c>
      <x:c r="E242" s="22" t="s">
        <x:v>194</x:v>
      </x:c>
      <x:c r="F242" s="22" t="s">
        <x:v>195</x:v>
      </x:c>
      <x:c r="G242" s="22" t="s">
        <x:v>199</x:v>
      </x:c>
      <x:c r="H242" s="22">
        <x:v>7</x:v>
      </x:c>
      <x:c r="I242" s="22">
        <x:v>0</x:v>
      </x:c>
      <x:c r="J242" s="22">
        <x:v>0</x:v>
      </x:c>
      <x:c r="K242" s="23">
        <x:v>0</x:v>
      </x:c>
      <x:c r="L242" s="23">
        <x:v>0</x:v>
      </x:c>
      <x:c r="M242" s="23">
        <x:f>K242-L242</x:f>
      </x:c>
      <x:c r="N242" s="22" t="s">
        <x:v>351</x:v>
      </x:c>
      <x:c r="O242" s="24">
        <x:f>IFERROR(INDEX('تطبیق کل'!$J:$J,MATCH(A242&amp;"",'تطبیق کل'!$A:$A,0))&amp;"","")</x:f>
      </x:c>
      <x:c r="P242" s="24">
        <x:f>IF(O242="","",O242&amp;B242)</x:f>
      </x:c>
      <x:c r="Q242" s="24">
        <x:f>IF(P242="","",IFERROR(INDEX('درخت جدید'!$C:$C,MATCH(P242&amp;"",'درخت جدید'!$B:$B,0)),"— در درخت نیست؛ با نام قدیم ساخته می‌شود —"))</x:f>
      </x:c>
      <x:c r="R242" s="25"/>
      <x:c r="S242" s="26">
        <x:f>P242</x:f>
      </x:c>
      <x:c r="T242" s="22">
        <x:f>IF(S242="","",IFERROR(INDEX('درخت جدید'!$C:$C,MATCH(S242&amp;"",'درخت جدید'!$B:$B,0)),"(ساخته می‌شود) "&amp;V242))</x:f>
      </x:c>
      <x:c r="U242" s="22">
        <x:f>IF(S242="",IF(N242="بله","الزامی — تکمیل نشده",""),IF(AND(O242&lt;&gt;"",LEFT(S242&amp;"",4)&lt;&gt;O242),"زیر کل دیگری است — کل یا معین را اصلاح کنید",IF(AND(S242=P242,FALSE,W242=""),"تداخل: کد "&amp;S242&amp;" در برگهٔ درخت جدید با نام «"&amp;T242&amp;"» از قبل تعریف شده",IF(COUNTIFS('درخت جدید'!$B:$B,S242&amp;"",'درخت جدید'!$A:$A,"معین")=0,IF(V242="","کد در درخت نیست — نام برای تعریف را بنویسید","OK"),"OK"))))</x:f>
      </x:c>
      <x:c r="V242" s="27">
        <x:f>IF(S242="","",IF(COUNTIFS('درخت جدید'!$B:$B,S242&amp;"",'درخت جدید'!$A:$A,"معین")=0,D242,""))</x:f>
      </x:c>
      <x:c r="W242" s="27"/>
      <x:c r="X242" s="38"/>
    </x:row>
    <x:row r="243" spans="1:24">
      <x:c r="A243" s="21" t="s">
        <x:v>127</x:v>
      </x:c>
      <x:c r="B243" s="22" t="s">
        <x:v>192</x:v>
      </x:c>
      <x:c r="C243" s="22" t="s">
        <x:v>128</x:v>
      </x:c>
      <x:c r="D243" s="22" t="s">
        <x:v>470</x:v>
      </x:c>
      <x:c r="E243" s="22" t="s">
        <x:v>194</x:v>
      </x:c>
      <x:c r="F243" s="22" t="s">
        <x:v>195</x:v>
      </x:c>
      <x:c r="G243" s="22" t="s">
        <x:v>199</x:v>
      </x:c>
      <x:c r="H243" s="22">
        <x:v>2</x:v>
      </x:c>
      <x:c r="I243" s="22">
        <x:v>0</x:v>
      </x:c>
      <x:c r="J243" s="22">
        <x:v>0</x:v>
      </x:c>
      <x:c r="K243" s="23">
        <x:v>0</x:v>
      </x:c>
      <x:c r="L243" s="23">
        <x:v>0</x:v>
      </x:c>
      <x:c r="M243" s="23">
        <x:f>K243-L243</x:f>
      </x:c>
      <x:c r="N243" s="22" t="s">
        <x:v>351</x:v>
      </x:c>
      <x:c r="O243" s="24">
        <x:f>IFERROR(INDEX('تطبیق کل'!$J:$J,MATCH(A243&amp;"",'تطبیق کل'!$A:$A,0))&amp;"","")</x:f>
      </x:c>
      <x:c r="P243" s="24">
        <x:f>IF(O243="","",O243&amp;B243)</x:f>
      </x:c>
      <x:c r="Q243" s="24">
        <x:f>IF(P243="","",IFERROR(INDEX('درخت جدید'!$C:$C,MATCH(P243&amp;"",'درخت جدید'!$B:$B,0)),"— در درخت نیست؛ با نام قدیم ساخته می‌شود —"))</x:f>
      </x:c>
      <x:c r="R243" s="25"/>
      <x:c r="S243" s="26">
        <x:f>P243</x:f>
      </x:c>
      <x:c r="T243" s="22">
        <x:f>IF(S243="","",IFERROR(INDEX('درخت جدید'!$C:$C,MATCH(S243&amp;"",'درخت جدید'!$B:$B,0)),"(ساخته می‌شود) "&amp;V243))</x:f>
      </x:c>
      <x:c r="U243" s="22">
        <x:f>IF(S243="",IF(N243="بله","الزامی — تکمیل نشده",""),IF(AND(O243&lt;&gt;"",LEFT(S243&amp;"",4)&lt;&gt;O243),"زیر کل دیگری است — کل یا معین را اصلاح کنید",IF(AND(S243=P243,FALSE,W243=""),"تداخل: کد "&amp;S243&amp;" در برگهٔ درخت جدید با نام «"&amp;T243&amp;"» از قبل تعریف شده",IF(COUNTIFS('درخت جدید'!$B:$B,S243&amp;"",'درخت جدید'!$A:$A,"معین")=0,IF(V243="","کد در درخت نیست — نام برای تعریف را بنویسید","OK"),"OK"))))</x:f>
      </x:c>
      <x:c r="V243" s="27">
        <x:f>IF(S243="","",IF(COUNTIFS('درخت جدید'!$B:$B,S243&amp;"",'درخت جدید'!$A:$A,"معین")=0,D243,""))</x:f>
      </x:c>
      <x:c r="W243" s="27"/>
      <x:c r="X243" s="38"/>
    </x:row>
    <x:row r="244" spans="1:24">
      <x:c r="A244" s="21" t="s">
        <x:v>127</x:v>
      </x:c>
      <x:c r="B244" s="22" t="s">
        <x:v>174</x:v>
      </x:c>
      <x:c r="C244" s="22" t="s">
        <x:v>128</x:v>
      </x:c>
      <x:c r="D244" s="22" t="s">
        <x:v>465</x:v>
      </x:c>
      <x:c r="E244" s="22" t="s">
        <x:v>194</x:v>
      </x:c>
      <x:c r="F244" s="22" t="s">
        <x:v>195</x:v>
      </x:c>
      <x:c r="G244" s="22" t="s">
        <x:v>199</x:v>
      </x:c>
      <x:c r="H244" s="22">
        <x:v>12</x:v>
      </x:c>
      <x:c r="I244" s="22">
        <x:v>0</x:v>
      </x:c>
      <x:c r="J244" s="22">
        <x:v>0</x:v>
      </x:c>
      <x:c r="K244" s="23">
        <x:v>0</x:v>
      </x:c>
      <x:c r="L244" s="23">
        <x:v>0</x:v>
      </x:c>
      <x:c r="M244" s="23">
        <x:f>K244-L244</x:f>
      </x:c>
      <x:c r="N244" s="22" t="s">
        <x:v>351</x:v>
      </x:c>
      <x:c r="O244" s="24">
        <x:f>IFERROR(INDEX('تطبیق کل'!$J:$J,MATCH(A244&amp;"",'تطبیق کل'!$A:$A,0))&amp;"","")</x:f>
      </x:c>
      <x:c r="P244" s="24">
        <x:f>IF(O244="","",O244&amp;B244)</x:f>
      </x:c>
      <x:c r="Q244" s="24">
        <x:f>IF(P244="","",IFERROR(INDEX('درخت جدید'!$C:$C,MATCH(P244&amp;"",'درخت جدید'!$B:$B,0)),"— در درخت نیست؛ با نام قدیم ساخته می‌شود —"))</x:f>
      </x:c>
      <x:c r="R244" s="25"/>
      <x:c r="S244" s="26">
        <x:f>P244</x:f>
      </x:c>
      <x:c r="T244" s="22">
        <x:f>IF(S244="","",IFERROR(INDEX('درخت جدید'!$C:$C,MATCH(S244&amp;"",'درخت جدید'!$B:$B,0)),"(ساخته می‌شود) "&amp;V244))</x:f>
      </x:c>
      <x:c r="U244" s="22">
        <x:f>IF(S244="",IF(N244="بله","الزامی — تکمیل نشده",""),IF(AND(O244&lt;&gt;"",LEFT(S244&amp;"",4)&lt;&gt;O244),"زیر کل دیگری است — کل یا معین را اصلاح کنید",IF(AND(S244=P244,FALSE,W244=""),"تداخل: کد "&amp;S244&amp;" در برگهٔ درخت جدید با نام «"&amp;T244&amp;"» از قبل تعریف شده",IF(COUNTIFS('درخت جدید'!$B:$B,S244&amp;"",'درخت جدید'!$A:$A,"معین")=0,IF(V244="","کد در درخت نیست — نام برای تعریف را بنویسید","OK"),"OK"))))</x:f>
      </x:c>
      <x:c r="V244" s="27">
        <x:f>IF(S244="","",IF(COUNTIFS('درخت جدید'!$B:$B,S244&amp;"",'درخت جدید'!$A:$A,"معین")=0,D244,""))</x:f>
      </x:c>
      <x:c r="W244" s="27"/>
      <x:c r="X244" s="38"/>
    </x:row>
    <x:row r="245" spans="1:24">
      <x:c r="A245" s="21" t="s">
        <x:v>131</x:v>
      </x:c>
      <x:c r="B245" s="22" t="s">
        <x:v>237</x:v>
      </x:c>
      <x:c r="C245" s="22" t="s">
        <x:v>132</x:v>
      </x:c>
      <x:c r="D245" s="22" t="s">
        <x:v>132</x:v>
      </x:c>
      <x:c r="E245" s="22" t="s">
        <x:v>194</x:v>
      </x:c>
      <x:c r="F245" s="22" t="s">
        <x:v>194</x:v>
      </x:c>
      <x:c r="G245" s="22" t="s">
        <x:v>195</x:v>
      </x:c>
      <x:c r="H245" s="22">
        <x:v>5</x:v>
      </x:c>
      <x:c r="I245" s="22">
        <x:v>0</x:v>
      </x:c>
      <x:c r="J245" s="22">
        <x:v>0</x:v>
      </x:c>
      <x:c r="K245" s="23">
        <x:v>0</x:v>
      </x:c>
      <x:c r="L245" s="23">
        <x:v>0</x:v>
      </x:c>
      <x:c r="M245" s="23">
        <x:f>K245-L245</x:f>
      </x:c>
      <x:c r="N245" s="22" t="s">
        <x:v>351</x:v>
      </x:c>
      <x:c r="O245" s="24">
        <x:f>IFERROR(INDEX('تطبیق کل'!$J:$J,MATCH(A245&amp;"",'تطبیق کل'!$A:$A,0))&amp;"","")</x:f>
      </x:c>
      <x:c r="P245" s="24">
        <x:f>IF(O245="","",O245&amp;B245)</x:f>
      </x:c>
      <x:c r="Q245" s="24">
        <x:f>IF(P245="","",IFERROR(INDEX('درخت جدید'!$C:$C,MATCH(P245&amp;"",'درخت جدید'!$B:$B,0)),"— در درخت نیست؛ با نام قدیم ساخته می‌شود —"))</x:f>
      </x:c>
      <x:c r="R245" s="25"/>
      <x:c r="S245" s="26">
        <x:f>P245</x:f>
      </x:c>
      <x:c r="T245" s="22">
        <x:f>IF(S245="","",IFERROR(INDEX('درخت جدید'!$C:$C,MATCH(S245&amp;"",'درخت جدید'!$B:$B,0)),"(ساخته می‌شود) "&amp;V245))</x:f>
      </x:c>
      <x:c r="U245" s="22">
        <x:f>IF(S245="",IF(N245="بله","الزامی — تکمیل نشده",""),IF(AND(O245&lt;&gt;"",LEFT(S245&amp;"",4)&lt;&gt;O245),"زیر کل دیگری است — کل یا معین را اصلاح کنید",IF(AND(S245=P245,FALSE,W245=""),"تداخل: کد "&amp;S245&amp;" در برگهٔ درخت جدید با نام «"&amp;T245&amp;"» از قبل تعریف شده",IF(COUNTIFS('درخت جدید'!$B:$B,S245&amp;"",'درخت جدید'!$A:$A,"معین")=0,IF(V245="","کد در درخت نیست — نام برای تعریف را بنویسید","OK"),"OK"))))</x:f>
      </x:c>
      <x:c r="V245" s="27">
        <x:f>IF(S245="","",IF(COUNTIFS('درخت جدید'!$B:$B,S245&amp;"",'درخت جدید'!$A:$A,"معین")=0,D245,""))</x:f>
      </x:c>
      <x:c r="W245" s="27"/>
      <x:c r="X245" s="38"/>
    </x:row>
    <x:row r="246" spans="1:24">
      <x:c r="A246" s="21" t="s">
        <x:v>131</x:v>
      </x:c>
      <x:c r="B246" s="22" t="s">
        <x:v>268</x:v>
      </x:c>
      <x:c r="C246" s="22" t="s">
        <x:v>132</x:v>
      </x:c>
      <x:c r="D246" s="22" t="s">
        <x:v>471</x:v>
      </x:c>
      <x:c r="E246" s="22" t="s">
        <x:v>194</x:v>
      </x:c>
      <x:c r="F246" s="22" t="s">
        <x:v>194</x:v>
      </x:c>
      <x:c r="G246" s="22" t="s">
        <x:v>195</x:v>
      </x:c>
      <x:c r="H246" s="22">
        <x:v>5</x:v>
      </x:c>
      <x:c r="I246" s="22">
        <x:v>0</x:v>
      </x:c>
      <x:c r="J246" s="22">
        <x:v>0</x:v>
      </x:c>
      <x:c r="K246" s="23">
        <x:v>0</x:v>
      </x:c>
      <x:c r="L246" s="23">
        <x:v>0</x:v>
      </x:c>
      <x:c r="M246" s="23">
        <x:f>K246-L246</x:f>
      </x:c>
      <x:c r="N246" s="22" t="s">
        <x:v>351</x:v>
      </x:c>
      <x:c r="O246" s="24">
        <x:f>IFERROR(INDEX('تطبیق کل'!$J:$J,MATCH(A246&amp;"",'تطبیق کل'!$A:$A,0))&amp;"","")</x:f>
      </x:c>
      <x:c r="P246" s="24">
        <x:f>IF(O246="","",O246&amp;B246)</x:f>
      </x:c>
      <x:c r="Q246" s="24">
        <x:f>IF(P246="","",IFERROR(INDEX('درخت جدید'!$C:$C,MATCH(P246&amp;"",'درخت جدید'!$B:$B,0)),"— در درخت نیست؛ با نام قدیم ساخته می‌شود —"))</x:f>
      </x:c>
      <x:c r="R246" s="25"/>
      <x:c r="S246" s="26">
        <x:f>P246</x:f>
      </x:c>
      <x:c r="T246" s="22">
        <x:f>IF(S246="","",IFERROR(INDEX('درخت جدید'!$C:$C,MATCH(S246&amp;"",'درخت جدید'!$B:$B,0)),"(ساخته می‌شود) "&amp;V246))</x:f>
      </x:c>
      <x:c r="U246" s="22">
        <x:f>IF(S246="",IF(N246="بله","الزامی — تکمیل نشده",""),IF(AND(O246&lt;&gt;"",LEFT(S246&amp;"",4)&lt;&gt;O246),"زیر کل دیگری است — کل یا معین را اصلاح کنید",IF(AND(S246=P246,FALSE,W246=""),"تداخل: کد "&amp;S246&amp;" در برگهٔ درخت جدید با نام «"&amp;T246&amp;"» از قبل تعریف شده",IF(COUNTIFS('درخت جدید'!$B:$B,S246&amp;"",'درخت جدید'!$A:$A,"معین")=0,IF(V246="","کد در درخت نیست — نام برای تعریف را بنویسید","OK"),"OK"))))</x:f>
      </x:c>
      <x:c r="V246" s="27">
        <x:f>IF(S246="","",IF(COUNTIFS('درخت جدید'!$B:$B,S246&amp;"",'درخت جدید'!$A:$A,"معین")=0,D246,""))</x:f>
      </x:c>
      <x:c r="W246" s="27"/>
      <x:c r="X246" s="38"/>
    </x:row>
    <x:row r="247" spans="1:24">
      <x:c r="A247" s="21" t="s">
        <x:v>131</x:v>
      </x:c>
      <x:c r="B247" s="22" t="s">
        <x:v>300</x:v>
      </x:c>
      <x:c r="C247" s="22" t="s">
        <x:v>132</x:v>
      </x:c>
      <x:c r="D247" s="22" t="s">
        <x:v>472</x:v>
      </x:c>
      <x:c r="E247" s="22" t="s">
        <x:v>194</x:v>
      </x:c>
      <x:c r="F247" s="22" t="s">
        <x:v>194</x:v>
      </x:c>
      <x:c r="G247" s="22" t="s">
        <x:v>195</x:v>
      </x:c>
      <x:c r="H247" s="22">
        <x:v>3</x:v>
      </x:c>
      <x:c r="I247" s="22">
        <x:v>0</x:v>
      </x:c>
      <x:c r="J247" s="22">
        <x:v>0</x:v>
      </x:c>
      <x:c r="K247" s="23">
        <x:v>0</x:v>
      </x:c>
      <x:c r="L247" s="23">
        <x:v>0</x:v>
      </x:c>
      <x:c r="M247" s="23">
        <x:f>K247-L247</x:f>
      </x:c>
      <x:c r="N247" s="22" t="s">
        <x:v>351</x:v>
      </x:c>
      <x:c r="O247" s="24">
        <x:f>IFERROR(INDEX('تطبیق کل'!$J:$J,MATCH(A247&amp;"",'تطبیق کل'!$A:$A,0))&amp;"","")</x:f>
      </x:c>
      <x:c r="P247" s="24">
        <x:f>IF(O247="","",O247&amp;B247)</x:f>
      </x:c>
      <x:c r="Q247" s="24">
        <x:f>IF(P247="","",IFERROR(INDEX('درخت جدید'!$C:$C,MATCH(P247&amp;"",'درخت جدید'!$B:$B,0)),"— در درخت نیست؛ با نام قدیم ساخته می‌شود —"))</x:f>
      </x:c>
      <x:c r="R247" s="25"/>
      <x:c r="S247" s="26">
        <x:f>P247</x:f>
      </x:c>
      <x:c r="T247" s="22">
        <x:f>IF(S247="","",IFERROR(INDEX('درخت جدید'!$C:$C,MATCH(S247&amp;"",'درخت جدید'!$B:$B,0)),"(ساخته می‌شود) "&amp;V247))</x:f>
      </x:c>
      <x:c r="U247" s="22">
        <x:f>IF(S247="",IF(N247="بله","الزامی — تکمیل نشده",""),IF(AND(O247&lt;&gt;"",LEFT(S247&amp;"",4)&lt;&gt;O247),"زیر کل دیگری است — کل یا معین را اصلاح کنید",IF(AND(S247=P247,FALSE,W247=""),"تداخل: کد "&amp;S247&amp;" در برگهٔ درخت جدید با نام «"&amp;T247&amp;"» از قبل تعریف شده",IF(COUNTIFS('درخت جدید'!$B:$B,S247&amp;"",'درخت جدید'!$A:$A,"معین")=0,IF(V247="","کد در درخت نیست — نام برای تعریف را بنویسید","OK"),"OK"))))</x:f>
      </x:c>
      <x:c r="V247" s="27">
        <x:f>IF(S247="","",IF(COUNTIFS('درخت جدید'!$B:$B,S247&amp;"",'درخت جدید'!$A:$A,"معین")=0,D247,""))</x:f>
      </x:c>
      <x:c r="W247" s="27"/>
      <x:c r="X247" s="38"/>
    </x:row>
    <x:row r="248" spans="1:24">
      <x:c r="A248" s="21" t="s">
        <x:v>131</x:v>
      </x:c>
      <x:c r="B248" s="22" t="s">
        <x:v>239</x:v>
      </x:c>
      <x:c r="C248" s="22" t="s">
        <x:v>132</x:v>
      </x:c>
      <x:c r="D248" s="22" t="s">
        <x:v>473</x:v>
      </x:c>
      <x:c r="E248" s="22" t="s">
        <x:v>194</x:v>
      </x:c>
      <x:c r="F248" s="22" t="s">
        <x:v>194</x:v>
      </x:c>
      <x:c r="G248" s="22" t="s">
        <x:v>195</x:v>
      </x:c>
      <x:c r="H248" s="22">
        <x:v>3</x:v>
      </x:c>
      <x:c r="I248" s="22">
        <x:v>0</x:v>
      </x:c>
      <x:c r="J248" s="22">
        <x:v>0</x:v>
      </x:c>
      <x:c r="K248" s="23">
        <x:v>0</x:v>
      </x:c>
      <x:c r="L248" s="23">
        <x:v>0</x:v>
      </x:c>
      <x:c r="M248" s="23">
        <x:f>K248-L248</x:f>
      </x:c>
      <x:c r="N248" s="22" t="s">
        <x:v>351</x:v>
      </x:c>
      <x:c r="O248" s="24">
        <x:f>IFERROR(INDEX('تطبیق کل'!$J:$J,MATCH(A248&amp;"",'تطبیق کل'!$A:$A,0))&amp;"","")</x:f>
      </x:c>
      <x:c r="P248" s="24">
        <x:f>IF(O248="","",O248&amp;B248)</x:f>
      </x:c>
      <x:c r="Q248" s="24">
        <x:f>IF(P248="","",IFERROR(INDEX('درخت جدید'!$C:$C,MATCH(P248&amp;"",'درخت جدید'!$B:$B,0)),"— در درخت نیست؛ با نام قدیم ساخته می‌شود —"))</x:f>
      </x:c>
      <x:c r="R248" s="25"/>
      <x:c r="S248" s="26">
        <x:f>P248</x:f>
      </x:c>
      <x:c r="T248" s="22">
        <x:f>IF(S248="","",IFERROR(INDEX('درخت جدید'!$C:$C,MATCH(S248&amp;"",'درخت جدید'!$B:$B,0)),"(ساخته می‌شود) "&amp;V248))</x:f>
      </x:c>
      <x:c r="U248" s="22">
        <x:f>IF(S248="",IF(N248="بله","الزامی — تکمیل نشده",""),IF(AND(O248&lt;&gt;"",LEFT(S248&amp;"",4)&lt;&gt;O248),"زیر کل دیگری است — کل یا معین را اصلاح کنید",IF(AND(S248=P248,FALSE,W248=""),"تداخل: کد "&amp;S248&amp;" در برگهٔ درخت جدید با نام «"&amp;T248&amp;"» از قبل تعریف شده",IF(COUNTIFS('درخت جدید'!$B:$B,S248&amp;"",'درخت جدید'!$A:$A,"معین")=0,IF(V248="","کد در درخت نیست — نام برای تعریف را بنویسید","OK"),"OK"))))</x:f>
      </x:c>
      <x:c r="V248" s="27">
        <x:f>IF(S248="","",IF(COUNTIFS('درخت جدید'!$B:$B,S248&amp;"",'درخت جدید'!$A:$A,"معین")=0,D248,""))</x:f>
      </x:c>
      <x:c r="W248" s="27"/>
      <x:c r="X248" s="38"/>
    </x:row>
    <x:row r="249" spans="1:24">
      <x:c r="A249" s="21" t="s">
        <x:v>131</x:v>
      </x:c>
      <x:c r="B249" s="22" t="s">
        <x:v>270</x:v>
      </x:c>
      <x:c r="C249" s="22" t="s">
        <x:v>132</x:v>
      </x:c>
      <x:c r="D249" s="22" t="s">
        <x:v>474</x:v>
      </x:c>
      <x:c r="E249" s="22" t="s">
        <x:v>194</x:v>
      </x:c>
      <x:c r="F249" s="22" t="s">
        <x:v>194</x:v>
      </x:c>
      <x:c r="G249" s="22" t="s">
        <x:v>195</x:v>
      </x:c>
      <x:c r="H249" s="22">
        <x:v>1</x:v>
      </x:c>
      <x:c r="I249" s="22">
        <x:v>0</x:v>
      </x:c>
      <x:c r="J249" s="22">
        <x:v>0</x:v>
      </x:c>
      <x:c r="K249" s="23">
        <x:v>0</x:v>
      </x:c>
      <x:c r="L249" s="23">
        <x:v>0</x:v>
      </x:c>
      <x:c r="M249" s="23">
        <x:f>K249-L249</x:f>
      </x:c>
      <x:c r="N249" s="22" t="s">
        <x:v>351</x:v>
      </x:c>
      <x:c r="O249" s="24">
        <x:f>IFERROR(INDEX('تطبیق کل'!$J:$J,MATCH(A249&amp;"",'تطبیق کل'!$A:$A,0))&amp;"","")</x:f>
      </x:c>
      <x:c r="P249" s="24">
        <x:f>IF(O249="","",O249&amp;B249)</x:f>
      </x:c>
      <x:c r="Q249" s="24">
        <x:f>IF(P249="","",IFERROR(INDEX('درخت جدید'!$C:$C,MATCH(P249&amp;"",'درخت جدید'!$B:$B,0)),"— در درخت نیست؛ با نام قدیم ساخته می‌شود —"))</x:f>
      </x:c>
      <x:c r="R249" s="25"/>
      <x:c r="S249" s="26">
        <x:f>P249</x:f>
      </x:c>
      <x:c r="T249" s="22">
        <x:f>IF(S249="","",IFERROR(INDEX('درخت جدید'!$C:$C,MATCH(S249&amp;"",'درخت جدید'!$B:$B,0)),"(ساخته می‌شود) "&amp;V249))</x:f>
      </x:c>
      <x:c r="U249" s="22">
        <x:f>IF(S249="",IF(N249="بله","الزامی — تکمیل نشده",""),IF(AND(O249&lt;&gt;"",LEFT(S249&amp;"",4)&lt;&gt;O249),"زیر کل دیگری است — کل یا معین را اصلاح کنید",IF(AND(S249=P249,FALSE,W249=""),"تداخل: کد "&amp;S249&amp;" در برگهٔ درخت جدید با نام «"&amp;T249&amp;"» از قبل تعریف شده",IF(COUNTIFS('درخت جدید'!$B:$B,S249&amp;"",'درخت جدید'!$A:$A,"معین")=0,IF(V249="","کد در درخت نیست — نام برای تعریف را بنویسید","OK"),"OK"))))</x:f>
      </x:c>
      <x:c r="V249" s="27">
        <x:f>IF(S249="","",IF(COUNTIFS('درخت جدید'!$B:$B,S249&amp;"",'درخت جدید'!$A:$A,"معین")=0,D249,""))</x:f>
      </x:c>
      <x:c r="W249" s="27"/>
      <x:c r="X249" s="38"/>
    </x:row>
    <x:row r="250" spans="1:24">
      <x:c r="A250" s="21" t="s">
        <x:v>135</x:v>
      </x:c>
      <x:c r="B250" s="22" t="s">
        <x:v>300</x:v>
      </x:c>
      <x:c r="C250" s="22" t="s">
        <x:v>136</x:v>
      </x:c>
      <x:c r="D250" s="22" t="s">
        <x:v>475</x:v>
      </x:c>
      <x:c r="E250" s="22" t="s">
        <x:v>194</x:v>
      </x:c>
      <x:c r="F250" s="22" t="s">
        <x:v>195</x:v>
      </x:c>
      <x:c r="G250" s="22" t="s">
        <x:v>199</x:v>
      </x:c>
      <x:c r="H250" s="22">
        <x:v>11</x:v>
      </x:c>
      <x:c r="I250" s="22">
        <x:v>0</x:v>
      </x:c>
      <x:c r="J250" s="22">
        <x:v>0</x:v>
      </x:c>
      <x:c r="K250" s="23">
        <x:v>0</x:v>
      </x:c>
      <x:c r="L250" s="23">
        <x:v>0</x:v>
      </x:c>
      <x:c r="M250" s="23">
        <x:f>K250-L250</x:f>
      </x:c>
      <x:c r="N250" s="22" t="s">
        <x:v>351</x:v>
      </x:c>
      <x:c r="O250" s="24">
        <x:f>IFERROR(INDEX('تطبیق کل'!$J:$J,MATCH(A250&amp;"",'تطبیق کل'!$A:$A,0))&amp;"","")</x:f>
      </x:c>
      <x:c r="P250" s="24">
        <x:f>IF(O250="","",O250&amp;B250)</x:f>
      </x:c>
      <x:c r="Q250" s="24">
        <x:f>IF(P250="","",IFERROR(INDEX('درخت جدید'!$C:$C,MATCH(P250&amp;"",'درخت جدید'!$B:$B,0)),"— در درخت نیست؛ با نام قدیم ساخته می‌شود —"))</x:f>
      </x:c>
      <x:c r="R250" s="25"/>
      <x:c r="S250" s="26">
        <x:f>P250</x:f>
      </x:c>
      <x:c r="T250" s="22">
        <x:f>IF(S250="","",IFERROR(INDEX('درخت جدید'!$C:$C,MATCH(S250&amp;"",'درخت جدید'!$B:$B,0)),"(ساخته می‌شود) "&amp;V250))</x:f>
      </x:c>
      <x:c r="U250" s="22">
        <x:f>IF(S250="",IF(N250="بله","الزامی — تکمیل نشده",""),IF(AND(O250&lt;&gt;"",LEFT(S250&amp;"",4)&lt;&gt;O250),"زیر کل دیگری است — کل یا معین را اصلاح کنید",IF(AND(S250=P250,FALSE,W250=""),"تداخل: کد "&amp;S250&amp;" در برگهٔ درخت جدید با نام «"&amp;T250&amp;"» از قبل تعریف شده",IF(COUNTIFS('درخت جدید'!$B:$B,S250&amp;"",'درخت جدید'!$A:$A,"معین")=0,IF(V250="","کد در درخت نیست — نام برای تعریف را بنویسید","OK"),"OK"))))</x:f>
      </x:c>
      <x:c r="V250" s="27">
        <x:f>IF(S250="","",IF(COUNTIFS('درخت جدید'!$B:$B,S250&amp;"",'درخت جدید'!$A:$A,"معین")=0,D250,""))</x:f>
      </x:c>
      <x:c r="W250" s="27"/>
      <x:c r="X250" s="38"/>
    </x:row>
    <x:row r="251" spans="1:24">
      <x:c r="A251" s="21" t="s">
        <x:v>135</x:v>
      </x:c>
      <x:c r="B251" s="22" t="s">
        <x:v>174</x:v>
      </x:c>
      <x:c r="C251" s="22" t="s">
        <x:v>136</x:v>
      </x:c>
      <x:c r="D251" s="22" t="s">
        <x:v>465</x:v>
      </x:c>
      <x:c r="E251" s="22" t="s">
        <x:v>194</x:v>
      </x:c>
      <x:c r="F251" s="22" t="s">
        <x:v>195</x:v>
      </x:c>
      <x:c r="G251" s="22" t="s">
        <x:v>199</x:v>
      </x:c>
      <x:c r="H251" s="22">
        <x:v>13</x:v>
      </x:c>
      <x:c r="I251" s="22">
        <x:v>0</x:v>
      </x:c>
      <x:c r="J251" s="22">
        <x:v>0</x:v>
      </x:c>
      <x:c r="K251" s="23">
        <x:v>0</x:v>
      </x:c>
      <x:c r="L251" s="23">
        <x:v>0</x:v>
      </x:c>
      <x:c r="M251" s="23">
        <x:f>K251-L251</x:f>
      </x:c>
      <x:c r="N251" s="22" t="s">
        <x:v>351</x:v>
      </x:c>
      <x:c r="O251" s="24">
        <x:f>IFERROR(INDEX('تطبیق کل'!$J:$J,MATCH(A251&amp;"",'تطبیق کل'!$A:$A,0))&amp;"","")</x:f>
      </x:c>
      <x:c r="P251" s="24">
        <x:f>IF(O251="","",O251&amp;B251)</x:f>
      </x:c>
      <x:c r="Q251" s="24">
        <x:f>IF(P251="","",IFERROR(INDEX('درخت جدید'!$C:$C,MATCH(P251&amp;"",'درخت جدید'!$B:$B,0)),"— در درخت نیست؛ با نام قدیم ساخته می‌شود —"))</x:f>
      </x:c>
      <x:c r="R251" s="25"/>
      <x:c r="S251" s="26">
        <x:f>P251</x:f>
      </x:c>
      <x:c r="T251" s="22">
        <x:f>IF(S251="","",IFERROR(INDEX('درخت جدید'!$C:$C,MATCH(S251&amp;"",'درخت جدید'!$B:$B,0)),"(ساخته می‌شود) "&amp;V251))</x:f>
      </x:c>
      <x:c r="U251" s="22">
        <x:f>IF(S251="",IF(N251="بله","الزامی — تکمیل نشده",""),IF(AND(O251&lt;&gt;"",LEFT(S251&amp;"",4)&lt;&gt;O251),"زیر کل دیگری است — کل یا معین را اصلاح کنید",IF(AND(S251=P251,FALSE,W251=""),"تداخل: کد "&amp;S251&amp;" در برگهٔ درخت جدید با نام «"&amp;T251&amp;"» از قبل تعریف شده",IF(COUNTIFS('درخت جدید'!$B:$B,S251&amp;"",'درخت جدید'!$A:$A,"معین")=0,IF(V251="","کد در درخت نیست — نام برای تعریف را بنویسید","OK"),"OK"))))</x:f>
      </x:c>
      <x:c r="V251" s="27">
        <x:f>IF(S251="","",IF(COUNTIFS('درخت جدید'!$B:$B,S251&amp;"",'درخت جدید'!$A:$A,"معین")=0,D251,""))</x:f>
      </x:c>
      <x:c r="W251" s="27"/>
      <x:c r="X251" s="38"/>
    </x:row>
    <x:row r="252" spans="1:24">
      <x:c r="A252" s="21" t="s">
        <x:v>138</x:v>
      </x:c>
      <x:c r="B252" s="22" t="s">
        <x:v>268</x:v>
      </x:c>
      <x:c r="C252" s="22" t="s">
        <x:v>139</x:v>
      </x:c>
      <x:c r="D252" s="22" t="s">
        <x:v>476</x:v>
      </x:c>
      <x:c r="E252" s="22" t="s">
        <x:v>194</x:v>
      </x:c>
      <x:c r="F252" s="22" t="s">
        <x:v>195</x:v>
      </x:c>
      <x:c r="G252" s="22" t="s">
        <x:v>199</x:v>
      </x:c>
      <x:c r="H252" s="22">
        <x:v>1</x:v>
      </x:c>
      <x:c r="I252" s="22">
        <x:v>0</x:v>
      </x:c>
      <x:c r="J252" s="22">
        <x:v>0</x:v>
      </x:c>
      <x:c r="K252" s="23">
        <x:v>0</x:v>
      </x:c>
      <x:c r="L252" s="23">
        <x:v>0</x:v>
      </x:c>
      <x:c r="M252" s="23">
        <x:f>K252-L252</x:f>
      </x:c>
      <x:c r="N252" s="22" t="s">
        <x:v>351</x:v>
      </x:c>
      <x:c r="O252" s="24">
        <x:f>IFERROR(INDEX('تطبیق کل'!$J:$J,MATCH(A252&amp;"",'تطبیق کل'!$A:$A,0))&amp;"","")</x:f>
      </x:c>
      <x:c r="P252" s="24">
        <x:f>IF(O252="","",O252&amp;B252)</x:f>
      </x:c>
      <x:c r="Q252" s="24">
        <x:f>IF(P252="","",IFERROR(INDEX('درخت جدید'!$C:$C,MATCH(P252&amp;"",'درخت جدید'!$B:$B,0)),"— در درخت نیست؛ با نام قدیم ساخته می‌شود —"))</x:f>
      </x:c>
      <x:c r="R252" s="25"/>
      <x:c r="S252" s="26">
        <x:f>P252</x:f>
      </x:c>
      <x:c r="T252" s="22">
        <x:f>IF(S252="","",IFERROR(INDEX('درخت جدید'!$C:$C,MATCH(S252&amp;"",'درخت جدید'!$B:$B,0)),"(ساخته می‌شود) "&amp;V252))</x:f>
      </x:c>
      <x:c r="U252" s="22">
        <x:f>IF(S252="",IF(N252="بله","الزامی — تکمیل نشده",""),IF(AND(O252&lt;&gt;"",LEFT(S252&amp;"",4)&lt;&gt;O252),"زیر کل دیگری است — کل یا معین را اصلاح کنید",IF(AND(S252=P252,FALSE,W252=""),"تداخل: کد "&amp;S252&amp;" در برگهٔ درخت جدید با نام «"&amp;T252&amp;"» از قبل تعریف شده",IF(COUNTIFS('درخت جدید'!$B:$B,S252&amp;"",'درخت جدید'!$A:$A,"معین")=0,IF(V252="","کد در درخت نیست — نام برای تعریف را بنویسید","OK"),"OK"))))</x:f>
      </x:c>
      <x:c r="V252" s="27">
        <x:f>IF(S252="","",IF(COUNTIFS('درخت جدید'!$B:$B,S252&amp;"",'درخت جدید'!$A:$A,"معین")=0,D252,""))</x:f>
      </x:c>
      <x:c r="W252" s="27"/>
      <x:c r="X252" s="38"/>
    </x:row>
    <x:row r="253" spans="1:24">
      <x:c r="A253" s="21" t="s">
        <x:v>138</x:v>
      </x:c>
      <x:c r="B253" s="22" t="s">
        <x:v>300</x:v>
      </x:c>
      <x:c r="C253" s="22" t="s">
        <x:v>139</x:v>
      </x:c>
      <x:c r="D253" s="22" t="s">
        <x:v>477</x:v>
      </x:c>
      <x:c r="E253" s="22" t="s">
        <x:v>194</x:v>
      </x:c>
      <x:c r="F253" s="22" t="s">
        <x:v>195</x:v>
      </x:c>
      <x:c r="G253" s="22" t="s">
        <x:v>199</x:v>
      </x:c>
      <x:c r="H253" s="22">
        <x:v>18</x:v>
      </x:c>
      <x:c r="I253" s="22">
        <x:v>0</x:v>
      </x:c>
      <x:c r="J253" s="22">
        <x:v>0</x:v>
      </x:c>
      <x:c r="K253" s="23">
        <x:v>0</x:v>
      </x:c>
      <x:c r="L253" s="23">
        <x:v>0</x:v>
      </x:c>
      <x:c r="M253" s="23">
        <x:f>K253-L253</x:f>
      </x:c>
      <x:c r="N253" s="22" t="s">
        <x:v>351</x:v>
      </x:c>
      <x:c r="O253" s="24">
        <x:f>IFERROR(INDEX('تطبیق کل'!$J:$J,MATCH(A253&amp;"",'تطبیق کل'!$A:$A,0))&amp;"","")</x:f>
      </x:c>
      <x:c r="P253" s="24">
        <x:f>IF(O253="","",O253&amp;B253)</x:f>
      </x:c>
      <x:c r="Q253" s="24">
        <x:f>IF(P253="","",IFERROR(INDEX('درخت جدید'!$C:$C,MATCH(P253&amp;"",'درخت جدید'!$B:$B,0)),"— در درخت نیست؛ با نام قدیم ساخته می‌شود —"))</x:f>
      </x:c>
      <x:c r="R253" s="25"/>
      <x:c r="S253" s="26">
        <x:f>P253</x:f>
      </x:c>
      <x:c r="T253" s="22">
        <x:f>IF(S253="","",IFERROR(INDEX('درخت جدید'!$C:$C,MATCH(S253&amp;"",'درخت جدید'!$B:$B,0)),"(ساخته می‌شود) "&amp;V253))</x:f>
      </x:c>
      <x:c r="U253" s="22">
        <x:f>IF(S253="",IF(N253="بله","الزامی — تکمیل نشده",""),IF(AND(O253&lt;&gt;"",LEFT(S253&amp;"",4)&lt;&gt;O253),"زیر کل دیگری است — کل یا معین را اصلاح کنید",IF(AND(S253=P253,FALSE,W253=""),"تداخل: کد "&amp;S253&amp;" در برگهٔ درخت جدید با نام «"&amp;T253&amp;"» از قبل تعریف شده",IF(COUNTIFS('درخت جدید'!$B:$B,S253&amp;"",'درخت جدید'!$A:$A,"معین")=0,IF(V253="","کد در درخت نیست — نام برای تعریف را بنویسید","OK"),"OK"))))</x:f>
      </x:c>
      <x:c r="V253" s="27">
        <x:f>IF(S253="","",IF(COUNTIFS('درخت جدید'!$B:$B,S253&amp;"",'درخت جدید'!$A:$A,"معین")=0,D253,""))</x:f>
      </x:c>
      <x:c r="W253" s="27"/>
      <x:c r="X253" s="38"/>
    </x:row>
    <x:row r="254" spans="1:24">
      <x:c r="A254" s="21" t="s">
        <x:v>138</x:v>
      </x:c>
      <x:c r="B254" s="22" t="s">
        <x:v>272</x:v>
      </x:c>
      <x:c r="C254" s="22" t="s">
        <x:v>139</x:v>
      </x:c>
      <x:c r="D254" s="22" t="s">
        <x:v>478</x:v>
      </x:c>
      <x:c r="E254" s="22" t="s">
        <x:v>194</x:v>
      </x:c>
      <x:c r="F254" s="22" t="s">
        <x:v>195</x:v>
      </x:c>
      <x:c r="G254" s="22" t="s">
        <x:v>199</x:v>
      </x:c>
      <x:c r="H254" s="22">
        <x:v>1</x:v>
      </x:c>
      <x:c r="I254" s="22">
        <x:v>0</x:v>
      </x:c>
      <x:c r="J254" s="22">
        <x:v>0</x:v>
      </x:c>
      <x:c r="K254" s="23">
        <x:v>0</x:v>
      </x:c>
      <x:c r="L254" s="23">
        <x:v>0</x:v>
      </x:c>
      <x:c r="M254" s="23">
        <x:f>K254-L254</x:f>
      </x:c>
      <x:c r="N254" s="22" t="s">
        <x:v>351</x:v>
      </x:c>
      <x:c r="O254" s="24">
        <x:f>IFERROR(INDEX('تطبیق کل'!$J:$J,MATCH(A254&amp;"",'تطبیق کل'!$A:$A,0))&amp;"","")</x:f>
      </x:c>
      <x:c r="P254" s="24">
        <x:f>IF(O254="","",O254&amp;B254)</x:f>
      </x:c>
      <x:c r="Q254" s="24">
        <x:f>IF(P254="","",IFERROR(INDEX('درخت جدید'!$C:$C,MATCH(P254&amp;"",'درخت جدید'!$B:$B,0)),"— در درخت نیست؛ با نام قدیم ساخته می‌شود —"))</x:f>
      </x:c>
      <x:c r="R254" s="25"/>
      <x:c r="S254" s="26">
        <x:f>P254</x:f>
      </x:c>
      <x:c r="T254" s="22">
        <x:f>IF(S254="","",IFERROR(INDEX('درخت جدید'!$C:$C,MATCH(S254&amp;"",'درخت جدید'!$B:$B,0)),"(ساخته می‌شود) "&amp;V254))</x:f>
      </x:c>
      <x:c r="U254" s="22">
        <x:f>IF(S254="",IF(N254="بله","الزامی — تکمیل نشده",""),IF(AND(O254&lt;&gt;"",LEFT(S254&amp;"",4)&lt;&gt;O254),"زیر کل دیگری است — کل یا معین را اصلاح کنید",IF(AND(S254=P254,FALSE,W254=""),"تداخل: کد "&amp;S254&amp;" در برگهٔ درخت جدید با نام «"&amp;T254&amp;"» از قبل تعریف شده",IF(COUNTIFS('درخت جدید'!$B:$B,S254&amp;"",'درخت جدید'!$A:$A,"معین")=0,IF(V254="","کد در درخت نیست — نام برای تعریف را بنویسید","OK"),"OK"))))</x:f>
      </x:c>
      <x:c r="V254" s="27">
        <x:f>IF(S254="","",IF(COUNTIFS('درخت جدید'!$B:$B,S254&amp;"",'درخت جدید'!$A:$A,"معین")=0,D254,""))</x:f>
      </x:c>
      <x:c r="W254" s="27"/>
      <x:c r="X254" s="38"/>
    </x:row>
    <x:row r="255" spans="1:24">
      <x:c r="A255" s="21" t="s">
        <x:v>138</x:v>
      </x:c>
      <x:c r="B255" s="22" t="s">
        <x:v>305</x:v>
      </x:c>
      <x:c r="C255" s="22" t="s">
        <x:v>139</x:v>
      </x:c>
      <x:c r="D255" s="22" t="s">
        <x:v>479</x:v>
      </x:c>
      <x:c r="E255" s="22" t="s">
        <x:v>194</x:v>
      </x:c>
      <x:c r="F255" s="22" t="s">
        <x:v>195</x:v>
      </x:c>
      <x:c r="G255" s="22" t="s">
        <x:v>199</x:v>
      </x:c>
      <x:c r="H255" s="22">
        <x:v>3</x:v>
      </x:c>
      <x:c r="I255" s="22">
        <x:v>0</x:v>
      </x:c>
      <x:c r="J255" s="22">
        <x:v>0</x:v>
      </x:c>
      <x:c r="K255" s="23">
        <x:v>0</x:v>
      </x:c>
      <x:c r="L255" s="23">
        <x:v>0</x:v>
      </x:c>
      <x:c r="M255" s="23">
        <x:f>K255-L255</x:f>
      </x:c>
      <x:c r="N255" s="22" t="s">
        <x:v>351</x:v>
      </x:c>
      <x:c r="O255" s="24">
        <x:f>IFERROR(INDEX('تطبیق کل'!$J:$J,MATCH(A255&amp;"",'تطبیق کل'!$A:$A,0))&amp;"","")</x:f>
      </x:c>
      <x:c r="P255" s="24">
        <x:f>IF(O255="","",O255&amp;B255)</x:f>
      </x:c>
      <x:c r="Q255" s="24">
        <x:f>IF(P255="","",IFERROR(INDEX('درخت جدید'!$C:$C,MATCH(P255&amp;"",'درخت جدید'!$B:$B,0)),"— در درخت نیست؛ با نام قدیم ساخته می‌شود —"))</x:f>
      </x:c>
      <x:c r="R255" s="25"/>
      <x:c r="S255" s="26">
        <x:f>P255</x:f>
      </x:c>
      <x:c r="T255" s="22">
        <x:f>IF(S255="","",IFERROR(INDEX('درخت جدید'!$C:$C,MATCH(S255&amp;"",'درخت جدید'!$B:$B,0)),"(ساخته می‌شود) "&amp;V255))</x:f>
      </x:c>
      <x:c r="U255" s="22">
        <x:f>IF(S255="",IF(N255="بله","الزامی — تکمیل نشده",""),IF(AND(O255&lt;&gt;"",LEFT(S255&amp;"",4)&lt;&gt;O255),"زیر کل دیگری است — کل یا معین را اصلاح کنید",IF(AND(S255=P255,FALSE,W255=""),"تداخل: کد "&amp;S255&amp;" در برگهٔ درخت جدید با نام «"&amp;T255&amp;"» از قبل تعریف شده",IF(COUNTIFS('درخت جدید'!$B:$B,S255&amp;"",'درخت جدید'!$A:$A,"معین")=0,IF(V255="","کد در درخت نیست — نام برای تعریف را بنویسید","OK"),"OK"))))</x:f>
      </x:c>
      <x:c r="V255" s="27">
        <x:f>IF(S255="","",IF(COUNTIFS('درخت جدید'!$B:$B,S255&amp;"",'درخت جدید'!$A:$A,"معین")=0,D255,""))</x:f>
      </x:c>
      <x:c r="W255" s="27"/>
      <x:c r="X255" s="38"/>
    </x:row>
    <x:row r="256" spans="1:24">
      <x:c r="A256" s="21" t="s">
        <x:v>138</x:v>
      </x:c>
      <x:c r="B256" s="22" t="s">
        <x:v>202</x:v>
      </x:c>
      <x:c r="C256" s="22" t="s">
        <x:v>139</x:v>
      </x:c>
      <x:c r="D256" s="22" t="s">
        <x:v>480</x:v>
      </x:c>
      <x:c r="E256" s="22" t="s">
        <x:v>194</x:v>
      </x:c>
      <x:c r="F256" s="22" t="s">
        <x:v>195</x:v>
      </x:c>
      <x:c r="G256" s="22" t="s">
        <x:v>199</x:v>
      </x:c>
      <x:c r="H256" s="22">
        <x:v>4</x:v>
      </x:c>
      <x:c r="I256" s="22">
        <x:v>0</x:v>
      </x:c>
      <x:c r="J256" s="22">
        <x:v>0</x:v>
      </x:c>
      <x:c r="K256" s="23">
        <x:v>0</x:v>
      </x:c>
      <x:c r="L256" s="23">
        <x:v>0</x:v>
      </x:c>
      <x:c r="M256" s="23">
        <x:f>K256-L256</x:f>
      </x:c>
      <x:c r="N256" s="22" t="s">
        <x:v>351</x:v>
      </x:c>
      <x:c r="O256" s="24">
        <x:f>IFERROR(INDEX('تطبیق کل'!$J:$J,MATCH(A256&amp;"",'تطبیق کل'!$A:$A,0))&amp;"","")</x:f>
      </x:c>
      <x:c r="P256" s="24">
        <x:f>IF(O256="","",O256&amp;B256)</x:f>
      </x:c>
      <x:c r="Q256" s="24">
        <x:f>IF(P256="","",IFERROR(INDEX('درخت جدید'!$C:$C,MATCH(P256&amp;"",'درخت جدید'!$B:$B,0)),"— در درخت نیست؛ با نام قدیم ساخته می‌شود —"))</x:f>
      </x:c>
      <x:c r="R256" s="25"/>
      <x:c r="S256" s="26">
        <x:f>P256</x:f>
      </x:c>
      <x:c r="T256" s="22">
        <x:f>IF(S256="","",IFERROR(INDEX('درخت جدید'!$C:$C,MATCH(S256&amp;"",'درخت جدید'!$B:$B,0)),"(ساخته می‌شود) "&amp;V256))</x:f>
      </x:c>
      <x:c r="U256" s="22">
        <x:f>IF(S256="",IF(N256="بله","الزامی — تکمیل نشده",""),IF(AND(O256&lt;&gt;"",LEFT(S256&amp;"",4)&lt;&gt;O256),"زیر کل دیگری است — کل یا معین را اصلاح کنید",IF(AND(S256=P256,FALSE,W256=""),"تداخل: کد "&amp;S256&amp;" در برگهٔ درخت جدید با نام «"&amp;T256&amp;"» از قبل تعریف شده",IF(COUNTIFS('درخت جدید'!$B:$B,S256&amp;"",'درخت جدید'!$A:$A,"معین")=0,IF(V256="","کد در درخت نیست — نام برای تعریف را بنویسید","OK"),"OK"))))</x:f>
      </x:c>
      <x:c r="V256" s="27">
        <x:f>IF(S256="","",IF(COUNTIFS('درخت جدید'!$B:$B,S256&amp;"",'درخت جدید'!$A:$A,"معین")=0,D256,""))</x:f>
      </x:c>
      <x:c r="W256" s="27"/>
      <x:c r="X256" s="38"/>
    </x:row>
    <x:row r="257" spans="1:24">
      <x:c r="A257" s="21" t="s">
        <x:v>138</x:v>
      </x:c>
      <x:c r="B257" s="22" t="s">
        <x:v>27</x:v>
      </x:c>
      <x:c r="C257" s="22" t="s">
        <x:v>139</x:v>
      </x:c>
      <x:c r="D257" s="22" t="s">
        <x:v>481</x:v>
      </x:c>
      <x:c r="E257" s="22" t="s">
        <x:v>194</x:v>
      </x:c>
      <x:c r="F257" s="22" t="s">
        <x:v>195</x:v>
      </x:c>
      <x:c r="G257" s="22" t="s">
        <x:v>199</x:v>
      </x:c>
      <x:c r="H257" s="22">
        <x:v>3</x:v>
      </x:c>
      <x:c r="I257" s="22">
        <x:v>0</x:v>
      </x:c>
      <x:c r="J257" s="22">
        <x:v>0</x:v>
      </x:c>
      <x:c r="K257" s="23">
        <x:v>0</x:v>
      </x:c>
      <x:c r="L257" s="23">
        <x:v>0</x:v>
      </x:c>
      <x:c r="M257" s="23">
        <x:f>K257-L257</x:f>
      </x:c>
      <x:c r="N257" s="22" t="s">
        <x:v>351</x:v>
      </x:c>
      <x:c r="O257" s="24">
        <x:f>IFERROR(INDEX('تطبیق کل'!$J:$J,MATCH(A257&amp;"",'تطبیق کل'!$A:$A,0))&amp;"","")</x:f>
      </x:c>
      <x:c r="P257" s="24">
        <x:f>IF(O257="","",O257&amp;B257)</x:f>
      </x:c>
      <x:c r="Q257" s="24">
        <x:f>IF(P257="","",IFERROR(INDEX('درخت جدید'!$C:$C,MATCH(P257&amp;"",'درخت جدید'!$B:$B,0)),"— در درخت نیست؛ با نام قدیم ساخته می‌شود —"))</x:f>
      </x:c>
      <x:c r="R257" s="25"/>
      <x:c r="S257" s="26">
        <x:f>P257</x:f>
      </x:c>
      <x:c r="T257" s="22">
        <x:f>IF(S257="","",IFERROR(INDEX('درخت جدید'!$C:$C,MATCH(S257&amp;"",'درخت جدید'!$B:$B,0)),"(ساخته می‌شود) "&amp;V257))</x:f>
      </x:c>
      <x:c r="U257" s="22">
        <x:f>IF(S257="",IF(N257="بله","الزامی — تکمیل نشده",""),IF(AND(O257&lt;&gt;"",LEFT(S257&amp;"",4)&lt;&gt;O257),"زیر کل دیگری است — کل یا معین را اصلاح کنید",IF(AND(S257=P257,FALSE,W257=""),"تداخل: کد "&amp;S257&amp;" در برگهٔ درخت جدید با نام «"&amp;T257&amp;"» از قبل تعریف شده",IF(COUNTIFS('درخت جدید'!$B:$B,S257&amp;"",'درخت جدید'!$A:$A,"معین")=0,IF(V257="","کد در درخت نیست — نام برای تعریف را بنویسید","OK"),"OK"))))</x:f>
      </x:c>
      <x:c r="V257" s="27">
        <x:f>IF(S257="","",IF(COUNTIFS('درخت جدید'!$B:$B,S257&amp;"",'درخت جدید'!$A:$A,"معین")=0,D257,""))</x:f>
      </x:c>
      <x:c r="W257" s="27"/>
      <x:c r="X257" s="38"/>
    </x:row>
    <x:row r="258" spans="1:24">
      <x:c r="A258" s="21" t="s">
        <x:v>138</x:v>
      </x:c>
      <x:c r="B258" s="22" t="s">
        <x:v>315</x:v>
      </x:c>
      <x:c r="C258" s="22" t="s">
        <x:v>139</x:v>
      </x:c>
      <x:c r="D258" s="22" t="s">
        <x:v>482</x:v>
      </x:c>
      <x:c r="E258" s="22" t="s">
        <x:v>194</x:v>
      </x:c>
      <x:c r="F258" s="22" t="s">
        <x:v>195</x:v>
      </x:c>
      <x:c r="G258" s="22" t="s">
        <x:v>199</x:v>
      </x:c>
      <x:c r="H258" s="22">
        <x:v>4</x:v>
      </x:c>
      <x:c r="I258" s="22">
        <x:v>0</x:v>
      </x:c>
      <x:c r="J258" s="22">
        <x:v>0</x:v>
      </x:c>
      <x:c r="K258" s="23">
        <x:v>0</x:v>
      </x:c>
      <x:c r="L258" s="23">
        <x:v>0</x:v>
      </x:c>
      <x:c r="M258" s="23">
        <x:f>K258-L258</x:f>
      </x:c>
      <x:c r="N258" s="22" t="s">
        <x:v>351</x:v>
      </x:c>
      <x:c r="O258" s="24">
        <x:f>IFERROR(INDEX('تطبیق کل'!$J:$J,MATCH(A258&amp;"",'تطبیق کل'!$A:$A,0))&amp;"","")</x:f>
      </x:c>
      <x:c r="P258" s="24">
        <x:f>IF(O258="","",O258&amp;B258)</x:f>
      </x:c>
      <x:c r="Q258" s="24">
        <x:f>IF(P258="","",IFERROR(INDEX('درخت جدید'!$C:$C,MATCH(P258&amp;"",'درخت جدید'!$B:$B,0)),"— در درخت نیست؛ با نام قدیم ساخته می‌شود —"))</x:f>
      </x:c>
      <x:c r="R258" s="25"/>
      <x:c r="S258" s="26">
        <x:f>P258</x:f>
      </x:c>
      <x:c r="T258" s="22">
        <x:f>IF(S258="","",IFERROR(INDEX('درخت جدید'!$C:$C,MATCH(S258&amp;"",'درخت جدید'!$B:$B,0)),"(ساخته می‌شود) "&amp;V258))</x:f>
      </x:c>
      <x:c r="U258" s="22">
        <x:f>IF(S258="",IF(N258="بله","الزامی — تکمیل نشده",""),IF(AND(O258&lt;&gt;"",LEFT(S258&amp;"",4)&lt;&gt;O258),"زیر کل دیگری است — کل یا معین را اصلاح کنید",IF(AND(S258=P258,FALSE,W258=""),"تداخل: کد "&amp;S258&amp;" در برگهٔ درخت جدید با نام «"&amp;T258&amp;"» از قبل تعریف شده",IF(COUNTIFS('درخت جدید'!$B:$B,S258&amp;"",'درخت جدید'!$A:$A,"معین")=0,IF(V258="","کد در درخت نیست — نام برای تعریف را بنویسید","OK"),"OK"))))</x:f>
      </x:c>
      <x:c r="V258" s="27">
        <x:f>IF(S258="","",IF(COUNTIFS('درخت جدید'!$B:$B,S258&amp;"",'درخت جدید'!$A:$A,"معین")=0,D258,""))</x:f>
      </x:c>
      <x:c r="W258" s="27"/>
      <x:c r="X258" s="38"/>
    </x:row>
    <x:row r="259" spans="1:24">
      <x:c r="A259" s="21" t="s">
        <x:v>138</x:v>
      </x:c>
      <x:c r="B259" s="22" t="s">
        <x:v>247</x:v>
      </x:c>
      <x:c r="C259" s="22" t="s">
        <x:v>139</x:v>
      </x:c>
      <x:c r="D259" s="22" t="s">
        <x:v>483</x:v>
      </x:c>
      <x:c r="E259" s="22" t="s">
        <x:v>194</x:v>
      </x:c>
      <x:c r="F259" s="22" t="s">
        <x:v>195</x:v>
      </x:c>
      <x:c r="G259" s="22" t="s">
        <x:v>199</x:v>
      </x:c>
      <x:c r="H259" s="22">
        <x:v>1</x:v>
      </x:c>
      <x:c r="I259" s="22">
        <x:v>0</x:v>
      </x:c>
      <x:c r="J259" s="22">
        <x:v>0</x:v>
      </x:c>
      <x:c r="K259" s="23">
        <x:v>0</x:v>
      </x:c>
      <x:c r="L259" s="23">
        <x:v>0</x:v>
      </x:c>
      <x:c r="M259" s="23">
        <x:f>K259-L259</x:f>
      </x:c>
      <x:c r="N259" s="22" t="s">
        <x:v>351</x:v>
      </x:c>
      <x:c r="O259" s="24">
        <x:f>IFERROR(INDEX('تطبیق کل'!$J:$J,MATCH(A259&amp;"",'تطبیق کل'!$A:$A,0))&amp;"","")</x:f>
      </x:c>
      <x:c r="P259" s="24">
        <x:f>IF(O259="","",O259&amp;B259)</x:f>
      </x:c>
      <x:c r="Q259" s="24">
        <x:f>IF(P259="","",IFERROR(INDEX('درخت جدید'!$C:$C,MATCH(P259&amp;"",'درخت جدید'!$B:$B,0)),"— در درخت نیست؛ با نام قدیم ساخته می‌شود —"))</x:f>
      </x:c>
      <x:c r="R259" s="25"/>
      <x:c r="S259" s="26">
        <x:f>P259</x:f>
      </x:c>
      <x:c r="T259" s="22">
        <x:f>IF(S259="","",IFERROR(INDEX('درخت جدید'!$C:$C,MATCH(S259&amp;"",'درخت جدید'!$B:$B,0)),"(ساخته می‌شود) "&amp;V259))</x:f>
      </x:c>
      <x:c r="U259" s="22">
        <x:f>IF(S259="",IF(N259="بله","الزامی — تکمیل نشده",""),IF(AND(O259&lt;&gt;"",LEFT(S259&amp;"",4)&lt;&gt;O259),"زیر کل دیگری است — کل یا معین را اصلاح کنید",IF(AND(S259=P259,FALSE,W259=""),"تداخل: کد "&amp;S259&amp;" در برگهٔ درخت جدید با نام «"&amp;T259&amp;"» از قبل تعریف شده",IF(COUNTIFS('درخت جدید'!$B:$B,S259&amp;"",'درخت جدید'!$A:$A,"معین")=0,IF(V259="","کد در درخت نیست — نام برای تعریف را بنویسید","OK"),"OK"))))</x:f>
      </x:c>
      <x:c r="V259" s="27">
        <x:f>IF(S259="","",IF(COUNTIFS('درخت جدید'!$B:$B,S259&amp;"",'درخت جدید'!$A:$A,"معین")=0,D259,""))</x:f>
      </x:c>
      <x:c r="W259" s="27"/>
      <x:c r="X259" s="38"/>
    </x:row>
    <x:row r="260" spans="1:24">
      <x:c r="A260" s="21" t="s">
        <x:v>138</x:v>
      </x:c>
      <x:c r="B260" s="22" t="s">
        <x:v>197</x:v>
      </x:c>
      <x:c r="C260" s="22" t="s">
        <x:v>139</x:v>
      </x:c>
      <x:c r="D260" s="22" t="s">
        <x:v>484</x:v>
      </x:c>
      <x:c r="E260" s="22" t="s">
        <x:v>194</x:v>
      </x:c>
      <x:c r="F260" s="22" t="s">
        <x:v>195</x:v>
      </x:c>
      <x:c r="G260" s="22" t="s">
        <x:v>199</x:v>
      </x:c>
      <x:c r="H260" s="22">
        <x:v>3</x:v>
      </x:c>
      <x:c r="I260" s="22">
        <x:v>0</x:v>
      </x:c>
      <x:c r="J260" s="22">
        <x:v>0</x:v>
      </x:c>
      <x:c r="K260" s="23">
        <x:v>0</x:v>
      </x:c>
      <x:c r="L260" s="23">
        <x:v>0</x:v>
      </x:c>
      <x:c r="M260" s="23">
        <x:f>K260-L260</x:f>
      </x:c>
      <x:c r="N260" s="22" t="s">
        <x:v>351</x:v>
      </x:c>
      <x:c r="O260" s="24">
        <x:f>IFERROR(INDEX('تطبیق کل'!$J:$J,MATCH(A260&amp;"",'تطبیق کل'!$A:$A,0))&amp;"","")</x:f>
      </x:c>
      <x:c r="P260" s="24">
        <x:f>IF(O260="","",O260&amp;B260)</x:f>
      </x:c>
      <x:c r="Q260" s="24">
        <x:f>IF(P260="","",IFERROR(INDEX('درخت جدید'!$C:$C,MATCH(P260&amp;"",'درخت جدید'!$B:$B,0)),"— در درخت نیست؛ با نام قدیم ساخته می‌شود —"))</x:f>
      </x:c>
      <x:c r="R260" s="25"/>
      <x:c r="S260" s="26">
        <x:f>P260</x:f>
      </x:c>
      <x:c r="T260" s="22">
        <x:f>IF(S260="","",IFERROR(INDEX('درخت جدید'!$C:$C,MATCH(S260&amp;"",'درخت جدید'!$B:$B,0)),"(ساخته می‌شود) "&amp;V260))</x:f>
      </x:c>
      <x:c r="U260" s="22">
        <x:f>IF(S260="",IF(N260="بله","الزامی — تکمیل نشده",""),IF(AND(O260&lt;&gt;"",LEFT(S260&amp;"",4)&lt;&gt;O260),"زیر کل دیگری است — کل یا معین را اصلاح کنید",IF(AND(S260=P260,FALSE,W260=""),"تداخل: کد "&amp;S260&amp;" در برگهٔ درخت جدید با نام «"&amp;T260&amp;"» از قبل تعریف شده",IF(COUNTIFS('درخت جدید'!$B:$B,S260&amp;"",'درخت جدید'!$A:$A,"معین")=0,IF(V260="","کد در درخت نیست — نام برای تعریف را بنویسید","OK"),"OK"))))</x:f>
      </x:c>
      <x:c r="V260" s="27">
        <x:f>IF(S260="","",IF(COUNTIFS('درخت جدید'!$B:$B,S260&amp;"",'درخت جدید'!$A:$A,"معین")=0,D260,""))</x:f>
      </x:c>
      <x:c r="W260" s="27"/>
      <x:c r="X260" s="38"/>
    </x:row>
    <x:row r="261" spans="1:24">
      <x:c r="A261" s="21" t="s">
        <x:v>138</x:v>
      </x:c>
      <x:c r="B261" s="22" t="s">
        <x:v>38</x:v>
      </x:c>
      <x:c r="C261" s="22" t="s">
        <x:v>139</x:v>
      </x:c>
      <x:c r="D261" s="22" t="s">
        <x:v>485</x:v>
      </x:c>
      <x:c r="E261" s="22" t="s">
        <x:v>194</x:v>
      </x:c>
      <x:c r="F261" s="22" t="s">
        <x:v>195</x:v>
      </x:c>
      <x:c r="G261" s="22" t="s">
        <x:v>199</x:v>
      </x:c>
      <x:c r="H261" s="22">
        <x:v>2</x:v>
      </x:c>
      <x:c r="I261" s="22">
        <x:v>0</x:v>
      </x:c>
      <x:c r="J261" s="22">
        <x:v>0</x:v>
      </x:c>
      <x:c r="K261" s="23">
        <x:v>0</x:v>
      </x:c>
      <x:c r="L261" s="23">
        <x:v>0</x:v>
      </x:c>
      <x:c r="M261" s="23">
        <x:f>K261-L261</x:f>
      </x:c>
      <x:c r="N261" s="22" t="s">
        <x:v>351</x:v>
      </x:c>
      <x:c r="O261" s="24">
        <x:f>IFERROR(INDEX('تطبیق کل'!$J:$J,MATCH(A261&amp;"",'تطبیق کل'!$A:$A,0))&amp;"","")</x:f>
      </x:c>
      <x:c r="P261" s="24">
        <x:f>IF(O261="","",O261&amp;B261)</x:f>
      </x:c>
      <x:c r="Q261" s="24">
        <x:f>IF(P261="","",IFERROR(INDEX('درخت جدید'!$C:$C,MATCH(P261&amp;"",'درخت جدید'!$B:$B,0)),"— در درخت نیست؛ با نام قدیم ساخته می‌شود —"))</x:f>
      </x:c>
      <x:c r="R261" s="25"/>
      <x:c r="S261" s="26">
        <x:f>P261</x:f>
      </x:c>
      <x:c r="T261" s="22">
        <x:f>IF(S261="","",IFERROR(INDEX('درخت جدید'!$C:$C,MATCH(S261&amp;"",'درخت جدید'!$B:$B,0)),"(ساخته می‌شود) "&amp;V261))</x:f>
      </x:c>
      <x:c r="U261" s="22">
        <x:f>IF(S261="",IF(N261="بله","الزامی — تکمیل نشده",""),IF(AND(O261&lt;&gt;"",LEFT(S261&amp;"",4)&lt;&gt;O261),"زیر کل دیگری است — کل یا معین را اصلاح کنید",IF(AND(S261=P261,FALSE,W261=""),"تداخل: کد "&amp;S261&amp;" در برگهٔ درخت جدید با نام «"&amp;T261&amp;"» از قبل تعریف شده",IF(COUNTIFS('درخت جدید'!$B:$B,S261&amp;"",'درخت جدید'!$A:$A,"معین")=0,IF(V261="","کد در درخت نیست — نام برای تعریف را بنویسید","OK"),"OK"))))</x:f>
      </x:c>
      <x:c r="V261" s="27">
        <x:f>IF(S261="","",IF(COUNTIFS('درخت جدید'!$B:$B,S261&amp;"",'درخت جدید'!$A:$A,"معین")=0,D261,""))</x:f>
      </x:c>
      <x:c r="W261" s="27"/>
      <x:c r="X261" s="38"/>
    </x:row>
    <x:row r="262" spans="1:24">
      <x:c r="A262" s="21" t="s">
        <x:v>138</x:v>
      </x:c>
      <x:c r="B262" s="22" t="s">
        <x:v>262</x:v>
      </x:c>
      <x:c r="C262" s="22" t="s">
        <x:v>139</x:v>
      </x:c>
      <x:c r="D262" s="22" t="s">
        <x:v>486</x:v>
      </x:c>
      <x:c r="E262" s="22" t="s">
        <x:v>194</x:v>
      </x:c>
      <x:c r="F262" s="22" t="s">
        <x:v>195</x:v>
      </x:c>
      <x:c r="G262" s="22" t="s">
        <x:v>199</x:v>
      </x:c>
      <x:c r="H262" s="22">
        <x:v>1</x:v>
      </x:c>
      <x:c r="I262" s="22">
        <x:v>0</x:v>
      </x:c>
      <x:c r="J262" s="22">
        <x:v>0</x:v>
      </x:c>
      <x:c r="K262" s="23">
        <x:v>0</x:v>
      </x:c>
      <x:c r="L262" s="23">
        <x:v>0</x:v>
      </x:c>
      <x:c r="M262" s="23">
        <x:f>K262-L262</x:f>
      </x:c>
      <x:c r="N262" s="22" t="s">
        <x:v>351</x:v>
      </x:c>
      <x:c r="O262" s="24">
        <x:f>IFERROR(INDEX('تطبیق کل'!$J:$J,MATCH(A262&amp;"",'تطبیق کل'!$A:$A,0))&amp;"","")</x:f>
      </x:c>
      <x:c r="P262" s="24">
        <x:f>IF(O262="","",O262&amp;B262)</x:f>
      </x:c>
      <x:c r="Q262" s="24">
        <x:f>IF(P262="","",IFERROR(INDEX('درخت جدید'!$C:$C,MATCH(P262&amp;"",'درخت جدید'!$B:$B,0)),"— در درخت نیست؛ با نام قدیم ساخته می‌شود —"))</x:f>
      </x:c>
      <x:c r="R262" s="25"/>
      <x:c r="S262" s="26">
        <x:f>P262</x:f>
      </x:c>
      <x:c r="T262" s="22">
        <x:f>IF(S262="","",IFERROR(INDEX('درخت جدید'!$C:$C,MATCH(S262&amp;"",'درخت جدید'!$B:$B,0)),"(ساخته می‌شود) "&amp;V262))</x:f>
      </x:c>
      <x:c r="U262" s="22">
        <x:f>IF(S262="",IF(N262="بله","الزامی — تکمیل نشده",""),IF(AND(O262&lt;&gt;"",LEFT(S262&amp;"",4)&lt;&gt;O262),"زیر کل دیگری است — کل یا معین را اصلاح کنید",IF(AND(S262=P262,FALSE,W262=""),"تداخل: کد "&amp;S262&amp;" در برگهٔ درخت جدید با نام «"&amp;T262&amp;"» از قبل تعریف شده",IF(COUNTIFS('درخت جدید'!$B:$B,S262&amp;"",'درخت جدید'!$A:$A,"معین")=0,IF(V262="","کد در درخت نیست — نام برای تعریف را بنویسید","OK"),"OK"))))</x:f>
      </x:c>
      <x:c r="V262" s="27">
        <x:f>IF(S262="","",IF(COUNTIFS('درخت جدید'!$B:$B,S262&amp;"",'درخت جدید'!$A:$A,"معین")=0,D262,""))</x:f>
      </x:c>
      <x:c r="W262" s="27"/>
      <x:c r="X262" s="38"/>
    </x:row>
    <x:row r="263" spans="1:24">
      <x:c r="A263" s="21" t="s">
        <x:v>138</x:v>
      </x:c>
      <x:c r="B263" s="22" t="s">
        <x:v>321</x:v>
      </x:c>
      <x:c r="C263" s="22" t="s">
        <x:v>139</x:v>
      </x:c>
      <x:c r="D263" s="22" t="s">
        <x:v>487</x:v>
      </x:c>
      <x:c r="E263" s="22" t="s">
        <x:v>194</x:v>
      </x:c>
      <x:c r="F263" s="22" t="s">
        <x:v>195</x:v>
      </x:c>
      <x:c r="G263" s="22" t="s">
        <x:v>199</x:v>
      </x:c>
      <x:c r="H263" s="22">
        <x:v>3</x:v>
      </x:c>
      <x:c r="I263" s="22">
        <x:v>0</x:v>
      </x:c>
      <x:c r="J263" s="22">
        <x:v>0</x:v>
      </x:c>
      <x:c r="K263" s="23">
        <x:v>0</x:v>
      </x:c>
      <x:c r="L263" s="23">
        <x:v>0</x:v>
      </x:c>
      <x:c r="M263" s="23">
        <x:f>K263-L263</x:f>
      </x:c>
      <x:c r="N263" s="22" t="s">
        <x:v>351</x:v>
      </x:c>
      <x:c r="O263" s="24">
        <x:f>IFERROR(INDEX('تطبیق کل'!$J:$J,MATCH(A263&amp;"",'تطبیق کل'!$A:$A,0))&amp;"","")</x:f>
      </x:c>
      <x:c r="P263" s="24">
        <x:f>IF(O263="","",O263&amp;B263)</x:f>
      </x:c>
      <x:c r="Q263" s="24">
        <x:f>IF(P263="","",IFERROR(INDEX('درخت جدید'!$C:$C,MATCH(P263&amp;"",'درخت جدید'!$B:$B,0)),"— در درخت نیست؛ با نام قدیم ساخته می‌شود —"))</x:f>
      </x:c>
      <x:c r="R263" s="25"/>
      <x:c r="S263" s="26">
        <x:f>P263</x:f>
      </x:c>
      <x:c r="T263" s="22">
        <x:f>IF(S263="","",IFERROR(INDEX('درخت جدید'!$C:$C,MATCH(S263&amp;"",'درخت جدید'!$B:$B,0)),"(ساخته می‌شود) "&amp;V263))</x:f>
      </x:c>
      <x:c r="U263" s="22">
        <x:f>IF(S263="",IF(N263="بله","الزامی — تکمیل نشده",""),IF(AND(O263&lt;&gt;"",LEFT(S263&amp;"",4)&lt;&gt;O263),"زیر کل دیگری است — کل یا معین را اصلاح کنید",IF(AND(S263=P263,FALSE,W263=""),"تداخل: کد "&amp;S263&amp;" در برگهٔ درخت جدید با نام «"&amp;T263&amp;"» از قبل تعریف شده",IF(COUNTIFS('درخت جدید'!$B:$B,S263&amp;"",'درخت جدید'!$A:$A,"معین")=0,IF(V263="","کد در درخت نیست — نام برای تعریف را بنویسید","OK"),"OK"))))</x:f>
      </x:c>
      <x:c r="V263" s="27">
        <x:f>IF(S263="","",IF(COUNTIFS('درخت جدید'!$B:$B,S263&amp;"",'درخت جدید'!$A:$A,"معین")=0,D263,""))</x:f>
      </x:c>
      <x:c r="W263" s="27"/>
      <x:c r="X263" s="38"/>
    </x:row>
    <x:row r="264" spans="1:24">
      <x:c r="A264" s="21" t="s">
        <x:v>138</x:v>
      </x:c>
      <x:c r="B264" s="22" t="s">
        <x:v>323</x:v>
      </x:c>
      <x:c r="C264" s="22" t="s">
        <x:v>139</x:v>
      </x:c>
      <x:c r="D264" s="22" t="s">
        <x:v>488</x:v>
      </x:c>
      <x:c r="E264" s="22" t="s">
        <x:v>194</x:v>
      </x:c>
      <x:c r="F264" s="22" t="s">
        <x:v>195</x:v>
      </x:c>
      <x:c r="G264" s="22" t="s">
        <x:v>199</x:v>
      </x:c>
      <x:c r="H264" s="22">
        <x:v>4</x:v>
      </x:c>
      <x:c r="I264" s="22">
        <x:v>0</x:v>
      </x:c>
      <x:c r="J264" s="22">
        <x:v>0</x:v>
      </x:c>
      <x:c r="K264" s="23">
        <x:v>0</x:v>
      </x:c>
      <x:c r="L264" s="23">
        <x:v>0</x:v>
      </x:c>
      <x:c r="M264" s="23">
        <x:f>K264-L264</x:f>
      </x:c>
      <x:c r="N264" s="22" t="s">
        <x:v>351</x:v>
      </x:c>
      <x:c r="O264" s="24">
        <x:f>IFERROR(INDEX('تطبیق کل'!$J:$J,MATCH(A264&amp;"",'تطبیق کل'!$A:$A,0))&amp;"","")</x:f>
      </x:c>
      <x:c r="P264" s="24">
        <x:f>IF(O264="","",O264&amp;B264)</x:f>
      </x:c>
      <x:c r="Q264" s="24">
        <x:f>IF(P264="","",IFERROR(INDEX('درخت جدید'!$C:$C,MATCH(P264&amp;"",'درخت جدید'!$B:$B,0)),"— در درخت نیست؛ با نام قدیم ساخته می‌شود —"))</x:f>
      </x:c>
      <x:c r="R264" s="25"/>
      <x:c r="S264" s="26">
        <x:f>P264</x:f>
      </x:c>
      <x:c r="T264" s="22">
        <x:f>IF(S264="","",IFERROR(INDEX('درخت جدید'!$C:$C,MATCH(S264&amp;"",'درخت جدید'!$B:$B,0)),"(ساخته می‌شود) "&amp;V264))</x:f>
      </x:c>
      <x:c r="U264" s="22">
        <x:f>IF(S264="",IF(N264="بله","الزامی — تکمیل نشده",""),IF(AND(O264&lt;&gt;"",LEFT(S264&amp;"",4)&lt;&gt;O264),"زیر کل دیگری است — کل یا معین را اصلاح کنید",IF(AND(S264=P264,FALSE,W264=""),"تداخل: کد "&amp;S264&amp;" در برگهٔ درخت جدید با نام «"&amp;T264&amp;"» از قبل تعریف شده",IF(COUNTIFS('درخت جدید'!$B:$B,S264&amp;"",'درخت جدید'!$A:$A,"معین")=0,IF(V264="","کد در درخت نیست — نام برای تعریف را بنویسید","OK"),"OK"))))</x:f>
      </x:c>
      <x:c r="V264" s="27">
        <x:f>IF(S264="","",IF(COUNTIFS('درخت جدید'!$B:$B,S264&amp;"",'درخت جدید'!$A:$A,"معین")=0,D264,""))</x:f>
      </x:c>
      <x:c r="W264" s="27"/>
      <x:c r="X264" s="38"/>
    </x:row>
    <x:row r="265" spans="1:24">
      <x:c r="A265" s="21" t="s">
        <x:v>138</x:v>
      </x:c>
      <x:c r="B265" s="22" t="s">
        <x:v>205</x:v>
      </x:c>
      <x:c r="C265" s="22" t="s">
        <x:v>139</x:v>
      </x:c>
      <x:c r="D265" s="22" t="s">
        <x:v>489</x:v>
      </x:c>
      <x:c r="E265" s="22" t="s">
        <x:v>194</x:v>
      </x:c>
      <x:c r="F265" s="22" t="s">
        <x:v>195</x:v>
      </x:c>
      <x:c r="G265" s="22" t="s">
        <x:v>199</x:v>
      </x:c>
      <x:c r="H265" s="22">
        <x:v>4</x:v>
      </x:c>
      <x:c r="I265" s="22">
        <x:v>0</x:v>
      </x:c>
      <x:c r="J265" s="22">
        <x:v>0</x:v>
      </x:c>
      <x:c r="K265" s="23">
        <x:v>0</x:v>
      </x:c>
      <x:c r="L265" s="23">
        <x:v>0</x:v>
      </x:c>
      <x:c r="M265" s="23">
        <x:f>K265-L265</x:f>
      </x:c>
      <x:c r="N265" s="22" t="s">
        <x:v>351</x:v>
      </x:c>
      <x:c r="O265" s="24">
        <x:f>IFERROR(INDEX('تطبیق کل'!$J:$J,MATCH(A265&amp;"",'تطبیق کل'!$A:$A,0))&amp;"","")</x:f>
      </x:c>
      <x:c r="P265" s="24">
        <x:f>IF(O265="","",O265&amp;B265)</x:f>
      </x:c>
      <x:c r="Q265" s="24">
        <x:f>IF(P265="","",IFERROR(INDEX('درخت جدید'!$C:$C,MATCH(P265&amp;"",'درخت جدید'!$B:$B,0)),"— در درخت نیست؛ با نام قدیم ساخته می‌شود —"))</x:f>
      </x:c>
      <x:c r="R265" s="25"/>
      <x:c r="S265" s="26">
        <x:f>P265</x:f>
      </x:c>
      <x:c r="T265" s="22">
        <x:f>IF(S265="","",IFERROR(INDEX('درخت جدید'!$C:$C,MATCH(S265&amp;"",'درخت جدید'!$B:$B,0)),"(ساخته می‌شود) "&amp;V265))</x:f>
      </x:c>
      <x:c r="U265" s="22">
        <x:f>IF(S265="",IF(N265="بله","الزامی — تکمیل نشده",""),IF(AND(O265&lt;&gt;"",LEFT(S265&amp;"",4)&lt;&gt;O265),"زیر کل دیگری است — کل یا معین را اصلاح کنید",IF(AND(S265=P265,FALSE,W265=""),"تداخل: کد "&amp;S265&amp;" در برگهٔ درخت جدید با نام «"&amp;T265&amp;"» از قبل تعریف شده",IF(COUNTIFS('درخت جدید'!$B:$B,S265&amp;"",'درخت جدید'!$A:$A,"معین")=0,IF(V265="","کد در درخت نیست — نام برای تعریف را بنویسید","OK"),"OK"))))</x:f>
      </x:c>
      <x:c r="V265" s="27">
        <x:f>IF(S265="","",IF(COUNTIFS('درخت جدید'!$B:$B,S265&amp;"",'درخت جدید'!$A:$A,"معین")=0,D265,""))</x:f>
      </x:c>
      <x:c r="W265" s="27"/>
      <x:c r="X265" s="38"/>
    </x:row>
    <x:row r="266" spans="1:24">
      <x:c r="A266" s="21" t="s">
        <x:v>138</x:v>
      </x:c>
      <x:c r="B266" s="22" t="s">
        <x:v>45</x:v>
      </x:c>
      <x:c r="C266" s="22" t="s">
        <x:v>139</x:v>
      </x:c>
      <x:c r="D266" s="22" t="s">
        <x:v>432</x:v>
      </x:c>
      <x:c r="E266" s="22" t="s">
        <x:v>194</x:v>
      </x:c>
      <x:c r="F266" s="22" t="s">
        <x:v>195</x:v>
      </x:c>
      <x:c r="G266" s="22" t="s">
        <x:v>199</x:v>
      </x:c>
      <x:c r="H266" s="22">
        <x:v>1</x:v>
      </x:c>
      <x:c r="I266" s="22">
        <x:v>0</x:v>
      </x:c>
      <x:c r="J266" s="22">
        <x:v>0</x:v>
      </x:c>
      <x:c r="K266" s="23">
        <x:v>0</x:v>
      </x:c>
      <x:c r="L266" s="23">
        <x:v>0</x:v>
      </x:c>
      <x:c r="M266" s="23">
        <x:f>K266-L266</x:f>
      </x:c>
      <x:c r="N266" s="22" t="s">
        <x:v>351</x:v>
      </x:c>
      <x:c r="O266" s="24">
        <x:f>IFERROR(INDEX('تطبیق کل'!$J:$J,MATCH(A266&amp;"",'تطبیق کل'!$A:$A,0))&amp;"","")</x:f>
      </x:c>
      <x:c r="P266" s="24">
        <x:f>IF(O266="","",O266&amp;B266)</x:f>
      </x:c>
      <x:c r="Q266" s="24">
        <x:f>IF(P266="","",IFERROR(INDEX('درخت جدید'!$C:$C,MATCH(P266&amp;"",'درخت جدید'!$B:$B,0)),"— در درخت نیست؛ با نام قدیم ساخته می‌شود —"))</x:f>
      </x:c>
      <x:c r="R266" s="25"/>
      <x:c r="S266" s="26">
        <x:f>P266</x:f>
      </x:c>
      <x:c r="T266" s="22">
        <x:f>IF(S266="","",IFERROR(INDEX('درخت جدید'!$C:$C,MATCH(S266&amp;"",'درخت جدید'!$B:$B,0)),"(ساخته می‌شود) "&amp;V266))</x:f>
      </x:c>
      <x:c r="U266" s="22">
        <x:f>IF(S266="",IF(N266="بله","الزامی — تکمیل نشده",""),IF(AND(O266&lt;&gt;"",LEFT(S266&amp;"",4)&lt;&gt;O266),"زیر کل دیگری است — کل یا معین را اصلاح کنید",IF(AND(S266=P266,FALSE,W266=""),"تداخل: کد "&amp;S266&amp;" در برگهٔ درخت جدید با نام «"&amp;T266&amp;"» از قبل تعریف شده",IF(COUNTIFS('درخت جدید'!$B:$B,S266&amp;"",'درخت جدید'!$A:$A,"معین")=0,IF(V266="","کد در درخت نیست — نام برای تعریف را بنویسید","OK"),"OK"))))</x:f>
      </x:c>
      <x:c r="V266" s="27">
        <x:f>IF(S266="","",IF(COUNTIFS('درخت جدید'!$B:$B,S266&amp;"",'درخت جدید'!$A:$A,"معین")=0,D266,""))</x:f>
      </x:c>
      <x:c r="W266" s="27"/>
      <x:c r="X266" s="38"/>
    </x:row>
    <x:row r="267" spans="1:24">
      <x:c r="A267" s="21" t="s">
        <x:v>138</x:v>
      </x:c>
      <x:c r="B267" s="22" t="s">
        <x:v>49</x:v>
      </x:c>
      <x:c r="C267" s="22" t="s">
        <x:v>139</x:v>
      </x:c>
      <x:c r="D267" s="22" t="s">
        <x:v>490</x:v>
      </x:c>
      <x:c r="E267" s="22" t="s">
        <x:v>194</x:v>
      </x:c>
      <x:c r="F267" s="22" t="s">
        <x:v>195</x:v>
      </x:c>
      <x:c r="G267" s="22" t="s">
        <x:v>199</x:v>
      </x:c>
      <x:c r="H267" s="22">
        <x:v>2</x:v>
      </x:c>
      <x:c r="I267" s="22">
        <x:v>0</x:v>
      </x:c>
      <x:c r="J267" s="22">
        <x:v>0</x:v>
      </x:c>
      <x:c r="K267" s="23">
        <x:v>0</x:v>
      </x:c>
      <x:c r="L267" s="23">
        <x:v>0</x:v>
      </x:c>
      <x:c r="M267" s="23">
        <x:f>K267-L267</x:f>
      </x:c>
      <x:c r="N267" s="22" t="s">
        <x:v>351</x:v>
      </x:c>
      <x:c r="O267" s="24">
        <x:f>IFERROR(INDEX('تطبیق کل'!$J:$J,MATCH(A267&amp;"",'تطبیق کل'!$A:$A,0))&amp;"","")</x:f>
      </x:c>
      <x:c r="P267" s="24">
        <x:f>IF(O267="","",O267&amp;B267)</x:f>
      </x:c>
      <x:c r="Q267" s="24">
        <x:f>IF(P267="","",IFERROR(INDEX('درخت جدید'!$C:$C,MATCH(P267&amp;"",'درخت جدید'!$B:$B,0)),"— در درخت نیست؛ با نام قدیم ساخته می‌شود —"))</x:f>
      </x:c>
      <x:c r="R267" s="25"/>
      <x:c r="S267" s="26">
        <x:f>P267</x:f>
      </x:c>
      <x:c r="T267" s="22">
        <x:f>IF(S267="","",IFERROR(INDEX('درخت جدید'!$C:$C,MATCH(S267&amp;"",'درخت جدید'!$B:$B,0)),"(ساخته می‌شود) "&amp;V267))</x:f>
      </x:c>
      <x:c r="U267" s="22">
        <x:f>IF(S267="",IF(N267="بله","الزامی — تکمیل نشده",""),IF(AND(O267&lt;&gt;"",LEFT(S267&amp;"",4)&lt;&gt;O267),"زیر کل دیگری است — کل یا معین را اصلاح کنید",IF(AND(S267=P267,FALSE,W267=""),"تداخل: کد "&amp;S267&amp;" در برگهٔ درخت جدید با نام «"&amp;T267&amp;"» از قبل تعریف شده",IF(COUNTIFS('درخت جدید'!$B:$B,S267&amp;"",'درخت جدید'!$A:$A,"معین")=0,IF(V267="","کد در درخت نیست — نام برای تعریف را بنویسید","OK"),"OK"))))</x:f>
      </x:c>
      <x:c r="V267" s="27">
        <x:f>IF(S267="","",IF(COUNTIFS('درخت جدید'!$B:$B,S267&amp;"",'درخت جدید'!$A:$A,"معین")=0,D267,""))</x:f>
      </x:c>
      <x:c r="W267" s="27"/>
      <x:c r="X267" s="38"/>
    </x:row>
    <x:row r="268" spans="1:24">
      <x:c r="A268" s="21" t="s">
        <x:v>138</x:v>
      </x:c>
      <x:c r="B268" s="22" t="s">
        <x:v>52</x:v>
      </x:c>
      <x:c r="C268" s="22" t="s">
        <x:v>139</x:v>
      </x:c>
      <x:c r="D268" s="22" t="s">
        <x:v>491</x:v>
      </x:c>
      <x:c r="E268" s="22" t="s">
        <x:v>194</x:v>
      </x:c>
      <x:c r="F268" s="22" t="s">
        <x:v>195</x:v>
      </x:c>
      <x:c r="G268" s="22" t="s">
        <x:v>199</x:v>
      </x:c>
      <x:c r="H268" s="22">
        <x:v>1</x:v>
      </x:c>
      <x:c r="I268" s="22">
        <x:v>0</x:v>
      </x:c>
      <x:c r="J268" s="22">
        <x:v>0</x:v>
      </x:c>
      <x:c r="K268" s="23">
        <x:v>0</x:v>
      </x:c>
      <x:c r="L268" s="23">
        <x:v>0</x:v>
      </x:c>
      <x:c r="M268" s="23">
        <x:f>K268-L268</x:f>
      </x:c>
      <x:c r="N268" s="22" t="s">
        <x:v>351</x:v>
      </x:c>
      <x:c r="O268" s="24">
        <x:f>IFERROR(INDEX('تطبیق کل'!$J:$J,MATCH(A268&amp;"",'تطبیق کل'!$A:$A,0))&amp;"","")</x:f>
      </x:c>
      <x:c r="P268" s="24">
        <x:f>IF(O268="","",O268&amp;B268)</x:f>
      </x:c>
      <x:c r="Q268" s="24">
        <x:f>IF(P268="","",IFERROR(INDEX('درخت جدید'!$C:$C,MATCH(P268&amp;"",'درخت جدید'!$B:$B,0)),"— در درخت نیست؛ با نام قدیم ساخته می‌شود —"))</x:f>
      </x:c>
      <x:c r="R268" s="25"/>
      <x:c r="S268" s="26">
        <x:f>P268</x:f>
      </x:c>
      <x:c r="T268" s="22">
        <x:f>IF(S268="","",IFERROR(INDEX('درخت جدید'!$C:$C,MATCH(S268&amp;"",'درخت جدید'!$B:$B,0)),"(ساخته می‌شود) "&amp;V268))</x:f>
      </x:c>
      <x:c r="U268" s="22">
        <x:f>IF(S268="",IF(N268="بله","الزامی — تکمیل نشده",""),IF(AND(O268&lt;&gt;"",LEFT(S268&amp;"",4)&lt;&gt;O268),"زیر کل دیگری است — کل یا معین را اصلاح کنید",IF(AND(S268=P268,FALSE,W268=""),"تداخل: کد "&amp;S268&amp;" در برگهٔ درخت جدید با نام «"&amp;T268&amp;"» از قبل تعریف شده",IF(COUNTIFS('درخت جدید'!$B:$B,S268&amp;"",'درخت جدید'!$A:$A,"معین")=0,IF(V268="","کد در درخت نیست — نام برای تعریف را بنویسید","OK"),"OK"))))</x:f>
      </x:c>
      <x:c r="V268" s="27">
        <x:f>IF(S268="","",IF(COUNTIFS('درخت جدید'!$B:$B,S268&amp;"",'درخت جدید'!$A:$A,"معین")=0,D268,""))</x:f>
      </x:c>
      <x:c r="W268" s="27"/>
      <x:c r="X268" s="38"/>
    </x:row>
    <x:row r="269" spans="1:24">
      <x:c r="A269" s="21" t="s">
        <x:v>138</x:v>
      </x:c>
      <x:c r="B269" s="22" t="s">
        <x:v>55</x:v>
      </x:c>
      <x:c r="C269" s="22" t="s">
        <x:v>139</x:v>
      </x:c>
      <x:c r="D269" s="22" t="s">
        <x:v>492</x:v>
      </x:c>
      <x:c r="E269" s="22" t="s">
        <x:v>194</x:v>
      </x:c>
      <x:c r="F269" s="22" t="s">
        <x:v>195</x:v>
      </x:c>
      <x:c r="G269" s="22" t="s">
        <x:v>199</x:v>
      </x:c>
      <x:c r="H269" s="22">
        <x:v>1</x:v>
      </x:c>
      <x:c r="I269" s="22">
        <x:v>0</x:v>
      </x:c>
      <x:c r="J269" s="22">
        <x:v>0</x:v>
      </x:c>
      <x:c r="K269" s="23">
        <x:v>0</x:v>
      </x:c>
      <x:c r="L269" s="23">
        <x:v>0</x:v>
      </x:c>
      <x:c r="M269" s="23">
        <x:f>K269-L269</x:f>
      </x:c>
      <x:c r="N269" s="22" t="s">
        <x:v>351</x:v>
      </x:c>
      <x:c r="O269" s="24">
        <x:f>IFERROR(INDEX('تطبیق کل'!$J:$J,MATCH(A269&amp;"",'تطبیق کل'!$A:$A,0))&amp;"","")</x:f>
      </x:c>
      <x:c r="P269" s="24">
        <x:f>IF(O269="","",O269&amp;B269)</x:f>
      </x:c>
      <x:c r="Q269" s="24">
        <x:f>IF(P269="","",IFERROR(INDEX('درخت جدید'!$C:$C,MATCH(P269&amp;"",'درخت جدید'!$B:$B,0)),"— در درخت نیست؛ با نام قدیم ساخته می‌شود —"))</x:f>
      </x:c>
      <x:c r="R269" s="25"/>
      <x:c r="S269" s="26">
        <x:f>P269</x:f>
      </x:c>
      <x:c r="T269" s="22">
        <x:f>IF(S269="","",IFERROR(INDEX('درخت جدید'!$C:$C,MATCH(S269&amp;"",'درخت جدید'!$B:$B,0)),"(ساخته می‌شود) "&amp;V269))</x:f>
      </x:c>
      <x:c r="U269" s="22">
        <x:f>IF(S269="",IF(N269="بله","الزامی — تکمیل نشده",""),IF(AND(O269&lt;&gt;"",LEFT(S269&amp;"",4)&lt;&gt;O269),"زیر کل دیگری است — کل یا معین را اصلاح کنید",IF(AND(S269=P269,FALSE,W269=""),"تداخل: کد "&amp;S269&amp;" در برگهٔ درخت جدید با نام «"&amp;T269&amp;"» از قبل تعریف شده",IF(COUNTIFS('درخت جدید'!$B:$B,S269&amp;"",'درخت جدید'!$A:$A,"معین")=0,IF(V269="","کد در درخت نیست — نام برای تعریف را بنویسید","OK"),"OK"))))</x:f>
      </x:c>
      <x:c r="V269" s="27">
        <x:f>IF(S269="","",IF(COUNTIFS('درخت جدید'!$B:$B,S269&amp;"",'درخت جدید'!$A:$A,"معین")=0,D269,""))</x:f>
      </x:c>
      <x:c r="W269" s="27"/>
      <x:c r="X269" s="38"/>
    </x:row>
    <x:row r="270" spans="1:24">
      <x:c r="A270" s="21" t="s">
        <x:v>138</x:v>
      </x:c>
      <x:c r="B270" s="22" t="s">
        <x:v>59</x:v>
      </x:c>
      <x:c r="C270" s="22" t="s">
        <x:v>139</x:v>
      </x:c>
      <x:c r="D270" s="22" t="s">
        <x:v>493</x:v>
      </x:c>
      <x:c r="E270" s="22" t="s">
        <x:v>194</x:v>
      </x:c>
      <x:c r="F270" s="22" t="s">
        <x:v>195</x:v>
      </x:c>
      <x:c r="G270" s="22" t="s">
        <x:v>195</x:v>
      </x:c>
      <x:c r="H270" s="22">
        <x:v>5</x:v>
      </x:c>
      <x:c r="I270" s="22">
        <x:v>0</x:v>
      </x:c>
      <x:c r="J270" s="22">
        <x:v>0</x:v>
      </x:c>
      <x:c r="K270" s="23">
        <x:v>0</x:v>
      </x:c>
      <x:c r="L270" s="23">
        <x:v>0</x:v>
      </x:c>
      <x:c r="M270" s="23">
        <x:f>K270-L270</x:f>
      </x:c>
      <x:c r="N270" s="22" t="s">
        <x:v>351</x:v>
      </x:c>
      <x:c r="O270" s="24">
        <x:f>IFERROR(INDEX('تطبیق کل'!$J:$J,MATCH(A270&amp;"",'تطبیق کل'!$A:$A,0))&amp;"","")</x:f>
      </x:c>
      <x:c r="P270" s="24">
        <x:f>IF(O270="","",O270&amp;B270)</x:f>
      </x:c>
      <x:c r="Q270" s="24">
        <x:f>IF(P270="","",IFERROR(INDEX('درخت جدید'!$C:$C,MATCH(P270&amp;"",'درخت جدید'!$B:$B,0)),"— در درخت نیست؛ با نام قدیم ساخته می‌شود —"))</x:f>
      </x:c>
      <x:c r="R270" s="25"/>
      <x:c r="S270" s="26">
        <x:f>P270</x:f>
      </x:c>
      <x:c r="T270" s="22">
        <x:f>IF(S270="","",IFERROR(INDEX('درخت جدید'!$C:$C,MATCH(S270&amp;"",'درخت جدید'!$B:$B,0)),"(ساخته می‌شود) "&amp;V270))</x:f>
      </x:c>
      <x:c r="U270" s="22">
        <x:f>IF(S270="",IF(N270="بله","الزامی — تکمیل نشده",""),IF(AND(O270&lt;&gt;"",LEFT(S270&amp;"",4)&lt;&gt;O270),"زیر کل دیگری است — کل یا معین را اصلاح کنید",IF(AND(S270=P270,FALSE,W270=""),"تداخل: کد "&amp;S270&amp;" در برگهٔ درخت جدید با نام «"&amp;T270&amp;"» از قبل تعریف شده",IF(COUNTIFS('درخت جدید'!$B:$B,S270&amp;"",'درخت جدید'!$A:$A,"معین")=0,IF(V270="","کد در درخت نیست — نام برای تعریف را بنویسید","OK"),"OK"))))</x:f>
      </x:c>
      <x:c r="V270" s="27">
        <x:f>IF(S270="","",IF(COUNTIFS('درخت جدید'!$B:$B,S270&amp;"",'درخت جدید'!$A:$A,"معین")=0,D270,""))</x:f>
      </x:c>
      <x:c r="W270" s="27"/>
      <x:c r="X270" s="38"/>
    </x:row>
    <x:row r="271" spans="1:24">
      <x:c r="A271" s="21" t="s">
        <x:v>138</x:v>
      </x:c>
      <x:c r="B271" s="22" t="s">
        <x:v>398</x:v>
      </x:c>
      <x:c r="C271" s="22" t="s">
        <x:v>139</x:v>
      </x:c>
      <x:c r="D271" s="22" t="s">
        <x:v>494</x:v>
      </x:c>
      <x:c r="E271" s="22" t="s">
        <x:v>194</x:v>
      </x:c>
      <x:c r="F271" s="22" t="s">
        <x:v>195</x:v>
      </x:c>
      <x:c r="G271" s="22" t="s">
        <x:v>199</x:v>
      </x:c>
      <x:c r="H271" s="22">
        <x:v>6</x:v>
      </x:c>
      <x:c r="I271" s="22">
        <x:v>0</x:v>
      </x:c>
      <x:c r="J271" s="22">
        <x:v>0</x:v>
      </x:c>
      <x:c r="K271" s="23">
        <x:v>0</x:v>
      </x:c>
      <x:c r="L271" s="23">
        <x:v>0</x:v>
      </x:c>
      <x:c r="M271" s="23">
        <x:f>K271-L271</x:f>
      </x:c>
      <x:c r="N271" s="22" t="s">
        <x:v>351</x:v>
      </x:c>
      <x:c r="O271" s="24">
        <x:f>IFERROR(INDEX('تطبیق کل'!$J:$J,MATCH(A271&amp;"",'تطبیق کل'!$A:$A,0))&amp;"","")</x:f>
      </x:c>
      <x:c r="P271" s="24">
        <x:f>IF(O271="","",O271&amp;B271)</x:f>
      </x:c>
      <x:c r="Q271" s="24">
        <x:f>IF(P271="","",IFERROR(INDEX('درخت جدید'!$C:$C,MATCH(P271&amp;"",'درخت جدید'!$B:$B,0)),"— در درخت نیست؛ با نام قدیم ساخته می‌شود —"))</x:f>
      </x:c>
      <x:c r="R271" s="25"/>
      <x:c r="S271" s="26">
        <x:f>P271</x:f>
      </x:c>
      <x:c r="T271" s="22">
        <x:f>IF(S271="","",IFERROR(INDEX('درخت جدید'!$C:$C,MATCH(S271&amp;"",'درخت جدید'!$B:$B,0)),"(ساخته می‌شود) "&amp;V271))</x:f>
      </x:c>
      <x:c r="U271" s="22">
        <x:f>IF(S271="",IF(N271="بله","الزامی — تکمیل نشده",""),IF(AND(O271&lt;&gt;"",LEFT(S271&amp;"",4)&lt;&gt;O271),"زیر کل دیگری است — کل یا معین را اصلاح کنید",IF(AND(S271=P271,FALSE,W271=""),"تداخل: کد "&amp;S271&amp;" در برگهٔ درخت جدید با نام «"&amp;T271&amp;"» از قبل تعریف شده",IF(COUNTIFS('درخت جدید'!$B:$B,S271&amp;"",'درخت جدید'!$A:$A,"معین")=0,IF(V271="","کد در درخت نیست — نام برای تعریف را بنویسید","OK"),"OK"))))</x:f>
      </x:c>
      <x:c r="V271" s="27">
        <x:f>IF(S271="","",IF(COUNTIFS('درخت جدید'!$B:$B,S271&amp;"",'درخت جدید'!$A:$A,"معین")=0,D271,""))</x:f>
      </x:c>
      <x:c r="W271" s="27"/>
      <x:c r="X271" s="38"/>
    </x:row>
    <x:row r="272" spans="1:24">
      <x:c r="A272" s="21" t="s">
        <x:v>138</x:v>
      </x:c>
      <x:c r="B272" s="22" t="s">
        <x:v>327</x:v>
      </x:c>
      <x:c r="C272" s="22" t="s">
        <x:v>139</x:v>
      </x:c>
      <x:c r="D272" s="22" t="s">
        <x:v>495</x:v>
      </x:c>
      <x:c r="E272" s="22" t="s">
        <x:v>194</x:v>
      </x:c>
      <x:c r="F272" s="22" t="s">
        <x:v>195</x:v>
      </x:c>
      <x:c r="G272" s="22" t="s">
        <x:v>195</x:v>
      </x:c>
      <x:c r="H272" s="22">
        <x:v>3</x:v>
      </x:c>
      <x:c r="I272" s="22">
        <x:v>0</x:v>
      </x:c>
      <x:c r="J272" s="22">
        <x:v>0</x:v>
      </x:c>
      <x:c r="K272" s="23">
        <x:v>0</x:v>
      </x:c>
      <x:c r="L272" s="23">
        <x:v>0</x:v>
      </x:c>
      <x:c r="M272" s="23">
        <x:f>K272-L272</x:f>
      </x:c>
      <x:c r="N272" s="22" t="s">
        <x:v>351</x:v>
      </x:c>
      <x:c r="O272" s="24">
        <x:f>IFERROR(INDEX('تطبیق کل'!$J:$J,MATCH(A272&amp;"",'تطبیق کل'!$A:$A,0))&amp;"","")</x:f>
      </x:c>
      <x:c r="P272" s="24">
        <x:f>IF(O272="","",O272&amp;B272)</x:f>
      </x:c>
      <x:c r="Q272" s="24">
        <x:f>IF(P272="","",IFERROR(INDEX('درخت جدید'!$C:$C,MATCH(P272&amp;"",'درخت جدید'!$B:$B,0)),"— در درخت نیست؛ با نام قدیم ساخته می‌شود —"))</x:f>
      </x:c>
      <x:c r="R272" s="25"/>
      <x:c r="S272" s="26">
        <x:f>P272</x:f>
      </x:c>
      <x:c r="T272" s="22">
        <x:f>IF(S272="","",IFERROR(INDEX('درخت جدید'!$C:$C,MATCH(S272&amp;"",'درخت جدید'!$B:$B,0)),"(ساخته می‌شود) "&amp;V272))</x:f>
      </x:c>
      <x:c r="U272" s="22">
        <x:f>IF(S272="",IF(N272="بله","الزامی — تکمیل نشده",""),IF(AND(O272&lt;&gt;"",LEFT(S272&amp;"",4)&lt;&gt;O272),"زیر کل دیگری است — کل یا معین را اصلاح کنید",IF(AND(S272=P272,FALSE,W272=""),"تداخل: کد "&amp;S272&amp;" در برگهٔ درخت جدید با نام «"&amp;T272&amp;"» از قبل تعریف شده",IF(COUNTIFS('درخت جدید'!$B:$B,S272&amp;"",'درخت جدید'!$A:$A,"معین")=0,IF(V272="","کد در درخت نیست — نام برای تعریف را بنویسید","OK"),"OK"))))</x:f>
      </x:c>
      <x:c r="V272" s="27">
        <x:f>IF(S272="","",IF(COUNTIFS('درخت جدید'!$B:$B,S272&amp;"",'درخت جدید'!$A:$A,"معین")=0,D272,""))</x:f>
      </x:c>
      <x:c r="W272" s="27"/>
      <x:c r="X272" s="38"/>
    </x:row>
    <x:row r="273" spans="1:24">
      <x:c r="A273" s="21" t="s">
        <x:v>138</x:v>
      </x:c>
      <x:c r="B273" s="22" t="s">
        <x:v>200</x:v>
      </x:c>
      <x:c r="C273" s="22" t="s">
        <x:v>139</x:v>
      </x:c>
      <x:c r="D273" s="22" t="s">
        <x:v>496</x:v>
      </x:c>
      <x:c r="E273" s="22" t="s">
        <x:v>194</x:v>
      </x:c>
      <x:c r="F273" s="22" t="s">
        <x:v>195</x:v>
      </x:c>
      <x:c r="G273" s="22" t="s">
        <x:v>195</x:v>
      </x:c>
      <x:c r="H273" s="22">
        <x:v>3</x:v>
      </x:c>
      <x:c r="I273" s="22">
        <x:v>0</x:v>
      </x:c>
      <x:c r="J273" s="22">
        <x:v>0</x:v>
      </x:c>
      <x:c r="K273" s="23">
        <x:v>0</x:v>
      </x:c>
      <x:c r="L273" s="23">
        <x:v>0</x:v>
      </x:c>
      <x:c r="M273" s="23">
        <x:f>K273-L273</x:f>
      </x:c>
      <x:c r="N273" s="22" t="s">
        <x:v>351</x:v>
      </x:c>
      <x:c r="O273" s="24">
        <x:f>IFERROR(INDEX('تطبیق کل'!$J:$J,MATCH(A273&amp;"",'تطبیق کل'!$A:$A,0))&amp;"","")</x:f>
      </x:c>
      <x:c r="P273" s="24">
        <x:f>IF(O273="","",O273&amp;B273)</x:f>
      </x:c>
      <x:c r="Q273" s="24">
        <x:f>IF(P273="","",IFERROR(INDEX('درخت جدید'!$C:$C,MATCH(P273&amp;"",'درخت جدید'!$B:$B,0)),"— در درخت نیست؛ با نام قدیم ساخته می‌شود —"))</x:f>
      </x:c>
      <x:c r="R273" s="25"/>
      <x:c r="S273" s="26">
        <x:f>P273</x:f>
      </x:c>
      <x:c r="T273" s="22">
        <x:f>IF(S273="","",IFERROR(INDEX('درخت جدید'!$C:$C,MATCH(S273&amp;"",'درخت جدید'!$B:$B,0)),"(ساخته می‌شود) "&amp;V273))</x:f>
      </x:c>
      <x:c r="U273" s="22">
        <x:f>IF(S273="",IF(N273="بله","الزامی — تکمیل نشده",""),IF(AND(O273&lt;&gt;"",LEFT(S273&amp;"",4)&lt;&gt;O273),"زیر کل دیگری است — کل یا معین را اصلاح کنید",IF(AND(S273=P273,FALSE,W273=""),"تداخل: کد "&amp;S273&amp;" در برگهٔ درخت جدید با نام «"&amp;T273&amp;"» از قبل تعریف شده",IF(COUNTIFS('درخت جدید'!$B:$B,S273&amp;"",'درخت جدید'!$A:$A,"معین")=0,IF(V273="","کد در درخت نیست — نام برای تعریف را بنویسید","OK"),"OK"))))</x:f>
      </x:c>
      <x:c r="V273" s="27">
        <x:f>IF(S273="","",IF(COUNTIFS('درخت جدید'!$B:$B,S273&amp;"",'درخت جدید'!$A:$A,"معین")=0,D273,""))</x:f>
      </x:c>
      <x:c r="W273" s="27"/>
      <x:c r="X273" s="38"/>
    </x:row>
    <x:row r="274" spans="1:24">
      <x:c r="A274" s="21" t="s">
        <x:v>138</x:v>
      </x:c>
      <x:c r="B274" s="22" t="s">
        <x:v>73</x:v>
      </x:c>
      <x:c r="C274" s="22" t="s">
        <x:v>139</x:v>
      </x:c>
      <x:c r="D274" s="22" t="s">
        <x:v>497</x:v>
      </x:c>
      <x:c r="E274" s="22" t="s">
        <x:v>194</x:v>
      </x:c>
      <x:c r="F274" s="22" t="s">
        <x:v>195</x:v>
      </x:c>
      <x:c r="G274" s="22" t="s">
        <x:v>195</x:v>
      </x:c>
      <x:c r="H274" s="22">
        <x:v>2</x:v>
      </x:c>
      <x:c r="I274" s="22">
        <x:v>0</x:v>
      </x:c>
      <x:c r="J274" s="22">
        <x:v>0</x:v>
      </x:c>
      <x:c r="K274" s="23">
        <x:v>0</x:v>
      </x:c>
      <x:c r="L274" s="23">
        <x:v>0</x:v>
      </x:c>
      <x:c r="M274" s="23">
        <x:f>K274-L274</x:f>
      </x:c>
      <x:c r="N274" s="22" t="s">
        <x:v>351</x:v>
      </x:c>
      <x:c r="O274" s="24">
        <x:f>IFERROR(INDEX('تطبیق کل'!$J:$J,MATCH(A274&amp;"",'تطبیق کل'!$A:$A,0))&amp;"","")</x:f>
      </x:c>
      <x:c r="P274" s="24">
        <x:f>IF(O274="","",O274&amp;B274)</x:f>
      </x:c>
      <x:c r="Q274" s="24">
        <x:f>IF(P274="","",IFERROR(INDEX('درخت جدید'!$C:$C,MATCH(P274&amp;"",'درخت جدید'!$B:$B,0)),"— در درخت نیست؛ با نام قدیم ساخته می‌شود —"))</x:f>
      </x:c>
      <x:c r="R274" s="25"/>
      <x:c r="S274" s="26">
        <x:f>P274</x:f>
      </x:c>
      <x:c r="T274" s="22">
        <x:f>IF(S274="","",IFERROR(INDEX('درخت جدید'!$C:$C,MATCH(S274&amp;"",'درخت جدید'!$B:$B,0)),"(ساخته می‌شود) "&amp;V274))</x:f>
      </x:c>
      <x:c r="U274" s="22">
        <x:f>IF(S274="",IF(N274="بله","الزامی — تکمیل نشده",""),IF(AND(O274&lt;&gt;"",LEFT(S274&amp;"",4)&lt;&gt;O274),"زیر کل دیگری است — کل یا معین را اصلاح کنید",IF(AND(S274=P274,FALSE,W274=""),"تداخل: کد "&amp;S274&amp;" در برگهٔ درخت جدید با نام «"&amp;T274&amp;"» از قبل تعریف شده",IF(COUNTIFS('درخت جدید'!$B:$B,S274&amp;"",'درخت جدید'!$A:$A,"معین")=0,IF(V274="","کد در درخت نیست — نام برای تعریف را بنویسید","OK"),"OK"))))</x:f>
      </x:c>
      <x:c r="V274" s="27">
        <x:f>IF(S274="","",IF(COUNTIFS('درخت جدید'!$B:$B,S274&amp;"",'درخت جدید'!$A:$A,"معین")=0,D274,""))</x:f>
      </x:c>
      <x:c r="W274" s="27"/>
      <x:c r="X274" s="38"/>
    </x:row>
    <x:row r="275" spans="1:24">
      <x:c r="A275" s="21" t="s">
        <x:v>138</x:v>
      </x:c>
      <x:c r="B275" s="22" t="s">
        <x:v>77</x:v>
      </x:c>
      <x:c r="C275" s="22" t="s">
        <x:v>139</x:v>
      </x:c>
      <x:c r="D275" s="22" t="s">
        <x:v>498</x:v>
      </x:c>
      <x:c r="E275" s="22" t="s">
        <x:v>194</x:v>
      </x:c>
      <x:c r="F275" s="22" t="s">
        <x:v>195</x:v>
      </x:c>
      <x:c r="G275" s="22" t="s">
        <x:v>195</x:v>
      </x:c>
      <x:c r="H275" s="22">
        <x:v>3</x:v>
      </x:c>
      <x:c r="I275" s="22">
        <x:v>0</x:v>
      </x:c>
      <x:c r="J275" s="22">
        <x:v>0</x:v>
      </x:c>
      <x:c r="K275" s="23">
        <x:v>0</x:v>
      </x:c>
      <x:c r="L275" s="23">
        <x:v>0</x:v>
      </x:c>
      <x:c r="M275" s="23">
        <x:f>K275-L275</x:f>
      </x:c>
      <x:c r="N275" s="22" t="s">
        <x:v>351</x:v>
      </x:c>
      <x:c r="O275" s="24">
        <x:f>IFERROR(INDEX('تطبیق کل'!$J:$J,MATCH(A275&amp;"",'تطبیق کل'!$A:$A,0))&amp;"","")</x:f>
      </x:c>
      <x:c r="P275" s="24">
        <x:f>IF(O275="","",O275&amp;B275)</x:f>
      </x:c>
      <x:c r="Q275" s="24">
        <x:f>IF(P275="","",IFERROR(INDEX('درخت جدید'!$C:$C,MATCH(P275&amp;"",'درخت جدید'!$B:$B,0)),"— در درخت نیست؛ با نام قدیم ساخته می‌شود —"))</x:f>
      </x:c>
      <x:c r="R275" s="25"/>
      <x:c r="S275" s="26">
        <x:f>P275</x:f>
      </x:c>
      <x:c r="T275" s="22">
        <x:f>IF(S275="","",IFERROR(INDEX('درخت جدید'!$C:$C,MATCH(S275&amp;"",'درخت جدید'!$B:$B,0)),"(ساخته می‌شود) "&amp;V275))</x:f>
      </x:c>
      <x:c r="U275" s="22">
        <x:f>IF(S275="",IF(N275="بله","الزامی — تکمیل نشده",""),IF(AND(O275&lt;&gt;"",LEFT(S275&amp;"",4)&lt;&gt;O275),"زیر کل دیگری است — کل یا معین را اصلاح کنید",IF(AND(S275=P275,FALSE,W275=""),"تداخل: کد "&amp;S275&amp;" در برگهٔ درخت جدید با نام «"&amp;T275&amp;"» از قبل تعریف شده",IF(COUNTIFS('درخت جدید'!$B:$B,S275&amp;"",'درخت جدید'!$A:$A,"معین")=0,IF(V275="","کد در درخت نیست — نام برای تعریف را بنویسید","OK"),"OK"))))</x:f>
      </x:c>
      <x:c r="V275" s="27">
        <x:f>IF(S275="","",IF(COUNTIFS('درخت جدید'!$B:$B,S275&amp;"",'درخت جدید'!$A:$A,"معین")=0,D275,""))</x:f>
      </x:c>
      <x:c r="W275" s="27"/>
      <x:c r="X275" s="38"/>
    </x:row>
    <x:row r="276" spans="1:24">
      <x:c r="A276" s="21" t="s">
        <x:v>138</x:v>
      </x:c>
      <x:c r="B276" s="22" t="s">
        <x:v>174</x:v>
      </x:c>
      <x:c r="C276" s="22" t="s">
        <x:v>139</x:v>
      </x:c>
      <x:c r="D276" s="22" t="s">
        <x:v>465</x:v>
      </x:c>
      <x:c r="E276" s="22" t="s">
        <x:v>194</x:v>
      </x:c>
      <x:c r="F276" s="22" t="s">
        <x:v>195</x:v>
      </x:c>
      <x:c r="G276" s="22" t="s">
        <x:v>199</x:v>
      </x:c>
      <x:c r="H276" s="22">
        <x:v>58</x:v>
      </x:c>
      <x:c r="I276" s="22">
        <x:v>0</x:v>
      </x:c>
      <x:c r="J276" s="22">
        <x:v>0</x:v>
      </x:c>
      <x:c r="K276" s="23">
        <x:v>0</x:v>
      </x:c>
      <x:c r="L276" s="23">
        <x:v>0</x:v>
      </x:c>
      <x:c r="M276" s="23">
        <x:f>K276-L276</x:f>
      </x:c>
      <x:c r="N276" s="22" t="s">
        <x:v>351</x:v>
      </x:c>
      <x:c r="O276" s="24">
        <x:f>IFERROR(INDEX('تطبیق کل'!$J:$J,MATCH(A276&amp;"",'تطبیق کل'!$A:$A,0))&amp;"","")</x:f>
      </x:c>
      <x:c r="P276" s="24">
        <x:f>IF(O276="","",O276&amp;B276)</x:f>
      </x:c>
      <x:c r="Q276" s="24">
        <x:f>IF(P276="","",IFERROR(INDEX('درخت جدید'!$C:$C,MATCH(P276&amp;"",'درخت جدید'!$B:$B,0)),"— در درخت نیست؛ با نام قدیم ساخته می‌شود —"))</x:f>
      </x:c>
      <x:c r="R276" s="25"/>
      <x:c r="S276" s="26">
        <x:f>P276</x:f>
      </x:c>
      <x:c r="T276" s="22">
        <x:f>IF(S276="","",IFERROR(INDEX('درخت جدید'!$C:$C,MATCH(S276&amp;"",'درخت جدید'!$B:$B,0)),"(ساخته می‌شود) "&amp;V276))</x:f>
      </x:c>
      <x:c r="U276" s="22">
        <x:f>IF(S276="",IF(N276="بله","الزامی — تکمیل نشده",""),IF(AND(O276&lt;&gt;"",LEFT(S276&amp;"",4)&lt;&gt;O276),"زیر کل دیگری است — کل یا معین را اصلاح کنید",IF(AND(S276=P276,FALSE,W276=""),"تداخل: کد "&amp;S276&amp;" در برگهٔ درخت جدید با نام «"&amp;T276&amp;"» از قبل تعریف شده",IF(COUNTIFS('درخت جدید'!$B:$B,S276&amp;"",'درخت جدید'!$A:$A,"معین")=0,IF(V276="","کد در درخت نیست — نام برای تعریف را بنویسید","OK"),"OK"))))</x:f>
      </x:c>
      <x:c r="V276" s="27">
        <x:f>IF(S276="","",IF(COUNTIFS('درخت جدید'!$B:$B,S276&amp;"",'درخت جدید'!$A:$A,"معین")=0,D276,""))</x:f>
      </x:c>
      <x:c r="W276" s="27"/>
      <x:c r="X276" s="38"/>
    </x:row>
    <x:row r="277" spans="1:24">
      <x:c r="A277" s="21" t="s">
        <x:v>142</x:v>
      </x:c>
      <x:c r="B277" s="22" t="s">
        <x:v>279</x:v>
      </x:c>
      <x:c r="C277" s="22" t="s">
        <x:v>143</x:v>
      </x:c>
      <x:c r="D277" s="22" t="s">
        <x:v>499</x:v>
      </x:c>
      <x:c r="E277" s="22" t="s">
        <x:v>194</x:v>
      </x:c>
      <x:c r="F277" s="22" t="s">
        <x:v>195</x:v>
      </x:c>
      <x:c r="G277" s="22" t="s">
        <x:v>199</x:v>
      </x:c>
      <x:c r="H277" s="22">
        <x:v>3</x:v>
      </x:c>
      <x:c r="I277" s="22">
        <x:v>0</x:v>
      </x:c>
      <x:c r="J277" s="22">
        <x:v>0</x:v>
      </x:c>
      <x:c r="K277" s="23">
        <x:v>0</x:v>
      </x:c>
      <x:c r="L277" s="23">
        <x:v>0</x:v>
      </x:c>
      <x:c r="M277" s="23">
        <x:f>K277-L277</x:f>
      </x:c>
      <x:c r="N277" s="22" t="s">
        <x:v>351</x:v>
      </x:c>
      <x:c r="O277" s="24">
        <x:f>IFERROR(INDEX('تطبیق کل'!$J:$J,MATCH(A277&amp;"",'تطبیق کل'!$A:$A,0))&amp;"","")</x:f>
      </x:c>
      <x:c r="P277" s="24">
        <x:f>IF(O277="","",O277&amp;B277)</x:f>
      </x:c>
      <x:c r="Q277" s="24">
        <x:f>IF(P277="","",IFERROR(INDEX('درخت جدید'!$C:$C,MATCH(P277&amp;"",'درخت جدید'!$B:$B,0)),"— در درخت نیست؛ با نام قدیم ساخته می‌شود —"))</x:f>
      </x:c>
      <x:c r="R277" s="25"/>
      <x:c r="S277" s="26">
        <x:f>P277</x:f>
      </x:c>
      <x:c r="T277" s="22">
        <x:f>IF(S277="","",IFERROR(INDEX('درخت جدید'!$C:$C,MATCH(S277&amp;"",'درخت جدید'!$B:$B,0)),"(ساخته می‌شود) "&amp;V277))</x:f>
      </x:c>
      <x:c r="U277" s="22">
        <x:f>IF(S277="",IF(N277="بله","الزامی — تکمیل نشده",""),IF(AND(O277&lt;&gt;"",LEFT(S277&amp;"",4)&lt;&gt;O277),"زیر کل دیگری است — کل یا معین را اصلاح کنید",IF(AND(S277=P277,FALSE,W277=""),"تداخل: کد "&amp;S277&amp;" در برگهٔ درخت جدید با نام «"&amp;T277&amp;"» از قبل تعریف شده",IF(COUNTIFS('درخت جدید'!$B:$B,S277&amp;"",'درخت جدید'!$A:$A,"معین")=0,IF(V277="","کد در درخت نیست — نام برای تعریف را بنویسید","OK"),"OK"))))</x:f>
      </x:c>
      <x:c r="V277" s="27">
        <x:f>IF(S277="","",IF(COUNTIFS('درخت جدید'!$B:$B,S277&amp;"",'درخت جدید'!$A:$A,"معین")=0,D277,""))</x:f>
      </x:c>
      <x:c r="W277" s="27"/>
      <x:c r="X277" s="38"/>
    </x:row>
    <x:row r="278" spans="1:24">
      <x:c r="A278" s="21" t="s">
        <x:v>142</x:v>
      </x:c>
      <x:c r="B278" s="22" t="s">
        <x:v>38</x:v>
      </x:c>
      <x:c r="C278" s="22" t="s">
        <x:v>143</x:v>
      </x:c>
      <x:c r="D278" s="22" t="s">
        <x:v>500</x:v>
      </x:c>
      <x:c r="E278" s="22" t="s">
        <x:v>194</x:v>
      </x:c>
      <x:c r="F278" s="22" t="s">
        <x:v>195</x:v>
      </x:c>
      <x:c r="G278" s="22" t="s">
        <x:v>199</x:v>
      </x:c>
      <x:c r="H278" s="22">
        <x:v>3</x:v>
      </x:c>
      <x:c r="I278" s="22">
        <x:v>0</x:v>
      </x:c>
      <x:c r="J278" s="22">
        <x:v>0</x:v>
      </x:c>
      <x:c r="K278" s="23">
        <x:v>0</x:v>
      </x:c>
      <x:c r="L278" s="23">
        <x:v>0</x:v>
      </x:c>
      <x:c r="M278" s="23">
        <x:f>K278-L278</x:f>
      </x:c>
      <x:c r="N278" s="22" t="s">
        <x:v>351</x:v>
      </x:c>
      <x:c r="O278" s="24">
        <x:f>IFERROR(INDEX('تطبیق کل'!$J:$J,MATCH(A278&amp;"",'تطبیق کل'!$A:$A,0))&amp;"","")</x:f>
      </x:c>
      <x:c r="P278" s="24">
        <x:f>IF(O278="","",O278&amp;B278)</x:f>
      </x:c>
      <x:c r="Q278" s="24">
        <x:f>IF(P278="","",IFERROR(INDEX('درخت جدید'!$C:$C,MATCH(P278&amp;"",'درخت جدید'!$B:$B,0)),"— در درخت نیست؛ با نام قدیم ساخته می‌شود —"))</x:f>
      </x:c>
      <x:c r="R278" s="25"/>
      <x:c r="S278" s="26">
        <x:f>P278</x:f>
      </x:c>
      <x:c r="T278" s="22">
        <x:f>IF(S278="","",IFERROR(INDEX('درخت جدید'!$C:$C,MATCH(S278&amp;"",'درخت جدید'!$B:$B,0)),"(ساخته می‌شود) "&amp;V278))</x:f>
      </x:c>
      <x:c r="U278" s="22">
        <x:f>IF(S278="",IF(N278="بله","الزامی — تکمیل نشده",""),IF(AND(O278&lt;&gt;"",LEFT(S278&amp;"",4)&lt;&gt;O278),"زیر کل دیگری است — کل یا معین را اصلاح کنید",IF(AND(S278=P278,FALSE,W278=""),"تداخل: کد "&amp;S278&amp;" در برگهٔ درخت جدید با نام «"&amp;T278&amp;"» از قبل تعریف شده",IF(COUNTIFS('درخت جدید'!$B:$B,S278&amp;"",'درخت جدید'!$A:$A,"معین")=0,IF(V278="","کد در درخت نیست — نام برای تعریف را بنویسید","OK"),"OK"))))</x:f>
      </x:c>
      <x:c r="V278" s="27">
        <x:f>IF(S278="","",IF(COUNTIFS('درخت جدید'!$B:$B,S278&amp;"",'درخت جدید'!$A:$A,"معین")=0,D278,""))</x:f>
      </x:c>
      <x:c r="W278" s="27"/>
      <x:c r="X278" s="38"/>
    </x:row>
    <x:row r="279" spans="1:24">
      <x:c r="A279" s="21" t="s">
        <x:v>142</x:v>
      </x:c>
      <x:c r="B279" s="22" t="s">
        <x:v>45</x:v>
      </x:c>
      <x:c r="C279" s="22" t="s">
        <x:v>143</x:v>
      </x:c>
      <x:c r="D279" s="22" t="s">
        <x:v>501</x:v>
      </x:c>
      <x:c r="E279" s="22" t="s">
        <x:v>194</x:v>
      </x:c>
      <x:c r="F279" s="22" t="s">
        <x:v>195</x:v>
      </x:c>
      <x:c r="G279" s="22" t="s">
        <x:v>199</x:v>
      </x:c>
      <x:c r="H279" s="22">
        <x:v>5</x:v>
      </x:c>
      <x:c r="I279" s="22">
        <x:v>0</x:v>
      </x:c>
      <x:c r="J279" s="22">
        <x:v>0</x:v>
      </x:c>
      <x:c r="K279" s="23">
        <x:v>0</x:v>
      </x:c>
      <x:c r="L279" s="23">
        <x:v>0</x:v>
      </x:c>
      <x:c r="M279" s="23">
        <x:f>K279-L279</x:f>
      </x:c>
      <x:c r="N279" s="22" t="s">
        <x:v>351</x:v>
      </x:c>
      <x:c r="O279" s="24">
        <x:f>IFERROR(INDEX('تطبیق کل'!$J:$J,MATCH(A279&amp;"",'تطبیق کل'!$A:$A,0))&amp;"","")</x:f>
      </x:c>
      <x:c r="P279" s="24">
        <x:f>IF(O279="","",O279&amp;B279)</x:f>
      </x:c>
      <x:c r="Q279" s="24">
        <x:f>IF(P279="","",IFERROR(INDEX('درخت جدید'!$C:$C,MATCH(P279&amp;"",'درخت جدید'!$B:$B,0)),"— در درخت نیست؛ با نام قدیم ساخته می‌شود —"))</x:f>
      </x:c>
      <x:c r="R279" s="25"/>
      <x:c r="S279" s="26">
        <x:f>P279</x:f>
      </x:c>
      <x:c r="T279" s="22">
        <x:f>IF(S279="","",IFERROR(INDEX('درخت جدید'!$C:$C,MATCH(S279&amp;"",'درخت جدید'!$B:$B,0)),"(ساخته می‌شود) "&amp;V279))</x:f>
      </x:c>
      <x:c r="U279" s="22">
        <x:f>IF(S279="",IF(N279="بله","الزامی — تکمیل نشده",""),IF(AND(O279&lt;&gt;"",LEFT(S279&amp;"",4)&lt;&gt;O279),"زیر کل دیگری است — کل یا معین را اصلاح کنید",IF(AND(S279=P279,FALSE,W279=""),"تداخل: کد "&amp;S279&amp;" در برگهٔ درخت جدید با نام «"&amp;T279&amp;"» از قبل تعریف شده",IF(COUNTIFS('درخت جدید'!$B:$B,S279&amp;"",'درخت جدید'!$A:$A,"معین")=0,IF(V279="","کد در درخت نیست — نام برای تعریف را بنویسید","OK"),"OK"))))</x:f>
      </x:c>
      <x:c r="V279" s="27">
        <x:f>IF(S279="","",IF(COUNTIFS('درخت جدید'!$B:$B,S279&amp;"",'درخت جدید'!$A:$A,"معین")=0,D279,""))</x:f>
      </x:c>
      <x:c r="W279" s="27"/>
      <x:c r="X279" s="38"/>
    </x:row>
    <x:row r="280" spans="1:24">
      <x:c r="A280" s="21" t="s">
        <x:v>142</x:v>
      </x:c>
      <x:c r="B280" s="22" t="s">
        <x:v>52</x:v>
      </x:c>
      <x:c r="C280" s="22" t="s">
        <x:v>143</x:v>
      </x:c>
      <x:c r="D280" s="22" t="s">
        <x:v>502</x:v>
      </x:c>
      <x:c r="E280" s="22" t="s">
        <x:v>194</x:v>
      </x:c>
      <x:c r="F280" s="22" t="s">
        <x:v>195</x:v>
      </x:c>
      <x:c r="G280" s="22" t="s">
        <x:v>199</x:v>
      </x:c>
      <x:c r="H280" s="22">
        <x:v>1</x:v>
      </x:c>
      <x:c r="I280" s="22">
        <x:v>0</x:v>
      </x:c>
      <x:c r="J280" s="22">
        <x:v>0</x:v>
      </x:c>
      <x:c r="K280" s="23">
        <x:v>0</x:v>
      </x:c>
      <x:c r="L280" s="23">
        <x:v>0</x:v>
      </x:c>
      <x:c r="M280" s="23">
        <x:f>K280-L280</x:f>
      </x:c>
      <x:c r="N280" s="22" t="s">
        <x:v>351</x:v>
      </x:c>
      <x:c r="O280" s="24">
        <x:f>IFERROR(INDEX('تطبیق کل'!$J:$J,MATCH(A280&amp;"",'تطبیق کل'!$A:$A,0))&amp;"","")</x:f>
      </x:c>
      <x:c r="P280" s="24">
        <x:f>IF(O280="","",O280&amp;B280)</x:f>
      </x:c>
      <x:c r="Q280" s="24">
        <x:f>IF(P280="","",IFERROR(INDEX('درخت جدید'!$C:$C,MATCH(P280&amp;"",'درخت جدید'!$B:$B,0)),"— در درخت نیست؛ با نام قدیم ساخته می‌شود —"))</x:f>
      </x:c>
      <x:c r="R280" s="25"/>
      <x:c r="S280" s="26">
        <x:f>P280</x:f>
      </x:c>
      <x:c r="T280" s="22">
        <x:f>IF(S280="","",IFERROR(INDEX('درخت جدید'!$C:$C,MATCH(S280&amp;"",'درخت جدید'!$B:$B,0)),"(ساخته می‌شود) "&amp;V280))</x:f>
      </x:c>
      <x:c r="U280" s="22">
        <x:f>IF(S280="",IF(N280="بله","الزامی — تکمیل نشده",""),IF(AND(O280&lt;&gt;"",LEFT(S280&amp;"",4)&lt;&gt;O280),"زیر کل دیگری است — کل یا معین را اصلاح کنید",IF(AND(S280=P280,FALSE,W280=""),"تداخل: کد "&amp;S280&amp;" در برگهٔ درخت جدید با نام «"&amp;T280&amp;"» از قبل تعریف شده",IF(COUNTIFS('درخت جدید'!$B:$B,S280&amp;"",'درخت جدید'!$A:$A,"معین")=0,IF(V280="","کد در درخت نیست — نام برای تعریف را بنویسید","OK"),"OK"))))</x:f>
      </x:c>
      <x:c r="V280" s="27">
        <x:f>IF(S280="","",IF(COUNTIFS('درخت جدید'!$B:$B,S280&amp;"",'درخت جدید'!$A:$A,"معین")=0,D280,""))</x:f>
      </x:c>
      <x:c r="W280" s="27"/>
      <x:c r="X280" s="38"/>
    </x:row>
    <x:row r="281" spans="1:24">
      <x:c r="A281" s="21" t="s">
        <x:v>142</x:v>
      </x:c>
      <x:c r="B281" s="22" t="s">
        <x:v>174</x:v>
      </x:c>
      <x:c r="C281" s="22" t="s">
        <x:v>143</x:v>
      </x:c>
      <x:c r="D281" s="22" t="s">
        <x:v>465</x:v>
      </x:c>
      <x:c r="E281" s="22" t="s">
        <x:v>194</x:v>
      </x:c>
      <x:c r="F281" s="22" t="s">
        <x:v>195</x:v>
      </x:c>
      <x:c r="G281" s="22" t="s">
        <x:v>199</x:v>
      </x:c>
      <x:c r="H281" s="22">
        <x:v>34</x:v>
      </x:c>
      <x:c r="I281" s="22">
        <x:v>0</x:v>
      </x:c>
      <x:c r="J281" s="22">
        <x:v>0</x:v>
      </x:c>
      <x:c r="K281" s="23">
        <x:v>0</x:v>
      </x:c>
      <x:c r="L281" s="23">
        <x:v>0</x:v>
      </x:c>
      <x:c r="M281" s="23">
        <x:f>K281-L281</x:f>
      </x:c>
      <x:c r="N281" s="22" t="s">
        <x:v>351</x:v>
      </x:c>
      <x:c r="O281" s="24">
        <x:f>IFERROR(INDEX('تطبیق کل'!$J:$J,MATCH(A281&amp;"",'تطبیق کل'!$A:$A,0))&amp;"","")</x:f>
      </x:c>
      <x:c r="P281" s="24">
        <x:f>IF(O281="","",O281&amp;B281)</x:f>
      </x:c>
      <x:c r="Q281" s="24">
        <x:f>IF(P281="","",IFERROR(INDEX('درخت جدید'!$C:$C,MATCH(P281&amp;"",'درخت جدید'!$B:$B,0)),"— در درخت نیست؛ با نام قدیم ساخته می‌شود —"))</x:f>
      </x:c>
      <x:c r="R281" s="25"/>
      <x:c r="S281" s="26">
        <x:f>P281</x:f>
      </x:c>
      <x:c r="T281" s="22">
        <x:f>IF(S281="","",IFERROR(INDEX('درخت جدید'!$C:$C,MATCH(S281&amp;"",'درخت جدید'!$B:$B,0)),"(ساخته می‌شود) "&amp;V281))</x:f>
      </x:c>
      <x:c r="U281" s="22">
        <x:f>IF(S281="",IF(N281="بله","الزامی — تکمیل نشده",""),IF(AND(O281&lt;&gt;"",LEFT(S281&amp;"",4)&lt;&gt;O281),"زیر کل دیگری است — کل یا معین را اصلاح کنید",IF(AND(S281=P281,FALSE,W281=""),"تداخل: کد "&amp;S281&amp;" در برگهٔ درخت جدید با نام «"&amp;T281&amp;"» از قبل تعریف شده",IF(COUNTIFS('درخت جدید'!$B:$B,S281&amp;"",'درخت جدید'!$A:$A,"معین")=0,IF(V281="","کد در درخت نیست — نام برای تعریف را بنویسید","OK"),"OK"))))</x:f>
      </x:c>
      <x:c r="V281" s="27">
        <x:f>IF(S281="","",IF(COUNTIFS('درخت جدید'!$B:$B,S281&amp;"",'درخت جدید'!$A:$A,"معین")=0,D281,""))</x:f>
      </x:c>
      <x:c r="W281" s="27"/>
      <x:c r="X281" s="38"/>
    </x:row>
    <x:row r="282" spans="1:24">
      <x:c r="A282" s="21" t="s">
        <x:v>146</x:v>
      </x:c>
      <x:c r="B282" s="22" t="s">
        <x:v>272</x:v>
      </x:c>
      <x:c r="C282" s="22" t="s">
        <x:v>147</x:v>
      </x:c>
      <x:c r="D282" s="22" t="s">
        <x:v>503</x:v>
      </x:c>
      <x:c r="E282" s="22" t="s">
        <x:v>195</x:v>
      </x:c>
      <x:c r="F282" s="22" t="s">
        <x:v>194</x:v>
      </x:c>
      <x:c r="G282" s="22" t="s">
        <x:v>195</x:v>
      </x:c>
      <x:c r="H282" s="22">
        <x:v>3</x:v>
      </x:c>
      <x:c r="I282" s="22">
        <x:v>0</x:v>
      </x:c>
      <x:c r="J282" s="22">
        <x:v>0</x:v>
      </x:c>
      <x:c r="K282" s="23">
        <x:v>0</x:v>
      </x:c>
      <x:c r="L282" s="23">
        <x:v>0</x:v>
      </x:c>
      <x:c r="M282" s="23">
        <x:f>K282-L282</x:f>
      </x:c>
      <x:c r="N282" s="22" t="s">
        <x:v>351</x:v>
      </x:c>
      <x:c r="O282" s="24">
        <x:f>IFERROR(INDEX('تطبیق کل'!$J:$J,MATCH(A282&amp;"",'تطبیق کل'!$A:$A,0))&amp;"","")</x:f>
      </x:c>
      <x:c r="P282" s="24">
        <x:f>IF(O282="","",O282&amp;B282)</x:f>
      </x:c>
      <x:c r="Q282" s="24">
        <x:f>IF(P282="","",IFERROR(INDEX('درخت جدید'!$C:$C,MATCH(P282&amp;"",'درخت جدید'!$B:$B,0)),"— در درخت نیست؛ با نام قدیم ساخته می‌شود —"))</x:f>
      </x:c>
      <x:c r="R282" s="25"/>
      <x:c r="S282" s="26">
        <x:f>P282</x:f>
      </x:c>
      <x:c r="T282" s="22">
        <x:f>IF(S282="","",IFERROR(INDEX('درخت جدید'!$C:$C,MATCH(S282&amp;"",'درخت جدید'!$B:$B,0)),"(ساخته می‌شود) "&amp;V282))</x:f>
      </x:c>
      <x:c r="U282" s="22">
        <x:f>IF(S282="",IF(N282="بله","الزامی — تکمیل نشده",""),IF(AND(O282&lt;&gt;"",LEFT(S282&amp;"",4)&lt;&gt;O282),"زیر کل دیگری است — کل یا معین را اصلاح کنید",IF(AND(S282=P282,FALSE,W282=""),"تداخل: کد "&amp;S282&amp;" در برگهٔ درخت جدید با نام «"&amp;T282&amp;"» از قبل تعریف شده",IF(COUNTIFS('درخت جدید'!$B:$B,S282&amp;"",'درخت جدید'!$A:$A,"معین")=0,IF(V282="","کد در درخت نیست — نام برای تعریف را بنویسید","OK"),"OK"))))</x:f>
      </x:c>
      <x:c r="V282" s="27">
        <x:f>IF(S282="","",IF(COUNTIFS('درخت جدید'!$B:$B,S282&amp;"",'درخت جدید'!$A:$A,"معین")=0,D282,""))</x:f>
      </x:c>
      <x:c r="W282" s="27"/>
      <x:c r="X282" s="38"/>
    </x:row>
    <x:row r="283" spans="1:24">
      <x:c r="A283" s="21" t="s">
        <x:v>152</x:v>
      </x:c>
      <x:c r="B283" s="22" t="s">
        <x:v>197</x:v>
      </x:c>
      <x:c r="C283" s="22" t="s">
        <x:v>153</x:v>
      </x:c>
      <x:c r="D283" s="22" t="s">
        <x:v>504</x:v>
      </x:c>
      <x:c r="E283" s="22" t="s">
        <x:v>334</x:v>
      </x:c>
      <x:c r="F283" s="22" t="s">
        <x:v>195</x:v>
      </x:c>
      <x:c r="G283" s="22" t="s">
        <x:v>199</x:v>
      </x:c>
      <x:c r="H283" s="22">
        <x:v>1</x:v>
      </x:c>
      <x:c r="I283" s="22">
        <x:v>0</x:v>
      </x:c>
      <x:c r="J283" s="22">
        <x:v>0</x:v>
      </x:c>
      <x:c r="K283" s="23">
        <x:v>0</x:v>
      </x:c>
      <x:c r="L283" s="23">
        <x:v>0</x:v>
      </x:c>
      <x:c r="M283" s="23">
        <x:f>K283-L283</x:f>
      </x:c>
      <x:c r="N283" s="22" t="s">
        <x:v>351</x:v>
      </x:c>
      <x:c r="O283" s="24">
        <x:f>IFERROR(INDEX('تطبیق کل'!$J:$J,MATCH(A283&amp;"",'تطبیق کل'!$A:$A,0))&amp;"","")</x:f>
      </x:c>
      <x:c r="P283" s="24">
        <x:f>IF(O283="","",O283&amp;B283)</x:f>
      </x:c>
      <x:c r="Q283" s="24">
        <x:f>IF(P283="","",IFERROR(INDEX('درخت جدید'!$C:$C,MATCH(P283&amp;"",'درخت جدید'!$B:$B,0)),"— در درخت نیست؛ با نام قدیم ساخته می‌شود —"))</x:f>
      </x:c>
      <x:c r="R283" s="25"/>
      <x:c r="S283" s="26">
        <x:f>P283</x:f>
      </x:c>
      <x:c r="T283" s="22">
        <x:f>IF(S283="","",IFERROR(INDEX('درخت جدید'!$C:$C,MATCH(S283&amp;"",'درخت جدید'!$B:$B,0)),"(ساخته می‌شود) "&amp;V283))</x:f>
      </x:c>
      <x:c r="U283" s="22">
        <x:f>IF(S283="",IF(N283="بله","الزامی — تکمیل نشده",""),IF(AND(O283&lt;&gt;"",LEFT(S283&amp;"",4)&lt;&gt;O283),"زیر کل دیگری است — کل یا معین را اصلاح کنید",IF(AND(S283=P283,FALSE,W283=""),"تداخل: کد "&amp;S283&amp;" در برگهٔ درخت جدید با نام «"&amp;T283&amp;"» از قبل تعریف شده",IF(COUNTIFS('درخت جدید'!$B:$B,S283&amp;"",'درخت جدید'!$A:$A,"معین")=0,IF(V283="","کد در درخت نیست — نام برای تعریف را بنویسید","OK"),"OK"))))</x:f>
      </x:c>
      <x:c r="V283" s="27">
        <x:f>IF(S283="","",IF(COUNTIFS('درخت جدید'!$B:$B,S283&amp;"",'درخت جدید'!$A:$A,"معین")=0,D283,""))</x:f>
      </x:c>
      <x:c r="W283" s="27"/>
      <x:c r="X283" s="38"/>
    </x:row>
    <x:row r="284" spans="1:24">
      <x:c r="A284" s="21" t="s">
        <x:v>152</x:v>
      </x:c>
      <x:c r="B284" s="22" t="s">
        <x:v>213</x:v>
      </x:c>
      <x:c r="C284" s="22" t="s">
        <x:v>153</x:v>
      </x:c>
      <x:c r="D284" s="22" t="s">
        <x:v>340</x:v>
      </x:c>
      <x:c r="E284" s="22" t="s">
        <x:v>334</x:v>
      </x:c>
      <x:c r="F284" s="22" t="s">
        <x:v>195</x:v>
      </x:c>
      <x:c r="G284" s="22" t="s">
        <x:v>195</x:v>
      </x:c>
      <x:c r="H284" s="22">
        <x:v>3</x:v>
      </x:c>
      <x:c r="I284" s="22">
        <x:v>0</x:v>
      </x:c>
      <x:c r="J284" s="22">
        <x:v>0</x:v>
      </x:c>
      <x:c r="K284" s="23">
        <x:v>0</x:v>
      </x:c>
      <x:c r="L284" s="23">
        <x:v>0</x:v>
      </x:c>
      <x:c r="M284" s="23">
        <x:f>K284-L284</x:f>
      </x:c>
      <x:c r="N284" s="22" t="s">
        <x:v>351</x:v>
      </x:c>
      <x:c r="O284" s="24">
        <x:f>IFERROR(INDEX('تطبیق کل'!$J:$J,MATCH(A284&amp;"",'تطبیق کل'!$A:$A,0))&amp;"","")</x:f>
      </x:c>
      <x:c r="P284" s="24">
        <x:f>IF(O284="","",O284&amp;B284)</x:f>
      </x:c>
      <x:c r="Q284" s="24">
        <x:f>IF(P284="","",IFERROR(INDEX('درخت جدید'!$C:$C,MATCH(P284&amp;"",'درخت جدید'!$B:$B,0)),"— در درخت نیست؛ با نام قدیم ساخته می‌شود —"))</x:f>
      </x:c>
      <x:c r="R284" s="25"/>
      <x:c r="S284" s="26">
        <x:f>P284</x:f>
      </x:c>
      <x:c r="T284" s="22">
        <x:f>IF(S284="","",IFERROR(INDEX('درخت جدید'!$C:$C,MATCH(S284&amp;"",'درخت جدید'!$B:$B,0)),"(ساخته می‌شود) "&amp;V284))</x:f>
      </x:c>
      <x:c r="U284" s="22">
        <x:f>IF(S284="",IF(N284="بله","الزامی — تکمیل نشده",""),IF(AND(O284&lt;&gt;"",LEFT(S284&amp;"",4)&lt;&gt;O284),"زیر کل دیگری است — کل یا معین را اصلاح کنید",IF(AND(S284=P284,FALSE,W284=""),"تداخل: کد "&amp;S284&amp;" در برگهٔ درخت جدید با نام «"&amp;T284&amp;"» از قبل تعریف شده",IF(COUNTIFS('درخت جدید'!$B:$B,S284&amp;"",'درخت جدید'!$A:$A,"معین")=0,IF(V284="","کد در درخت نیست — نام برای تعریف را بنویسید","OK"),"OK"))))</x:f>
      </x:c>
      <x:c r="V284" s="27">
        <x:f>IF(S284="","",IF(COUNTIFS('درخت جدید'!$B:$B,S284&amp;"",'درخت جدید'!$A:$A,"معین")=0,D284,""))</x:f>
      </x:c>
      <x:c r="W284" s="27"/>
      <x:c r="X284" s="38"/>
    </x:row>
    <x:row r="285" spans="1:24">
      <x:c r="A285" s="21" t="s">
        <x:v>155</x:v>
      </x:c>
      <x:c r="B285" s="22" t="s">
        <x:v>18</x:v>
      </x:c>
      <x:c r="C285" s="22" t="s">
        <x:v>156</x:v>
      </x:c>
      <x:c r="D285" s="22" t="s">
        <x:v>505</x:v>
      </x:c>
      <x:c r="E285" s="22" t="s">
        <x:v>334</x:v>
      </x:c>
      <x:c r="F285" s="22" t="s">
        <x:v>195</x:v>
      </x:c>
      <x:c r="G285" s="22" t="s">
        <x:v>199</x:v>
      </x:c>
      <x:c r="H285" s="22">
        <x:v>1</x:v>
      </x:c>
      <x:c r="I285" s="22">
        <x:v>0</x:v>
      </x:c>
      <x:c r="J285" s="22">
        <x:v>0</x:v>
      </x:c>
      <x:c r="K285" s="23">
        <x:v>0</x:v>
      </x:c>
      <x:c r="L285" s="23">
        <x:v>0</x:v>
      </x:c>
      <x:c r="M285" s="23">
        <x:f>K285-L285</x:f>
      </x:c>
      <x:c r="N285" s="22" t="s">
        <x:v>351</x:v>
      </x:c>
      <x:c r="O285" s="24">
        <x:f>IFERROR(INDEX('تطبیق کل'!$J:$J,MATCH(A285&amp;"",'تطبیق کل'!$A:$A,0))&amp;"","")</x:f>
      </x:c>
      <x:c r="P285" s="24">
        <x:f>IF(O285="","",O285&amp;B285)</x:f>
      </x:c>
      <x:c r="Q285" s="24">
        <x:f>IF(P285="","",IFERROR(INDEX('درخت جدید'!$C:$C,MATCH(P285&amp;"",'درخت جدید'!$B:$B,0)),"— در درخت نیست؛ با نام قدیم ساخته می‌شود —"))</x:f>
      </x:c>
      <x:c r="R285" s="25"/>
      <x:c r="S285" s="26">
        <x:f>P285</x:f>
      </x:c>
      <x:c r="T285" s="22">
        <x:f>IF(S285="","",IFERROR(INDEX('درخت جدید'!$C:$C,MATCH(S285&amp;"",'درخت جدید'!$B:$B,0)),"(ساخته می‌شود) "&amp;V285))</x:f>
      </x:c>
      <x:c r="U285" s="22">
        <x:f>IF(S285="",IF(N285="بله","الزامی — تکمیل نشده",""),IF(AND(O285&lt;&gt;"",LEFT(S285&amp;"",4)&lt;&gt;O285),"زیر کل دیگری است — کل یا معین را اصلاح کنید",IF(AND(S285=P285,FALSE,W285=""),"تداخل: کد "&amp;S285&amp;" در برگهٔ درخت جدید با نام «"&amp;T285&amp;"» از قبل تعریف شده",IF(COUNTIFS('درخت جدید'!$B:$B,S285&amp;"",'درخت جدید'!$A:$A,"معین")=0,IF(V285="","کد در درخت نیست — نام برای تعریف را بنویسید","OK"),"OK"))))</x:f>
      </x:c>
      <x:c r="V285" s="27">
        <x:f>IF(S285="","",IF(COUNTIFS('درخت جدید'!$B:$B,S285&amp;"",'درخت جدید'!$A:$A,"معین")=0,D285,""))</x:f>
      </x:c>
      <x:c r="W285" s="27"/>
      <x:c r="X285" s="38"/>
    </x:row>
    <x:row r="286" spans="1:24">
      <x:c r="A286" s="21" t="s">
        <x:v>155</x:v>
      </x:c>
      <x:c r="B286" s="22" t="s">
        <x:v>286</x:v>
      </x:c>
      <x:c r="C286" s="22" t="s">
        <x:v>156</x:v>
      </x:c>
      <x:c r="D286" s="22" t="s">
        <x:v>506</x:v>
      </x:c>
      <x:c r="E286" s="22" t="s">
        <x:v>334</x:v>
      </x:c>
      <x:c r="F286" s="22" t="s">
        <x:v>195</x:v>
      </x:c>
      <x:c r="G286" s="22" t="s">
        <x:v>199</x:v>
      </x:c>
      <x:c r="H286" s="22">
        <x:v>4</x:v>
      </x:c>
      <x:c r="I286" s="22">
        <x:v>0</x:v>
      </x:c>
      <x:c r="J286" s="22">
        <x:v>0</x:v>
      </x:c>
      <x:c r="K286" s="23">
        <x:v>0</x:v>
      </x:c>
      <x:c r="L286" s="23">
        <x:v>0</x:v>
      </x:c>
      <x:c r="M286" s="23">
        <x:f>K286-L286</x:f>
      </x:c>
      <x:c r="N286" s="22" t="s">
        <x:v>351</x:v>
      </x:c>
      <x:c r="O286" s="24">
        <x:f>IFERROR(INDEX('تطبیق کل'!$J:$J,MATCH(A286&amp;"",'تطبیق کل'!$A:$A,0))&amp;"","")</x:f>
      </x:c>
      <x:c r="P286" s="24">
        <x:f>IF(O286="","",O286&amp;B286)</x:f>
      </x:c>
      <x:c r="Q286" s="24">
        <x:f>IF(P286="","",IFERROR(INDEX('درخت جدید'!$C:$C,MATCH(P286&amp;"",'درخت جدید'!$B:$B,0)),"— در درخت نیست؛ با نام قدیم ساخته می‌شود —"))</x:f>
      </x:c>
      <x:c r="R286" s="25"/>
      <x:c r="S286" s="26">
        <x:f>P286</x:f>
      </x:c>
      <x:c r="T286" s="22">
        <x:f>IF(S286="","",IFERROR(INDEX('درخت جدید'!$C:$C,MATCH(S286&amp;"",'درخت جدید'!$B:$B,0)),"(ساخته می‌شود) "&amp;V286))</x:f>
      </x:c>
      <x:c r="U286" s="22">
        <x:f>IF(S286="",IF(N286="بله","الزامی — تکمیل نشده",""),IF(AND(O286&lt;&gt;"",LEFT(S286&amp;"",4)&lt;&gt;O286),"زیر کل دیگری است — کل یا معین را اصلاح کنید",IF(AND(S286=P286,FALSE,W286=""),"تداخل: کد "&amp;S286&amp;" در برگهٔ درخت جدید با نام «"&amp;T286&amp;"» از قبل تعریف شده",IF(COUNTIFS('درخت جدید'!$B:$B,S286&amp;"",'درخت جدید'!$A:$A,"معین")=0,IF(V286="","کد در درخت نیست — نام برای تعریف را بنویسید","OK"),"OK"))))</x:f>
      </x:c>
      <x:c r="V286" s="27">
        <x:f>IF(S286="","",IF(COUNTIFS('درخت جدید'!$B:$B,S286&amp;"",'درخت جدید'!$A:$A,"معین")=0,D286,""))</x:f>
      </x:c>
      <x:c r="W286" s="27"/>
      <x:c r="X286" s="38"/>
    </x:row>
    <x:row r="287" spans="1:24">
      <x:c r="A287" s="21" t="s">
        <x:v>155</x:v>
      </x:c>
      <x:c r="B287" s="22" t="s">
        <x:v>292</x:v>
      </x:c>
      <x:c r="C287" s="22" t="s">
        <x:v>156</x:v>
      </x:c>
      <x:c r="D287" s="22" t="s">
        <x:v>496</x:v>
      </x:c>
      <x:c r="E287" s="22" t="s">
        <x:v>334</x:v>
      </x:c>
      <x:c r="F287" s="22" t="s">
        <x:v>195</x:v>
      </x:c>
      <x:c r="G287" s="22" t="s">
        <x:v>195</x:v>
      </x:c>
      <x:c r="H287" s="22">
        <x:v>3</x:v>
      </x:c>
      <x:c r="I287" s="22">
        <x:v>0</x:v>
      </x:c>
      <x:c r="J287" s="22">
        <x:v>0</x:v>
      </x:c>
      <x:c r="K287" s="23">
        <x:v>0</x:v>
      </x:c>
      <x:c r="L287" s="23">
        <x:v>0</x:v>
      </x:c>
      <x:c r="M287" s="23">
        <x:f>K287-L287</x:f>
      </x:c>
      <x:c r="N287" s="22" t="s">
        <x:v>351</x:v>
      </x:c>
      <x:c r="O287" s="24">
        <x:f>IFERROR(INDEX('تطبیق کل'!$J:$J,MATCH(A287&amp;"",'تطبیق کل'!$A:$A,0))&amp;"","")</x:f>
      </x:c>
      <x:c r="P287" s="24">
        <x:f>IF(O287="","",O287&amp;B287)</x:f>
      </x:c>
      <x:c r="Q287" s="24">
        <x:f>IF(P287="","",IFERROR(INDEX('درخت جدید'!$C:$C,MATCH(P287&amp;"",'درخت جدید'!$B:$B,0)),"— در درخت نیست؛ با نام قدیم ساخته می‌شود —"))</x:f>
      </x:c>
      <x:c r="R287" s="25"/>
      <x:c r="S287" s="26">
        <x:f>P287</x:f>
      </x:c>
      <x:c r="T287" s="22">
        <x:f>IF(S287="","",IFERROR(INDEX('درخت جدید'!$C:$C,MATCH(S287&amp;"",'درخت جدید'!$B:$B,0)),"(ساخته می‌شود) "&amp;V287))</x:f>
      </x:c>
      <x:c r="U287" s="22">
        <x:f>IF(S287="",IF(N287="بله","الزامی — تکمیل نشده",""),IF(AND(O287&lt;&gt;"",LEFT(S287&amp;"",4)&lt;&gt;O287),"زیر کل دیگری است — کل یا معین را اصلاح کنید",IF(AND(S287=P287,FALSE,W287=""),"تداخل: کد "&amp;S287&amp;" در برگهٔ درخت جدید با نام «"&amp;T287&amp;"» از قبل تعریف شده",IF(COUNTIFS('درخت جدید'!$B:$B,S287&amp;"",'درخت جدید'!$A:$A,"معین")=0,IF(V287="","کد در درخت نیست — نام برای تعریف را بنویسید","OK"),"OK"))))</x:f>
      </x:c>
      <x:c r="V287" s="27">
        <x:f>IF(S287="","",IF(COUNTIFS('درخت جدید'!$B:$B,S287&amp;"",'درخت جدید'!$A:$A,"معین")=0,D287,""))</x:f>
      </x:c>
      <x:c r="W287" s="27"/>
      <x:c r="X287" s="38"/>
    </x:row>
    <x:row r="288" spans="1:24">
      <x:c r="A288" s="21" t="s">
        <x:v>155</x:v>
      </x:c>
      <x:c r="B288" s="22" t="s">
        <x:v>205</x:v>
      </x:c>
      <x:c r="C288" s="22" t="s">
        <x:v>156</x:v>
      </x:c>
      <x:c r="D288" s="22" t="s">
        <x:v>507</x:v>
      </x:c>
      <x:c r="E288" s="22" t="s">
        <x:v>334</x:v>
      </x:c>
      <x:c r="F288" s="22" t="s">
        <x:v>195</x:v>
      </x:c>
      <x:c r="G288" s="22" t="s">
        <x:v>199</x:v>
      </x:c>
      <x:c r="H288" s="22">
        <x:v>9</x:v>
      </x:c>
      <x:c r="I288" s="22">
        <x:v>0</x:v>
      </x:c>
      <x:c r="J288" s="22">
        <x:v>0</x:v>
      </x:c>
      <x:c r="K288" s="23">
        <x:v>0</x:v>
      </x:c>
      <x:c r="L288" s="23">
        <x:v>0</x:v>
      </x:c>
      <x:c r="M288" s="23">
        <x:f>K288-L288</x:f>
      </x:c>
      <x:c r="N288" s="22" t="s">
        <x:v>351</x:v>
      </x:c>
      <x:c r="O288" s="24">
        <x:f>IFERROR(INDEX('تطبیق کل'!$J:$J,MATCH(A288&amp;"",'تطبیق کل'!$A:$A,0))&amp;"","")</x:f>
      </x:c>
      <x:c r="P288" s="24">
        <x:f>IF(O288="","",O288&amp;B288)</x:f>
      </x:c>
      <x:c r="Q288" s="24">
        <x:f>IF(P288="","",IFERROR(INDEX('درخت جدید'!$C:$C,MATCH(P288&amp;"",'درخت جدید'!$B:$B,0)),"— در درخت نیست؛ با نام قدیم ساخته می‌شود —"))</x:f>
      </x:c>
      <x:c r="R288" s="25"/>
      <x:c r="S288" s="26">
        <x:f>P288</x:f>
      </x:c>
      <x:c r="T288" s="22">
        <x:f>IF(S288="","",IFERROR(INDEX('درخت جدید'!$C:$C,MATCH(S288&amp;"",'درخت جدید'!$B:$B,0)),"(ساخته می‌شود) "&amp;V288))</x:f>
      </x:c>
      <x:c r="U288" s="22">
        <x:f>IF(S288="",IF(N288="بله","الزامی — تکمیل نشده",""),IF(AND(O288&lt;&gt;"",LEFT(S288&amp;"",4)&lt;&gt;O288),"زیر کل دیگری است — کل یا معین را اصلاح کنید",IF(AND(S288=P288,FALSE,W288=""),"تداخل: کد "&amp;S288&amp;" در برگهٔ درخت جدید با نام «"&amp;T288&amp;"» از قبل تعریف شده",IF(COUNTIFS('درخت جدید'!$B:$B,S288&amp;"",'درخت جدید'!$A:$A,"معین")=0,IF(V288="","کد در درخت نیست — نام برای تعریف را بنویسید","OK"),"OK"))))</x:f>
      </x:c>
      <x:c r="V288" s="27">
        <x:f>IF(S288="","",IF(COUNTIFS('درخت جدید'!$B:$B,S288&amp;"",'درخت جدید'!$A:$A,"معین")=0,D288,""))</x:f>
      </x:c>
      <x:c r="W288" s="27"/>
      <x:c r="X288" s="38"/>
    </x:row>
    <x:row r="289" spans="1:24">
      <x:c r="A289" s="21" t="s">
        <x:v>155</x:v>
      </x:c>
      <x:c r="B289" s="22" t="s">
        <x:v>207</x:v>
      </x:c>
      <x:c r="C289" s="22" t="s">
        <x:v>156</x:v>
      </x:c>
      <x:c r="D289" s="22" t="s">
        <x:v>508</x:v>
      </x:c>
      <x:c r="E289" s="22" t="s">
        <x:v>334</x:v>
      </x:c>
      <x:c r="F289" s="22" t="s">
        <x:v>195</x:v>
      </x:c>
      <x:c r="G289" s="22" t="s">
        <x:v>199</x:v>
      </x:c>
      <x:c r="H289" s="22">
        <x:v>1</x:v>
      </x:c>
      <x:c r="I289" s="22">
        <x:v>0</x:v>
      </x:c>
      <x:c r="J289" s="22">
        <x:v>0</x:v>
      </x:c>
      <x:c r="K289" s="23">
        <x:v>0</x:v>
      </x:c>
      <x:c r="L289" s="23">
        <x:v>0</x:v>
      </x:c>
      <x:c r="M289" s="23">
        <x:f>K289-L289</x:f>
      </x:c>
      <x:c r="N289" s="22" t="s">
        <x:v>351</x:v>
      </x:c>
      <x:c r="O289" s="24">
        <x:f>IFERROR(INDEX('تطبیق کل'!$J:$J,MATCH(A289&amp;"",'تطبیق کل'!$A:$A,0))&amp;"","")</x:f>
      </x:c>
      <x:c r="P289" s="24">
        <x:f>IF(O289="","",O289&amp;B289)</x:f>
      </x:c>
      <x:c r="Q289" s="24">
        <x:f>IF(P289="","",IFERROR(INDEX('درخت جدید'!$C:$C,MATCH(P289&amp;"",'درخت جدید'!$B:$B,0)),"— در درخت نیست؛ با نام قدیم ساخته می‌شود —"))</x:f>
      </x:c>
      <x:c r="R289" s="25"/>
      <x:c r="S289" s="26">
        <x:f>P289</x:f>
      </x:c>
      <x:c r="T289" s="22">
        <x:f>IF(S289="","",IFERROR(INDEX('درخت جدید'!$C:$C,MATCH(S289&amp;"",'درخت جدید'!$B:$B,0)),"(ساخته می‌شود) "&amp;V289))</x:f>
      </x:c>
      <x:c r="U289" s="22">
        <x:f>IF(S289="",IF(N289="بله","الزامی — تکمیل نشده",""),IF(AND(O289&lt;&gt;"",LEFT(S289&amp;"",4)&lt;&gt;O289),"زیر کل دیگری است — کل یا معین را اصلاح کنید",IF(AND(S289=P289,FALSE,W289=""),"تداخل: کد "&amp;S289&amp;" در برگهٔ درخت جدید با نام «"&amp;T289&amp;"» از قبل تعریف شده",IF(COUNTIFS('درخت جدید'!$B:$B,S289&amp;"",'درخت جدید'!$A:$A,"معین")=0,IF(V289="","کد در درخت نیست — نام برای تعریف را بنویسید","OK"),"OK"))))</x:f>
      </x:c>
      <x:c r="V289" s="27">
        <x:f>IF(S289="","",IF(COUNTIFS('درخت جدید'!$B:$B,S289&amp;"",'درخت جدید'!$A:$A,"معین")=0,D289,""))</x:f>
      </x:c>
      <x:c r="W289" s="27"/>
      <x:c r="X289" s="38"/>
    </x:row>
    <x:row r="290" spans="1:24">
      <x:c r="A290" s="21" t="s">
        <x:v>158</x:v>
      </x:c>
      <x:c r="B290" s="22" t="s">
        <x:v>290</x:v>
      </x:c>
      <x:c r="C290" s="22" t="s">
        <x:v>159</x:v>
      </x:c>
      <x:c r="D290" s="22" t="s">
        <x:v>509</x:v>
      </x:c>
      <x:c r="E290" s="22" t="s">
        <x:v>334</x:v>
      </x:c>
      <x:c r="F290" s="22" t="s">
        <x:v>195</x:v>
      </x:c>
      <x:c r="G290" s="22" t="s">
        <x:v>199</x:v>
      </x:c>
      <x:c r="H290" s="22">
        <x:v>1</x:v>
      </x:c>
      <x:c r="I290" s="22">
        <x:v>0</x:v>
      </x:c>
      <x:c r="J290" s="22">
        <x:v>0</x:v>
      </x:c>
      <x:c r="K290" s="23">
        <x:v>0</x:v>
      </x:c>
      <x:c r="L290" s="23">
        <x:v>0</x:v>
      </x:c>
      <x:c r="M290" s="23">
        <x:f>K290-L290</x:f>
      </x:c>
      <x:c r="N290" s="22" t="s">
        <x:v>351</x:v>
      </x:c>
      <x:c r="O290" s="24">
        <x:f>IFERROR(INDEX('تطبیق کل'!$J:$J,MATCH(A290&amp;"",'تطبیق کل'!$A:$A,0))&amp;"","")</x:f>
      </x:c>
      <x:c r="P290" s="24">
        <x:f>IF(O290="","",O290&amp;B290)</x:f>
      </x:c>
      <x:c r="Q290" s="24">
        <x:f>IF(P290="","",IFERROR(INDEX('درخت جدید'!$C:$C,MATCH(P290&amp;"",'درخت جدید'!$B:$B,0)),"— در درخت نیست؛ با نام قدیم ساخته می‌شود —"))</x:f>
      </x:c>
      <x:c r="R290" s="25"/>
      <x:c r="S290" s="26">
        <x:f>P290</x:f>
      </x:c>
      <x:c r="T290" s="22">
        <x:f>IF(S290="","",IFERROR(INDEX('درخت جدید'!$C:$C,MATCH(S290&amp;"",'درخت جدید'!$B:$B,0)),"(ساخته می‌شود) "&amp;V290))</x:f>
      </x:c>
      <x:c r="U290" s="22">
        <x:f>IF(S290="",IF(N290="بله","الزامی — تکمیل نشده",""),IF(AND(O290&lt;&gt;"",LEFT(S290&amp;"",4)&lt;&gt;O290),"زیر کل دیگری است — کل یا معین را اصلاح کنید",IF(AND(S290=P290,FALSE,W290=""),"تداخل: کد "&amp;S290&amp;" در برگهٔ درخت جدید با نام «"&amp;T290&amp;"» از قبل تعریف شده",IF(COUNTIFS('درخت جدید'!$B:$B,S290&amp;"",'درخت جدید'!$A:$A,"معین")=0,IF(V290="","کد در درخت نیست — نام برای تعریف را بنویسید","OK"),"OK"))))</x:f>
      </x:c>
      <x:c r="V290" s="27">
        <x:f>IF(S290="","",IF(COUNTIFS('درخت جدید'!$B:$B,S290&amp;"",'درخت جدید'!$A:$A,"معین")=0,D290,""))</x:f>
      </x:c>
      <x:c r="W290" s="27"/>
      <x:c r="X290" s="38"/>
    </x:row>
    <x:row r="291" spans="1:24">
      <x:c r="A291" s="21" t="s">
        <x:v>158</x:v>
      </x:c>
      <x:c r="B291" s="22" t="s">
        <x:v>321</x:v>
      </x:c>
      <x:c r="C291" s="22" t="s">
        <x:v>159</x:v>
      </x:c>
      <x:c r="D291" s="22" t="s">
        <x:v>510</x:v>
      </x:c>
      <x:c r="E291" s="22" t="s">
        <x:v>334</x:v>
      </x:c>
      <x:c r="F291" s="22" t="s">
        <x:v>195</x:v>
      </x:c>
      <x:c r="G291" s="22" t="s">
        <x:v>199</x:v>
      </x:c>
      <x:c r="H291" s="22">
        <x:v>1</x:v>
      </x:c>
      <x:c r="I291" s="22">
        <x:v>0</x:v>
      </x:c>
      <x:c r="J291" s="22">
        <x:v>0</x:v>
      </x:c>
      <x:c r="K291" s="23">
        <x:v>0</x:v>
      </x:c>
      <x:c r="L291" s="23">
        <x:v>0</x:v>
      </x:c>
      <x:c r="M291" s="23">
        <x:f>K291-L291</x:f>
      </x:c>
      <x:c r="N291" s="22" t="s">
        <x:v>351</x:v>
      </x:c>
      <x:c r="O291" s="24">
        <x:f>IFERROR(INDEX('تطبیق کل'!$J:$J,MATCH(A291&amp;"",'تطبیق کل'!$A:$A,0))&amp;"","")</x:f>
      </x:c>
      <x:c r="P291" s="24">
        <x:f>IF(O291="","",O291&amp;B291)</x:f>
      </x:c>
      <x:c r="Q291" s="24">
        <x:f>IF(P291="","",IFERROR(INDEX('درخت جدید'!$C:$C,MATCH(P291&amp;"",'درخت جدید'!$B:$B,0)),"— در درخت نیست؛ با نام قدیم ساخته می‌شود —"))</x:f>
      </x:c>
      <x:c r="R291" s="25"/>
      <x:c r="S291" s="26">
        <x:f>P291</x:f>
      </x:c>
      <x:c r="T291" s="22">
        <x:f>IF(S291="","",IFERROR(INDEX('درخت جدید'!$C:$C,MATCH(S291&amp;"",'درخت جدید'!$B:$B,0)),"(ساخته می‌شود) "&amp;V291))</x:f>
      </x:c>
      <x:c r="U291" s="22">
        <x:f>IF(S291="",IF(N291="بله","الزامی — تکمیل نشده",""),IF(AND(O291&lt;&gt;"",LEFT(S291&amp;"",4)&lt;&gt;O291),"زیر کل دیگری است — کل یا معین را اصلاح کنید",IF(AND(S291=P291,FALSE,W291=""),"تداخل: کد "&amp;S291&amp;" در برگهٔ درخت جدید با نام «"&amp;T291&amp;"» از قبل تعریف شده",IF(COUNTIFS('درخت جدید'!$B:$B,S291&amp;"",'درخت جدید'!$A:$A,"معین")=0,IF(V291="","کد در درخت نیست — نام برای تعریف را بنویسید","OK"),"OK"))))</x:f>
      </x:c>
      <x:c r="V291" s="27">
        <x:f>IF(S291="","",IF(COUNTIFS('درخت جدید'!$B:$B,S291&amp;"",'درخت جدید'!$A:$A,"معین")=0,D291,""))</x:f>
      </x:c>
      <x:c r="W291" s="27"/>
      <x:c r="X291" s="38"/>
    </x:row>
    <x:row r="292" spans="1:24">
      <x:c r="A292" s="21" t="s">
        <x:v>158</x:v>
      </x:c>
      <x:c r="B292" s="22" t="s">
        <x:v>323</x:v>
      </x:c>
      <x:c r="C292" s="22" t="s">
        <x:v>159</x:v>
      </x:c>
      <x:c r="D292" s="22" t="s">
        <x:v>511</x:v>
      </x:c>
      <x:c r="E292" s="22" t="s">
        <x:v>334</x:v>
      </x:c>
      <x:c r="F292" s="22" t="s">
        <x:v>195</x:v>
      </x:c>
      <x:c r="G292" s="22" t="s">
        <x:v>199</x:v>
      </x:c>
      <x:c r="H292" s="22">
        <x:v>1</x:v>
      </x:c>
      <x:c r="I292" s="22">
        <x:v>0</x:v>
      </x:c>
      <x:c r="J292" s="22">
        <x:v>0</x:v>
      </x:c>
      <x:c r="K292" s="23">
        <x:v>0</x:v>
      </x:c>
      <x:c r="L292" s="23">
        <x:v>0</x:v>
      </x:c>
      <x:c r="M292" s="23">
        <x:f>K292-L292</x:f>
      </x:c>
      <x:c r="N292" s="22" t="s">
        <x:v>351</x:v>
      </x:c>
      <x:c r="O292" s="24">
        <x:f>IFERROR(INDEX('تطبیق کل'!$J:$J,MATCH(A292&amp;"",'تطبیق کل'!$A:$A,0))&amp;"","")</x:f>
      </x:c>
      <x:c r="P292" s="24">
        <x:f>IF(O292="","",O292&amp;B292)</x:f>
      </x:c>
      <x:c r="Q292" s="24">
        <x:f>IF(P292="","",IFERROR(INDEX('درخت جدید'!$C:$C,MATCH(P292&amp;"",'درخت جدید'!$B:$B,0)),"— در درخت نیست؛ با نام قدیم ساخته می‌شود —"))</x:f>
      </x:c>
      <x:c r="R292" s="25"/>
      <x:c r="S292" s="26">
        <x:f>P292</x:f>
      </x:c>
      <x:c r="T292" s="22">
        <x:f>IF(S292="","",IFERROR(INDEX('درخت جدید'!$C:$C,MATCH(S292&amp;"",'درخت جدید'!$B:$B,0)),"(ساخته می‌شود) "&amp;V292))</x:f>
      </x:c>
      <x:c r="U292" s="22">
        <x:f>IF(S292="",IF(N292="بله","الزامی — تکمیل نشده",""),IF(AND(O292&lt;&gt;"",LEFT(S292&amp;"",4)&lt;&gt;O292),"زیر کل دیگری است — کل یا معین را اصلاح کنید",IF(AND(S292=P292,FALSE,W292=""),"تداخل: کد "&amp;S292&amp;" در برگهٔ درخت جدید با نام «"&amp;T292&amp;"» از قبل تعریف شده",IF(COUNTIFS('درخت جدید'!$B:$B,S292&amp;"",'درخت جدید'!$A:$A,"معین")=0,IF(V292="","کد در درخت نیست — نام برای تعریف را بنویسید","OK"),"OK"))))</x:f>
      </x:c>
      <x:c r="V292" s="27">
        <x:f>IF(S292="","",IF(COUNTIFS('درخت جدید'!$B:$B,S292&amp;"",'درخت جدید'!$A:$A,"معین")=0,D292,""))</x:f>
      </x:c>
      <x:c r="W292" s="27"/>
      <x:c r="X292" s="38"/>
    </x:row>
    <x:row r="293" spans="1:24">
      <x:c r="A293" s="21" t="s">
        <x:v>158</x:v>
      </x:c>
      <x:c r="B293" s="22" t="s">
        <x:v>398</x:v>
      </x:c>
      <x:c r="C293" s="22" t="s">
        <x:v>159</x:v>
      </x:c>
      <x:c r="D293" s="22" t="s">
        <x:v>512</x:v>
      </x:c>
      <x:c r="E293" s="22" t="s">
        <x:v>334</x:v>
      </x:c>
      <x:c r="F293" s="22" t="s">
        <x:v>195</x:v>
      </x:c>
      <x:c r="G293" s="22" t="s">
        <x:v>199</x:v>
      </x:c>
      <x:c r="H293" s="22">
        <x:v>1</x:v>
      </x:c>
      <x:c r="I293" s="22">
        <x:v>0</x:v>
      </x:c>
      <x:c r="J293" s="22">
        <x:v>0</x:v>
      </x:c>
      <x:c r="K293" s="23">
        <x:v>0</x:v>
      </x:c>
      <x:c r="L293" s="23">
        <x:v>0</x:v>
      </x:c>
      <x:c r="M293" s="23">
        <x:f>K293-L293</x:f>
      </x:c>
      <x:c r="N293" s="22" t="s">
        <x:v>351</x:v>
      </x:c>
      <x:c r="O293" s="24">
        <x:f>IFERROR(INDEX('تطبیق کل'!$J:$J,MATCH(A293&amp;"",'تطبیق کل'!$A:$A,0))&amp;"","")</x:f>
      </x:c>
      <x:c r="P293" s="24">
        <x:f>IF(O293="","",O293&amp;B293)</x:f>
      </x:c>
      <x:c r="Q293" s="24">
        <x:f>IF(P293="","",IFERROR(INDEX('درخت جدید'!$C:$C,MATCH(P293&amp;"",'درخت جدید'!$B:$B,0)),"— در درخت نیست؛ با نام قدیم ساخته می‌شود —"))</x:f>
      </x:c>
      <x:c r="R293" s="25"/>
      <x:c r="S293" s="26">
        <x:f>P293</x:f>
      </x:c>
      <x:c r="T293" s="22">
        <x:f>IF(S293="","",IFERROR(INDEX('درخت جدید'!$C:$C,MATCH(S293&amp;"",'درخت جدید'!$B:$B,0)),"(ساخته می‌شود) "&amp;V293))</x:f>
      </x:c>
      <x:c r="U293" s="22">
        <x:f>IF(S293="",IF(N293="بله","الزامی — تکمیل نشده",""),IF(AND(O293&lt;&gt;"",LEFT(S293&amp;"",4)&lt;&gt;O293),"زیر کل دیگری است — کل یا معین را اصلاح کنید",IF(AND(S293=P293,FALSE,W293=""),"تداخل: کد "&amp;S293&amp;" در برگهٔ درخت جدید با نام «"&amp;T293&amp;"» از قبل تعریف شده",IF(COUNTIFS('درخت جدید'!$B:$B,S293&amp;"",'درخت جدید'!$A:$A,"معین")=0,IF(V293="","کد در درخت نیست — نام برای تعریف را بنویسید","OK"),"OK"))))</x:f>
      </x:c>
      <x:c r="V293" s="27">
        <x:f>IF(S293="","",IF(COUNTIFS('درخت جدید'!$B:$B,S293&amp;"",'درخت جدید'!$A:$A,"معین")=0,D293,""))</x:f>
      </x:c>
      <x:c r="W293" s="27"/>
      <x:c r="X293" s="38"/>
    </x:row>
    <x:row r="294" spans="1:24">
      <x:c r="A294" s="21" t="s">
        <x:v>158</x:v>
      </x:c>
      <x:c r="B294" s="22" t="s">
        <x:v>81</x:v>
      </x:c>
      <x:c r="C294" s="22" t="s">
        <x:v>159</x:v>
      </x:c>
      <x:c r="D294" s="22" t="s">
        <x:v>513</x:v>
      </x:c>
      <x:c r="E294" s="22" t="s">
        <x:v>334</x:v>
      </x:c>
      <x:c r="F294" s="22" t="s">
        <x:v>195</x:v>
      </x:c>
      <x:c r="G294" s="22" t="s">
        <x:v>199</x:v>
      </x:c>
      <x:c r="H294" s="22">
        <x:v>1</x:v>
      </x:c>
      <x:c r="I294" s="22">
        <x:v>0</x:v>
      </x:c>
      <x:c r="J294" s="22">
        <x:v>0</x:v>
      </x:c>
      <x:c r="K294" s="23">
        <x:v>0</x:v>
      </x:c>
      <x:c r="L294" s="23">
        <x:v>0</x:v>
      </x:c>
      <x:c r="M294" s="23">
        <x:f>K294-L294</x:f>
      </x:c>
      <x:c r="N294" s="22" t="s">
        <x:v>351</x:v>
      </x:c>
      <x:c r="O294" s="24">
        <x:f>IFERROR(INDEX('تطبیق کل'!$J:$J,MATCH(A294&amp;"",'تطبیق کل'!$A:$A,0))&amp;"","")</x:f>
      </x:c>
      <x:c r="P294" s="24">
        <x:f>IF(O294="","",O294&amp;B294)</x:f>
      </x:c>
      <x:c r="Q294" s="24">
        <x:f>IF(P294="","",IFERROR(INDEX('درخت جدید'!$C:$C,MATCH(P294&amp;"",'درخت جدید'!$B:$B,0)),"— در درخت نیست؛ با نام قدیم ساخته می‌شود —"))</x:f>
      </x:c>
      <x:c r="R294" s="25"/>
      <x:c r="S294" s="26">
        <x:f>P294</x:f>
      </x:c>
      <x:c r="T294" s="22">
        <x:f>IF(S294="","",IFERROR(INDEX('درخت جدید'!$C:$C,MATCH(S294&amp;"",'درخت جدید'!$B:$B,0)),"(ساخته می‌شود) "&amp;V294))</x:f>
      </x:c>
      <x:c r="U294" s="22">
        <x:f>IF(S294="",IF(N294="بله","الزامی — تکمیل نشده",""),IF(AND(O294&lt;&gt;"",LEFT(S294&amp;"",4)&lt;&gt;O294),"زیر کل دیگری است — کل یا معین را اصلاح کنید",IF(AND(S294=P294,FALSE,W294=""),"تداخل: کد "&amp;S294&amp;" در برگهٔ درخت جدید با نام «"&amp;T294&amp;"» از قبل تعریف شده",IF(COUNTIFS('درخت جدید'!$B:$B,S294&amp;"",'درخت جدید'!$A:$A,"معین")=0,IF(V294="","کد در درخت نیست — نام برای تعریف را بنویسید","OK"),"OK"))))</x:f>
      </x:c>
      <x:c r="V294" s="27">
        <x:f>IF(S294="","",IF(COUNTIFS('درخت جدید'!$B:$B,S294&amp;"",'درخت جدید'!$A:$A,"معین")=0,D294,""))</x:f>
      </x:c>
      <x:c r="W294" s="27"/>
      <x:c r="X294" s="38"/>
    </x:row>
    <x:row r="295" spans="1:24">
      <x:c r="A295" s="21" t="s">
        <x:v>158</x:v>
      </x:c>
      <x:c r="B295" s="22" t="s">
        <x:v>458</x:v>
      </x:c>
      <x:c r="C295" s="22" t="s">
        <x:v>159</x:v>
      </x:c>
      <x:c r="D295" s="22" t="s">
        <x:v>514</x:v>
      </x:c>
      <x:c r="E295" s="22" t="s">
        <x:v>334</x:v>
      </x:c>
      <x:c r="F295" s="22" t="s">
        <x:v>195</x:v>
      </x:c>
      <x:c r="G295" s="22" t="s">
        <x:v>199</x:v>
      </x:c>
      <x:c r="H295" s="22">
        <x:v>3</x:v>
      </x:c>
      <x:c r="I295" s="22">
        <x:v>0</x:v>
      </x:c>
      <x:c r="J295" s="22">
        <x:v>0</x:v>
      </x:c>
      <x:c r="K295" s="23">
        <x:v>0</x:v>
      </x:c>
      <x:c r="L295" s="23">
        <x:v>0</x:v>
      </x:c>
      <x:c r="M295" s="23">
        <x:f>K295-L295</x:f>
      </x:c>
      <x:c r="N295" s="22" t="s">
        <x:v>351</x:v>
      </x:c>
      <x:c r="O295" s="24">
        <x:f>IFERROR(INDEX('تطبیق کل'!$J:$J,MATCH(A295&amp;"",'تطبیق کل'!$A:$A,0))&amp;"","")</x:f>
      </x:c>
      <x:c r="P295" s="24">
        <x:f>IF(O295="","",O295&amp;B295)</x:f>
      </x:c>
      <x:c r="Q295" s="24">
        <x:f>IF(P295="","",IFERROR(INDEX('درخت جدید'!$C:$C,MATCH(P295&amp;"",'درخت جدید'!$B:$B,0)),"— در درخت نیست؛ با نام قدیم ساخته می‌شود —"))</x:f>
      </x:c>
      <x:c r="R295" s="25"/>
      <x:c r="S295" s="26">
        <x:f>P295</x:f>
      </x:c>
      <x:c r="T295" s="22">
        <x:f>IF(S295="","",IFERROR(INDEX('درخت جدید'!$C:$C,MATCH(S295&amp;"",'درخت جدید'!$B:$B,0)),"(ساخته می‌شود) "&amp;V295))</x:f>
      </x:c>
      <x:c r="U295" s="22">
        <x:f>IF(S295="",IF(N295="بله","الزامی — تکمیل نشده",""),IF(AND(O295&lt;&gt;"",LEFT(S295&amp;"",4)&lt;&gt;O295),"زیر کل دیگری است — کل یا معین را اصلاح کنید",IF(AND(S295=P295,FALSE,W295=""),"تداخل: کد "&amp;S295&amp;" در برگهٔ درخت جدید با نام «"&amp;T295&amp;"» از قبل تعریف شده",IF(COUNTIFS('درخت جدید'!$B:$B,S295&amp;"",'درخت جدید'!$A:$A,"معین")=0,IF(V295="","کد در درخت نیست — نام برای تعریف را بنویسید","OK"),"OK"))))</x:f>
      </x:c>
      <x:c r="V295" s="27">
        <x:f>IF(S295="","",IF(COUNTIFS('درخت جدید'!$B:$B,S295&amp;"",'درخت جدید'!$A:$A,"معین")=0,D295,""))</x:f>
      </x:c>
      <x:c r="W295" s="27"/>
      <x:c r="X295" s="38"/>
    </x:row>
    <x:row r="296" spans="1:24">
      <x:c r="A296" s="21" t="s">
        <x:v>162</x:v>
      </x:c>
      <x:c r="B296" s="22" t="s">
        <x:v>202</x:v>
      </x:c>
      <x:c r="C296" s="22" t="s">
        <x:v>163</x:v>
      </x:c>
      <x:c r="D296" s="22" t="s">
        <x:v>515</x:v>
      </x:c>
      <x:c r="E296" s="22" t="s">
        <x:v>194</x:v>
      </x:c>
      <x:c r="F296" s="22" t="s">
        <x:v>194</x:v>
      </x:c>
      <x:c r="G296" s="22" t="s">
        <x:v>199</x:v>
      </x:c>
      <x:c r="H296" s="22">
        <x:v>2</x:v>
      </x:c>
      <x:c r="I296" s="22">
        <x:v>0</x:v>
      </x:c>
      <x:c r="J296" s="22">
        <x:v>0</x:v>
      </x:c>
      <x:c r="K296" s="23">
        <x:v>0</x:v>
      </x:c>
      <x:c r="L296" s="23">
        <x:v>0</x:v>
      </x:c>
      <x:c r="M296" s="23">
        <x:f>K296-L296</x:f>
      </x:c>
      <x:c r="N296" s="22" t="s">
        <x:v>351</x:v>
      </x:c>
      <x:c r="O296" s="24">
        <x:f>IFERROR(INDEX('تطبیق کل'!$J:$J,MATCH(A296&amp;"",'تطبیق کل'!$A:$A,0))&amp;"","")</x:f>
      </x:c>
      <x:c r="P296" s="24">
        <x:f>IF(O296="","",O296&amp;B296)</x:f>
      </x:c>
      <x:c r="Q296" s="24">
        <x:f>IF(P296="","",IFERROR(INDEX('درخت جدید'!$C:$C,MATCH(P296&amp;"",'درخت جدید'!$B:$B,0)),"— در درخت نیست؛ با نام قدیم ساخته می‌شود —"))</x:f>
      </x:c>
      <x:c r="R296" s="25"/>
      <x:c r="S296" s="26">
        <x:f>P296</x:f>
      </x:c>
      <x:c r="T296" s="22">
        <x:f>IF(S296="","",IFERROR(INDEX('درخت جدید'!$C:$C,MATCH(S296&amp;"",'درخت جدید'!$B:$B,0)),"(ساخته می‌شود) "&amp;V296))</x:f>
      </x:c>
      <x:c r="U296" s="22">
        <x:f>IF(S296="",IF(N296="بله","الزامی — تکمیل نشده",""),IF(AND(O296&lt;&gt;"",LEFT(S296&amp;"",4)&lt;&gt;O296),"زیر کل دیگری است — کل یا معین را اصلاح کنید",IF(AND(S296=P296,FALSE,W296=""),"تداخل: کد "&amp;S296&amp;" در برگهٔ درخت جدید با نام «"&amp;T296&amp;"» از قبل تعریف شده",IF(COUNTIFS('درخت جدید'!$B:$B,S296&amp;"",'درخت جدید'!$A:$A,"معین")=0,IF(V296="","کد در درخت نیست — نام برای تعریف را بنویسید","OK"),"OK"))))</x:f>
      </x:c>
      <x:c r="V296" s="27">
        <x:f>IF(S296="","",IF(COUNTIFS('درخت جدید'!$B:$B,S296&amp;"",'درخت جدید'!$A:$A,"معین")=0,D296,""))</x:f>
      </x:c>
      <x:c r="W296" s="27"/>
      <x:c r="X296" s="38"/>
    </x:row>
    <x:row r="297" spans="1:24">
      <x:c r="A297" s="21" t="s">
        <x:v>162</x:v>
      </x:c>
      <x:c r="B297" s="22" t="s">
        <x:v>18</x:v>
      </x:c>
      <x:c r="C297" s="22" t="s">
        <x:v>163</x:v>
      </x:c>
      <x:c r="D297" s="22" t="s">
        <x:v>516</x:v>
      </x:c>
      <x:c r="E297" s="22" t="s">
        <x:v>194</x:v>
      </x:c>
      <x:c r="F297" s="22" t="s">
        <x:v>194</x:v>
      </x:c>
      <x:c r="G297" s="22" t="s">
        <x:v>199</x:v>
      </x:c>
      <x:c r="H297" s="22">
        <x:v>1</x:v>
      </x:c>
      <x:c r="I297" s="22">
        <x:v>0</x:v>
      </x:c>
      <x:c r="J297" s="22">
        <x:v>0</x:v>
      </x:c>
      <x:c r="K297" s="23">
        <x:v>0</x:v>
      </x:c>
      <x:c r="L297" s="23">
        <x:v>0</x:v>
      </x:c>
      <x:c r="M297" s="23">
        <x:f>K297-L297</x:f>
      </x:c>
      <x:c r="N297" s="22" t="s">
        <x:v>351</x:v>
      </x:c>
      <x:c r="O297" s="24">
        <x:f>IFERROR(INDEX('تطبیق کل'!$J:$J,MATCH(A297&amp;"",'تطبیق کل'!$A:$A,0))&amp;"","")</x:f>
      </x:c>
      <x:c r="P297" s="24">
        <x:f>IF(O297="","",O297&amp;B297)</x:f>
      </x:c>
      <x:c r="Q297" s="24">
        <x:f>IF(P297="","",IFERROR(INDEX('درخت جدید'!$C:$C,MATCH(P297&amp;"",'درخت جدید'!$B:$B,0)),"— در درخت نیست؛ با نام قدیم ساخته می‌شود —"))</x:f>
      </x:c>
      <x:c r="R297" s="25"/>
      <x:c r="S297" s="26">
        <x:f>P297</x:f>
      </x:c>
      <x:c r="T297" s="22">
        <x:f>IF(S297="","",IFERROR(INDEX('درخت جدید'!$C:$C,MATCH(S297&amp;"",'درخت جدید'!$B:$B,0)),"(ساخته می‌شود) "&amp;V297))</x:f>
      </x:c>
      <x:c r="U297" s="22">
        <x:f>IF(S297="",IF(N297="بله","الزامی — تکمیل نشده",""),IF(AND(O297&lt;&gt;"",LEFT(S297&amp;"",4)&lt;&gt;O297),"زیر کل دیگری است — کل یا معین را اصلاح کنید",IF(AND(S297=P297,FALSE,W297=""),"تداخل: کد "&amp;S297&amp;" در برگهٔ درخت جدید با نام «"&amp;T297&amp;"» از قبل تعریف شده",IF(COUNTIFS('درخت جدید'!$B:$B,S297&amp;"",'درخت جدید'!$A:$A,"معین")=0,IF(V297="","کد در درخت نیست — نام برای تعریف را بنویسید","OK"),"OK"))))</x:f>
      </x:c>
      <x:c r="V297" s="27">
        <x:f>IF(S297="","",IF(COUNTIFS('درخت جدید'!$B:$B,S297&amp;"",'درخت جدید'!$A:$A,"معین")=0,D297,""))</x:f>
      </x:c>
      <x:c r="W297" s="27"/>
      <x:c r="X297" s="38"/>
    </x:row>
    <x:row r="298" spans="1:24">
      <x:c r="A298" s="21" t="s">
        <x:v>162</x:v>
      </x:c>
      <x:c r="B298" s="22" t="s">
        <x:v>21</x:v>
      </x:c>
      <x:c r="C298" s="22" t="s">
        <x:v>163</x:v>
      </x:c>
      <x:c r="D298" s="22" t="s">
        <x:v>517</x:v>
      </x:c>
      <x:c r="E298" s="22" t="s">
        <x:v>194</x:v>
      </x:c>
      <x:c r="F298" s="22" t="s">
        <x:v>194</x:v>
      </x:c>
      <x:c r="G298" s="22" t="s">
        <x:v>199</x:v>
      </x:c>
      <x:c r="H298" s="22">
        <x:v>1</x:v>
      </x:c>
      <x:c r="I298" s="22">
        <x:v>0</x:v>
      </x:c>
      <x:c r="J298" s="22">
        <x:v>0</x:v>
      </x:c>
      <x:c r="K298" s="23">
        <x:v>0</x:v>
      </x:c>
      <x:c r="L298" s="23">
        <x:v>0</x:v>
      </x:c>
      <x:c r="M298" s="23">
        <x:f>K298-L298</x:f>
      </x:c>
      <x:c r="N298" s="22" t="s">
        <x:v>351</x:v>
      </x:c>
      <x:c r="O298" s="24">
        <x:f>IFERROR(INDEX('تطبیق کل'!$J:$J,MATCH(A298&amp;"",'تطبیق کل'!$A:$A,0))&amp;"","")</x:f>
      </x:c>
      <x:c r="P298" s="24">
        <x:f>IF(O298="","",O298&amp;B298)</x:f>
      </x:c>
      <x:c r="Q298" s="24">
        <x:f>IF(P298="","",IFERROR(INDEX('درخت جدید'!$C:$C,MATCH(P298&amp;"",'درخت جدید'!$B:$B,0)),"— در درخت نیست؛ با نام قدیم ساخته می‌شود —"))</x:f>
      </x:c>
      <x:c r="R298" s="25"/>
      <x:c r="S298" s="26">
        <x:f>P298</x:f>
      </x:c>
      <x:c r="T298" s="22">
        <x:f>IF(S298="","",IFERROR(INDEX('درخت جدید'!$C:$C,MATCH(S298&amp;"",'درخت جدید'!$B:$B,0)),"(ساخته می‌شود) "&amp;V298))</x:f>
      </x:c>
      <x:c r="U298" s="22">
        <x:f>IF(S298="",IF(N298="بله","الزامی — تکمیل نشده",""),IF(AND(O298&lt;&gt;"",LEFT(S298&amp;"",4)&lt;&gt;O298),"زیر کل دیگری است — کل یا معین را اصلاح کنید",IF(AND(S298=P298,FALSE,W298=""),"تداخل: کد "&amp;S298&amp;" در برگهٔ درخت جدید با نام «"&amp;T298&amp;"» از قبل تعریف شده",IF(COUNTIFS('درخت جدید'!$B:$B,S298&amp;"",'درخت جدید'!$A:$A,"معین")=0,IF(V298="","کد در درخت نیست — نام برای تعریف را بنویسید","OK"),"OK"))))</x:f>
      </x:c>
      <x:c r="V298" s="27">
        <x:f>IF(S298="","",IF(COUNTIFS('درخت جدید'!$B:$B,S298&amp;"",'درخت جدید'!$A:$A,"معین")=0,D298,""))</x:f>
      </x:c>
      <x:c r="W298" s="27"/>
      <x:c r="X298" s="38"/>
    </x:row>
    <x:row r="299" spans="1:24">
      <x:c r="A299" s="21" t="s">
        <x:v>162</x:v>
      </x:c>
      <x:c r="B299" s="22" t="s">
        <x:v>24</x:v>
      </x:c>
      <x:c r="C299" s="22" t="s">
        <x:v>163</x:v>
      </x:c>
      <x:c r="D299" s="22" t="s">
        <x:v>518</x:v>
      </x:c>
      <x:c r="E299" s="22" t="s">
        <x:v>194</x:v>
      </x:c>
      <x:c r="F299" s="22" t="s">
        <x:v>194</x:v>
      </x:c>
      <x:c r="G299" s="22" t="s">
        <x:v>199</x:v>
      </x:c>
      <x:c r="H299" s="22">
        <x:v>1</x:v>
      </x:c>
      <x:c r="I299" s="22">
        <x:v>0</x:v>
      </x:c>
      <x:c r="J299" s="22">
        <x:v>0</x:v>
      </x:c>
      <x:c r="K299" s="23">
        <x:v>0</x:v>
      </x:c>
      <x:c r="L299" s="23">
        <x:v>0</x:v>
      </x:c>
      <x:c r="M299" s="23">
        <x:f>K299-L299</x:f>
      </x:c>
      <x:c r="N299" s="22" t="s">
        <x:v>351</x:v>
      </x:c>
      <x:c r="O299" s="24">
        <x:f>IFERROR(INDEX('تطبیق کل'!$J:$J,MATCH(A299&amp;"",'تطبیق کل'!$A:$A,0))&amp;"","")</x:f>
      </x:c>
      <x:c r="P299" s="24">
        <x:f>IF(O299="","",O299&amp;B299)</x:f>
      </x:c>
      <x:c r="Q299" s="24">
        <x:f>IF(P299="","",IFERROR(INDEX('درخت جدید'!$C:$C,MATCH(P299&amp;"",'درخت جدید'!$B:$B,0)),"— در درخت نیست؛ با نام قدیم ساخته می‌شود —"))</x:f>
      </x:c>
      <x:c r="R299" s="25"/>
      <x:c r="S299" s="26">
        <x:f>P299</x:f>
      </x:c>
      <x:c r="T299" s="22">
        <x:f>IF(S299="","",IFERROR(INDEX('درخت جدید'!$C:$C,MATCH(S299&amp;"",'درخت جدید'!$B:$B,0)),"(ساخته می‌شود) "&amp;V299))</x:f>
      </x:c>
      <x:c r="U299" s="22">
        <x:f>IF(S299="",IF(N299="بله","الزامی — تکمیل نشده",""),IF(AND(O299&lt;&gt;"",LEFT(S299&amp;"",4)&lt;&gt;O299),"زیر کل دیگری است — کل یا معین را اصلاح کنید",IF(AND(S299=P299,FALSE,W299=""),"تداخل: کد "&amp;S299&amp;" در برگهٔ درخت جدید با نام «"&amp;T299&amp;"» از قبل تعریف شده",IF(COUNTIFS('درخت جدید'!$B:$B,S299&amp;"",'درخت جدید'!$A:$A,"معین")=0,IF(V299="","کد در درخت نیست — نام برای تعریف را بنویسید","OK"),"OK"))))</x:f>
      </x:c>
      <x:c r="V299" s="27">
        <x:f>IF(S299="","",IF(COUNTIFS('درخت جدید'!$B:$B,S299&amp;"",'درخت جدید'!$A:$A,"معین")=0,D299,""))</x:f>
      </x:c>
      <x:c r="W299" s="27"/>
      <x:c r="X299" s="38"/>
    </x:row>
    <x:row r="300" spans="1:24">
      <x:c r="A300" s="21" t="s">
        <x:v>162</x:v>
      </x:c>
      <x:c r="B300" s="22" t="s">
        <x:v>197</x:v>
      </x:c>
      <x:c r="C300" s="22" t="s">
        <x:v>163</x:v>
      </x:c>
      <x:c r="D300" s="22" t="s">
        <x:v>519</x:v>
      </x:c>
      <x:c r="E300" s="22" t="s">
        <x:v>194</x:v>
      </x:c>
      <x:c r="F300" s="22" t="s">
        <x:v>194</x:v>
      </x:c>
      <x:c r="G300" s="22" t="s">
        <x:v>199</x:v>
      </x:c>
      <x:c r="H300" s="22">
        <x:v>10</x:v>
      </x:c>
      <x:c r="I300" s="22">
        <x:v>0</x:v>
      </x:c>
      <x:c r="J300" s="22">
        <x:v>0</x:v>
      </x:c>
      <x:c r="K300" s="23">
        <x:v>0</x:v>
      </x:c>
      <x:c r="L300" s="23">
        <x:v>0</x:v>
      </x:c>
      <x:c r="M300" s="23">
        <x:f>K300-L300</x:f>
      </x:c>
      <x:c r="N300" s="22" t="s">
        <x:v>351</x:v>
      </x:c>
      <x:c r="O300" s="24">
        <x:f>IFERROR(INDEX('تطبیق کل'!$J:$J,MATCH(A300&amp;"",'تطبیق کل'!$A:$A,0))&amp;"","")</x:f>
      </x:c>
      <x:c r="P300" s="24">
        <x:f>IF(O300="","",O300&amp;B300)</x:f>
      </x:c>
      <x:c r="Q300" s="24">
        <x:f>IF(P300="","",IFERROR(INDEX('درخت جدید'!$C:$C,MATCH(P300&amp;"",'درخت جدید'!$B:$B,0)),"— در درخت نیست؛ با نام قدیم ساخته می‌شود —"))</x:f>
      </x:c>
      <x:c r="R300" s="25"/>
      <x:c r="S300" s="26">
        <x:f>P300</x:f>
      </x:c>
      <x:c r="T300" s="22">
        <x:f>IF(S300="","",IFERROR(INDEX('درخت جدید'!$C:$C,MATCH(S300&amp;"",'درخت جدید'!$B:$B,0)),"(ساخته می‌شود) "&amp;V300))</x:f>
      </x:c>
      <x:c r="U300" s="22">
        <x:f>IF(S300="",IF(N300="بله","الزامی — تکمیل نشده",""),IF(AND(O300&lt;&gt;"",LEFT(S300&amp;"",4)&lt;&gt;O300),"زیر کل دیگری است — کل یا معین را اصلاح کنید",IF(AND(S300=P300,FALSE,W300=""),"تداخل: کد "&amp;S300&amp;" در برگهٔ درخت جدید با نام «"&amp;T300&amp;"» از قبل تعریف شده",IF(COUNTIFS('درخت جدید'!$B:$B,S300&amp;"",'درخت جدید'!$A:$A,"معین")=0,IF(V300="","کد در درخت نیست — نام برای تعریف را بنویسید","OK"),"OK"))))</x:f>
      </x:c>
      <x:c r="V300" s="27">
        <x:f>IF(S300="","",IF(COUNTIFS('درخت جدید'!$B:$B,S300&amp;"",'درخت جدید'!$A:$A,"معین")=0,D300,""))</x:f>
      </x:c>
      <x:c r="W300" s="27"/>
      <x:c r="X300" s="38"/>
    </x:row>
    <x:row r="301" spans="1:24">
      <x:c r="A301" s="21" t="s">
        <x:v>162</x:v>
      </x:c>
      <x:c r="B301" s="22" t="s">
        <x:v>52</x:v>
      </x:c>
      <x:c r="C301" s="22" t="s">
        <x:v>163</x:v>
      </x:c>
      <x:c r="D301" s="22" t="s">
        <x:v>520</x:v>
      </x:c>
      <x:c r="E301" s="22" t="s">
        <x:v>194</x:v>
      </x:c>
      <x:c r="F301" s="22" t="s">
        <x:v>194</x:v>
      </x:c>
      <x:c r="G301" s="22" t="s">
        <x:v>195</x:v>
      </x:c>
      <x:c r="H301" s="22">
        <x:v>3</x:v>
      </x:c>
      <x:c r="I301" s="22">
        <x:v>0</x:v>
      </x:c>
      <x:c r="J301" s="22">
        <x:v>0</x:v>
      </x:c>
      <x:c r="K301" s="23">
        <x:v>0</x:v>
      </x:c>
      <x:c r="L301" s="23">
        <x:v>0</x:v>
      </x:c>
      <x:c r="M301" s="23">
        <x:f>K301-L301</x:f>
      </x:c>
      <x:c r="N301" s="22" t="s">
        <x:v>351</x:v>
      </x:c>
      <x:c r="O301" s="24">
        <x:f>IFERROR(INDEX('تطبیق کل'!$J:$J,MATCH(A301&amp;"",'تطبیق کل'!$A:$A,0))&amp;"","")</x:f>
      </x:c>
      <x:c r="P301" s="24">
        <x:f>IF(O301="","",O301&amp;B301)</x:f>
      </x:c>
      <x:c r="Q301" s="24">
        <x:f>IF(P301="","",IFERROR(INDEX('درخت جدید'!$C:$C,MATCH(P301&amp;"",'درخت جدید'!$B:$B,0)),"— در درخت نیست؛ با نام قدیم ساخته می‌شود —"))</x:f>
      </x:c>
      <x:c r="R301" s="25"/>
      <x:c r="S301" s="26">
        <x:f>P301</x:f>
      </x:c>
      <x:c r="T301" s="22">
        <x:f>IF(S301="","",IFERROR(INDEX('درخت جدید'!$C:$C,MATCH(S301&amp;"",'درخت جدید'!$B:$B,0)),"(ساخته می‌شود) "&amp;V301))</x:f>
      </x:c>
      <x:c r="U301" s="22">
        <x:f>IF(S301="",IF(N301="بله","الزامی — تکمیل نشده",""),IF(AND(O301&lt;&gt;"",LEFT(S301&amp;"",4)&lt;&gt;O301),"زیر کل دیگری است — کل یا معین را اصلاح کنید",IF(AND(S301=P301,FALSE,W301=""),"تداخل: کد "&amp;S301&amp;" در برگهٔ درخت جدید با نام «"&amp;T301&amp;"» از قبل تعریف شده",IF(COUNTIFS('درخت جدید'!$B:$B,S301&amp;"",'درخت جدید'!$A:$A,"معین")=0,IF(V301="","کد در درخت نیست — نام برای تعریف را بنویسید","OK"),"OK"))))</x:f>
      </x:c>
      <x:c r="V301" s="27">
        <x:f>IF(S301="","",IF(COUNTIFS('درخت جدید'!$B:$B,S301&amp;"",'درخت جدید'!$A:$A,"معین")=0,D301,""))</x:f>
      </x:c>
      <x:c r="W301" s="27"/>
      <x:c r="X301" s="38"/>
    </x:row>
    <x:row r="302" spans="1:24">
      <x:c r="A302" s="21" t="s">
        <x:v>162</x:v>
      </x:c>
      <x:c r="B302" s="22" t="s">
        <x:v>330</x:v>
      </x:c>
      <x:c r="C302" s="22" t="s">
        <x:v>163</x:v>
      </x:c>
      <x:c r="D302" s="22" t="s">
        <x:v>521</x:v>
      </x:c>
      <x:c r="E302" s="22" t="s">
        <x:v>194</x:v>
      </x:c>
      <x:c r="F302" s="22" t="s">
        <x:v>194</x:v>
      </x:c>
      <x:c r="G302" s="22" t="s">
        <x:v>199</x:v>
      </x:c>
      <x:c r="H302" s="22">
        <x:v>1</x:v>
      </x:c>
      <x:c r="I302" s="22">
        <x:v>0</x:v>
      </x:c>
      <x:c r="J302" s="22">
        <x:v>0</x:v>
      </x:c>
      <x:c r="K302" s="23">
        <x:v>0</x:v>
      </x:c>
      <x:c r="L302" s="23">
        <x:v>0</x:v>
      </x:c>
      <x:c r="M302" s="23">
        <x:f>K302-L302</x:f>
      </x:c>
      <x:c r="N302" s="22" t="s">
        <x:v>351</x:v>
      </x:c>
      <x:c r="O302" s="24">
        <x:f>IFERROR(INDEX('تطبیق کل'!$J:$J,MATCH(A302&amp;"",'تطبیق کل'!$A:$A,0))&amp;"","")</x:f>
      </x:c>
      <x:c r="P302" s="24">
        <x:f>IF(O302="","",O302&amp;B302)</x:f>
      </x:c>
      <x:c r="Q302" s="24">
        <x:f>IF(P302="","",IFERROR(INDEX('درخت جدید'!$C:$C,MATCH(P302&amp;"",'درخت جدید'!$B:$B,0)),"— در درخت نیست؛ با نام قدیم ساخته می‌شود —"))</x:f>
      </x:c>
      <x:c r="R302" s="25"/>
      <x:c r="S302" s="26">
        <x:f>P302</x:f>
      </x:c>
      <x:c r="T302" s="22">
        <x:f>IF(S302="","",IFERROR(INDEX('درخت جدید'!$C:$C,MATCH(S302&amp;"",'درخت جدید'!$B:$B,0)),"(ساخته می‌شود) "&amp;V302))</x:f>
      </x:c>
      <x:c r="U302" s="22">
        <x:f>IF(S302="",IF(N302="بله","الزامی — تکمیل نشده",""),IF(AND(O302&lt;&gt;"",LEFT(S302&amp;"",4)&lt;&gt;O302),"زیر کل دیگری است — کل یا معین را اصلاح کنید",IF(AND(S302=P302,FALSE,W302=""),"تداخل: کد "&amp;S302&amp;" در برگهٔ درخت جدید با نام «"&amp;T302&amp;"» از قبل تعریف شده",IF(COUNTIFS('درخت جدید'!$B:$B,S302&amp;"",'درخت جدید'!$A:$A,"معین")=0,IF(V302="","کد در درخت نیست — نام برای تعریف را بنویسید","OK"),"OK"))))</x:f>
      </x:c>
      <x:c r="V302" s="27">
        <x:f>IF(S302="","",IF(COUNTIFS('درخت جدید'!$B:$B,S302&amp;"",'درخت جدید'!$A:$A,"معین")=0,D302,""))</x:f>
      </x:c>
      <x:c r="W302" s="27"/>
      <x:c r="X302" s="38"/>
    </x:row>
    <x:row r="303" spans="1:24">
      <x:c r="A303" s="21" t="s">
        <x:v>162</x:v>
      </x:c>
      <x:c r="B303" s="22" t="s">
        <x:v>331</x:v>
      </x:c>
      <x:c r="C303" s="22" t="s">
        <x:v>163</x:v>
      </x:c>
      <x:c r="D303" s="22" t="s">
        <x:v>522</x:v>
      </x:c>
      <x:c r="E303" s="22" t="s">
        <x:v>194</x:v>
      </x:c>
      <x:c r="F303" s="22" t="s">
        <x:v>194</x:v>
      </x:c>
      <x:c r="G303" s="22" t="s">
        <x:v>199</x:v>
      </x:c>
      <x:c r="H303" s="22">
        <x:v>1</x:v>
      </x:c>
      <x:c r="I303" s="22">
        <x:v>0</x:v>
      </x:c>
      <x:c r="J303" s="22">
        <x:v>0</x:v>
      </x:c>
      <x:c r="K303" s="23">
        <x:v>0</x:v>
      </x:c>
      <x:c r="L303" s="23">
        <x:v>0</x:v>
      </x:c>
      <x:c r="M303" s="23">
        <x:f>K303-L303</x:f>
      </x:c>
      <x:c r="N303" s="22" t="s">
        <x:v>351</x:v>
      </x:c>
      <x:c r="O303" s="24">
        <x:f>IFERROR(INDEX('تطبیق کل'!$J:$J,MATCH(A303&amp;"",'تطبیق کل'!$A:$A,0))&amp;"","")</x:f>
      </x:c>
      <x:c r="P303" s="24">
        <x:f>IF(O303="","",O303&amp;B303)</x:f>
      </x:c>
      <x:c r="Q303" s="24">
        <x:f>IF(P303="","",IFERROR(INDEX('درخت جدید'!$C:$C,MATCH(P303&amp;"",'درخت جدید'!$B:$B,0)),"— در درخت نیست؛ با نام قدیم ساخته می‌شود —"))</x:f>
      </x:c>
      <x:c r="R303" s="25"/>
      <x:c r="S303" s="26">
        <x:f>P303</x:f>
      </x:c>
      <x:c r="T303" s="22">
        <x:f>IF(S303="","",IFERROR(INDEX('درخت جدید'!$C:$C,MATCH(S303&amp;"",'درخت جدید'!$B:$B,0)),"(ساخته می‌شود) "&amp;V303))</x:f>
      </x:c>
      <x:c r="U303" s="22">
        <x:f>IF(S303="",IF(N303="بله","الزامی — تکمیل نشده",""),IF(AND(O303&lt;&gt;"",LEFT(S303&amp;"",4)&lt;&gt;O303),"زیر کل دیگری است — کل یا معین را اصلاح کنید",IF(AND(S303=P303,FALSE,W303=""),"تداخل: کد "&amp;S303&amp;" در برگهٔ درخت جدید با نام «"&amp;T303&amp;"» از قبل تعریف شده",IF(COUNTIFS('درخت جدید'!$B:$B,S303&amp;"",'درخت جدید'!$A:$A,"معین")=0,IF(V303="","کد در درخت نیست — نام برای تعریف را بنویسید","OK"),"OK"))))</x:f>
      </x:c>
      <x:c r="V303" s="27">
        <x:f>IF(S303="","",IF(COUNTIFS('درخت جدید'!$B:$B,S303&amp;"",'درخت جدید'!$A:$A,"معین")=0,D303,""))</x:f>
      </x:c>
      <x:c r="W303" s="27"/>
      <x:c r="X303" s="38"/>
    </x:row>
    <x:row r="304" spans="1:24">
      <x:c r="A304" s="21" t="s">
        <x:v>162</x:v>
      </x:c>
      <x:c r="B304" s="22" t="s">
        <x:v>523</x:v>
      </x:c>
      <x:c r="C304" s="22" t="s">
        <x:v>163</x:v>
      </x:c>
      <x:c r="D304" s="22" t="s">
        <x:v>524</x:v>
      </x:c>
      <x:c r="E304" s="22" t="s">
        <x:v>194</x:v>
      </x:c>
      <x:c r="F304" s="22" t="s">
        <x:v>194</x:v>
      </x:c>
      <x:c r="G304" s="22" t="s">
        <x:v>199</x:v>
      </x:c>
      <x:c r="H304" s="22">
        <x:v>1</x:v>
      </x:c>
      <x:c r="I304" s="22">
        <x:v>0</x:v>
      </x:c>
      <x:c r="J304" s="22">
        <x:v>0</x:v>
      </x:c>
      <x:c r="K304" s="23">
        <x:v>0</x:v>
      </x:c>
      <x:c r="L304" s="23">
        <x:v>0</x:v>
      </x:c>
      <x:c r="M304" s="23">
        <x:f>K304-L304</x:f>
      </x:c>
      <x:c r="N304" s="22" t="s">
        <x:v>351</x:v>
      </x:c>
      <x:c r="O304" s="24">
        <x:f>IFERROR(INDEX('تطبیق کل'!$J:$J,MATCH(A304&amp;"",'تطبیق کل'!$A:$A,0))&amp;"","")</x:f>
      </x:c>
      <x:c r="P304" s="24">
        <x:f>IF(O304="","",O304&amp;B304)</x:f>
      </x:c>
      <x:c r="Q304" s="24">
        <x:f>IF(P304="","",IFERROR(INDEX('درخت جدید'!$C:$C,MATCH(P304&amp;"",'درخت جدید'!$B:$B,0)),"— در درخت نیست؛ با نام قدیم ساخته می‌شود —"))</x:f>
      </x:c>
      <x:c r="R304" s="25"/>
      <x:c r="S304" s="26">
        <x:f>P304</x:f>
      </x:c>
      <x:c r="T304" s="22">
        <x:f>IF(S304="","",IFERROR(INDEX('درخت جدید'!$C:$C,MATCH(S304&amp;"",'درخت جدید'!$B:$B,0)),"(ساخته می‌شود) "&amp;V304))</x:f>
      </x:c>
      <x:c r="U304" s="22">
        <x:f>IF(S304="",IF(N304="بله","الزامی — تکمیل نشده",""),IF(AND(O304&lt;&gt;"",LEFT(S304&amp;"",4)&lt;&gt;O304),"زیر کل دیگری است — کل یا معین را اصلاح کنید",IF(AND(S304=P304,FALSE,W304=""),"تداخل: کد "&amp;S304&amp;" در برگهٔ درخت جدید با نام «"&amp;T304&amp;"» از قبل تعریف شده",IF(COUNTIFS('درخت جدید'!$B:$B,S304&amp;"",'درخت جدید'!$A:$A,"معین")=0,IF(V304="","کد در درخت نیست — نام برای تعریف را بنویسید","OK"),"OK"))))</x:f>
      </x:c>
      <x:c r="V304" s="27">
        <x:f>IF(S304="","",IF(COUNTIFS('درخت جدید'!$B:$B,S304&amp;"",'درخت جدید'!$A:$A,"معین")=0,D304,""))</x:f>
      </x:c>
      <x:c r="W304" s="27"/>
      <x:c r="X304" s="38"/>
    </x:row>
    <x:row r="305" spans="1:24">
      <x:c r="A305" s="21" t="s">
        <x:v>166</x:v>
      </x:c>
      <x:c r="B305" s="22" t="s">
        <x:v>202</x:v>
      </x:c>
      <x:c r="C305" s="22" t="s">
        <x:v>167</x:v>
      </x:c>
      <x:c r="D305" s="22" t="s">
        <x:v>525</x:v>
      </x:c>
      <x:c r="E305" s="22" t="s">
        <x:v>195</x:v>
      </x:c>
      <x:c r="F305" s="22" t="s">
        <x:v>194</x:v>
      </x:c>
      <x:c r="G305" s="22" t="s">
        <x:v>199</x:v>
      </x:c>
      <x:c r="H305" s="22">
        <x:v>2</x:v>
      </x:c>
      <x:c r="I305" s="22">
        <x:v>0</x:v>
      </x:c>
      <x:c r="J305" s="22">
        <x:v>0</x:v>
      </x:c>
      <x:c r="K305" s="23">
        <x:v>0</x:v>
      </x:c>
      <x:c r="L305" s="23">
        <x:v>0</x:v>
      </x:c>
      <x:c r="M305" s="23">
        <x:f>K305-L305</x:f>
      </x:c>
      <x:c r="N305" s="22" t="s">
        <x:v>351</x:v>
      </x:c>
      <x:c r="O305" s="24">
        <x:f>IFERROR(INDEX('تطبیق کل'!$J:$J,MATCH(A305&amp;"",'تطبیق کل'!$A:$A,0))&amp;"","")</x:f>
      </x:c>
      <x:c r="P305" s="24">
        <x:f>IF(O305="","",O305&amp;B305)</x:f>
      </x:c>
      <x:c r="Q305" s="24">
        <x:f>IF(P305="","",IFERROR(INDEX('درخت جدید'!$C:$C,MATCH(P305&amp;"",'درخت جدید'!$B:$B,0)),"— در درخت نیست؛ با نام قدیم ساخته می‌شود —"))</x:f>
      </x:c>
      <x:c r="R305" s="25"/>
      <x:c r="S305" s="26">
        <x:f>P305</x:f>
      </x:c>
      <x:c r="T305" s="22">
        <x:f>IF(S305="","",IFERROR(INDEX('درخت جدید'!$C:$C,MATCH(S305&amp;"",'درخت جدید'!$B:$B,0)),"(ساخته می‌شود) "&amp;V305))</x:f>
      </x:c>
      <x:c r="U305" s="22">
        <x:f>IF(S305="",IF(N305="بله","الزامی — تکمیل نشده",""),IF(AND(O305&lt;&gt;"",LEFT(S305&amp;"",4)&lt;&gt;O305),"زیر کل دیگری است — کل یا معین را اصلاح کنید",IF(AND(S305=P305,FALSE,W305=""),"تداخل: کد "&amp;S305&amp;" در برگهٔ درخت جدید با نام «"&amp;T305&amp;"» از قبل تعریف شده",IF(COUNTIFS('درخت جدید'!$B:$B,S305&amp;"",'درخت جدید'!$A:$A,"معین")=0,IF(V305="","کد در درخت نیست — نام برای تعریف را بنویسید","OK"),"OK"))))</x:f>
      </x:c>
      <x:c r="V305" s="27">
        <x:f>IF(S305="","",IF(COUNTIFS('درخت جدید'!$B:$B,S305&amp;"",'درخت جدید'!$A:$A,"معین")=0,D305,""))</x:f>
      </x:c>
      <x:c r="W305" s="27"/>
      <x:c r="X305" s="38"/>
    </x:row>
    <x:row r="306" spans="1:24">
      <x:c r="A306" s="21" t="s">
        <x:v>166</x:v>
      </x:c>
      <x:c r="B306" s="22" t="s">
        <x:v>18</x:v>
      </x:c>
      <x:c r="C306" s="22" t="s">
        <x:v>167</x:v>
      </x:c>
      <x:c r="D306" s="22" t="s">
        <x:v>526</x:v>
      </x:c>
      <x:c r="E306" s="22" t="s">
        <x:v>195</x:v>
      </x:c>
      <x:c r="F306" s="22" t="s">
        <x:v>194</x:v>
      </x:c>
      <x:c r="G306" s="22" t="s">
        <x:v>199</x:v>
      </x:c>
      <x:c r="H306" s="22">
        <x:v>1</x:v>
      </x:c>
      <x:c r="I306" s="22">
        <x:v>0</x:v>
      </x:c>
      <x:c r="J306" s="22">
        <x:v>0</x:v>
      </x:c>
      <x:c r="K306" s="23">
        <x:v>0</x:v>
      </x:c>
      <x:c r="L306" s="23">
        <x:v>0</x:v>
      </x:c>
      <x:c r="M306" s="23">
        <x:f>K306-L306</x:f>
      </x:c>
      <x:c r="N306" s="22" t="s">
        <x:v>351</x:v>
      </x:c>
      <x:c r="O306" s="24">
        <x:f>IFERROR(INDEX('تطبیق کل'!$J:$J,MATCH(A306&amp;"",'تطبیق کل'!$A:$A,0))&amp;"","")</x:f>
      </x:c>
      <x:c r="P306" s="24">
        <x:f>IF(O306="","",O306&amp;B306)</x:f>
      </x:c>
      <x:c r="Q306" s="24">
        <x:f>IF(P306="","",IFERROR(INDEX('درخت جدید'!$C:$C,MATCH(P306&amp;"",'درخت جدید'!$B:$B,0)),"— در درخت نیست؛ با نام قدیم ساخته می‌شود —"))</x:f>
      </x:c>
      <x:c r="R306" s="25"/>
      <x:c r="S306" s="26">
        <x:f>P306</x:f>
      </x:c>
      <x:c r="T306" s="22">
        <x:f>IF(S306="","",IFERROR(INDEX('درخت جدید'!$C:$C,MATCH(S306&amp;"",'درخت جدید'!$B:$B,0)),"(ساخته می‌شود) "&amp;V306))</x:f>
      </x:c>
      <x:c r="U306" s="22">
        <x:f>IF(S306="",IF(N306="بله","الزامی — تکمیل نشده",""),IF(AND(O306&lt;&gt;"",LEFT(S306&amp;"",4)&lt;&gt;O306),"زیر کل دیگری است — کل یا معین را اصلاح کنید",IF(AND(S306=P306,FALSE,W306=""),"تداخل: کد "&amp;S306&amp;" در برگهٔ درخت جدید با نام «"&amp;T306&amp;"» از قبل تعریف شده",IF(COUNTIFS('درخت جدید'!$B:$B,S306&amp;"",'درخت جدید'!$A:$A,"معین")=0,IF(V306="","کد در درخت نیست — نام برای تعریف را بنویسید","OK"),"OK"))))</x:f>
      </x:c>
      <x:c r="V306" s="27">
        <x:f>IF(S306="","",IF(COUNTIFS('درخت جدید'!$B:$B,S306&amp;"",'درخت جدید'!$A:$A,"معین")=0,D306,""))</x:f>
      </x:c>
      <x:c r="W306" s="27"/>
      <x:c r="X306" s="38"/>
    </x:row>
    <x:row r="307" spans="1:24">
      <x:c r="A307" s="21" t="s">
        <x:v>166</x:v>
      </x:c>
      <x:c r="B307" s="22" t="s">
        <x:v>21</x:v>
      </x:c>
      <x:c r="C307" s="22" t="s">
        <x:v>167</x:v>
      </x:c>
      <x:c r="D307" s="22" t="s">
        <x:v>527</x:v>
      </x:c>
      <x:c r="E307" s="22" t="s">
        <x:v>195</x:v>
      </x:c>
      <x:c r="F307" s="22" t="s">
        <x:v>194</x:v>
      </x:c>
      <x:c r="G307" s="22" t="s">
        <x:v>199</x:v>
      </x:c>
      <x:c r="H307" s="22">
        <x:v>1</x:v>
      </x:c>
      <x:c r="I307" s="22">
        <x:v>0</x:v>
      </x:c>
      <x:c r="J307" s="22">
        <x:v>0</x:v>
      </x:c>
      <x:c r="K307" s="23">
        <x:v>0</x:v>
      </x:c>
      <x:c r="L307" s="23">
        <x:v>0</x:v>
      </x:c>
      <x:c r="M307" s="23">
        <x:f>K307-L307</x:f>
      </x:c>
      <x:c r="N307" s="22" t="s">
        <x:v>351</x:v>
      </x:c>
      <x:c r="O307" s="24">
        <x:f>IFERROR(INDEX('تطبیق کل'!$J:$J,MATCH(A307&amp;"",'تطبیق کل'!$A:$A,0))&amp;"","")</x:f>
      </x:c>
      <x:c r="P307" s="24">
        <x:f>IF(O307="","",O307&amp;B307)</x:f>
      </x:c>
      <x:c r="Q307" s="24">
        <x:f>IF(P307="","",IFERROR(INDEX('درخت جدید'!$C:$C,MATCH(P307&amp;"",'درخت جدید'!$B:$B,0)),"— در درخت نیست؛ با نام قدیم ساخته می‌شود —"))</x:f>
      </x:c>
      <x:c r="R307" s="25"/>
      <x:c r="S307" s="26">
        <x:f>P307</x:f>
      </x:c>
      <x:c r="T307" s="22">
        <x:f>IF(S307="","",IFERROR(INDEX('درخت جدید'!$C:$C,MATCH(S307&amp;"",'درخت جدید'!$B:$B,0)),"(ساخته می‌شود) "&amp;V307))</x:f>
      </x:c>
      <x:c r="U307" s="22">
        <x:f>IF(S307="",IF(N307="بله","الزامی — تکمیل نشده",""),IF(AND(O307&lt;&gt;"",LEFT(S307&amp;"",4)&lt;&gt;O307),"زیر کل دیگری است — کل یا معین را اصلاح کنید",IF(AND(S307=P307,FALSE,W307=""),"تداخل: کد "&amp;S307&amp;" در برگهٔ درخت جدید با نام «"&amp;T307&amp;"» از قبل تعریف شده",IF(COUNTIFS('درخت جدید'!$B:$B,S307&amp;"",'درخت جدید'!$A:$A,"معین")=0,IF(V307="","کد در درخت نیست — نام برای تعریف را بنویسید","OK"),"OK"))))</x:f>
      </x:c>
      <x:c r="V307" s="27">
        <x:f>IF(S307="","",IF(COUNTIFS('درخت جدید'!$B:$B,S307&amp;"",'درخت جدید'!$A:$A,"معین")=0,D307,""))</x:f>
      </x:c>
      <x:c r="W307" s="27"/>
      <x:c r="X307" s="38"/>
    </x:row>
    <x:row r="308" spans="1:24">
      <x:c r="A308" s="21" t="s">
        <x:v>166</x:v>
      </x:c>
      <x:c r="B308" s="22" t="s">
        <x:v>24</x:v>
      </x:c>
      <x:c r="C308" s="22" t="s">
        <x:v>167</x:v>
      </x:c>
      <x:c r="D308" s="22" t="s">
        <x:v>528</x:v>
      </x:c>
      <x:c r="E308" s="22" t="s">
        <x:v>195</x:v>
      </x:c>
      <x:c r="F308" s="22" t="s">
        <x:v>194</x:v>
      </x:c>
      <x:c r="G308" s="22" t="s">
        <x:v>199</x:v>
      </x:c>
      <x:c r="H308" s="22">
        <x:v>1</x:v>
      </x:c>
      <x:c r="I308" s="22">
        <x:v>0</x:v>
      </x:c>
      <x:c r="J308" s="22">
        <x:v>0</x:v>
      </x:c>
      <x:c r="K308" s="23">
        <x:v>0</x:v>
      </x:c>
      <x:c r="L308" s="23">
        <x:v>0</x:v>
      </x:c>
      <x:c r="M308" s="23">
        <x:f>K308-L308</x:f>
      </x:c>
      <x:c r="N308" s="22" t="s">
        <x:v>351</x:v>
      </x:c>
      <x:c r="O308" s="24">
        <x:f>IFERROR(INDEX('تطبیق کل'!$J:$J,MATCH(A308&amp;"",'تطبیق کل'!$A:$A,0))&amp;"","")</x:f>
      </x:c>
      <x:c r="P308" s="24">
        <x:f>IF(O308="","",O308&amp;B308)</x:f>
      </x:c>
      <x:c r="Q308" s="24">
        <x:f>IF(P308="","",IFERROR(INDEX('درخت جدید'!$C:$C,MATCH(P308&amp;"",'درخت جدید'!$B:$B,0)),"— در درخت نیست؛ با نام قدیم ساخته می‌شود —"))</x:f>
      </x:c>
      <x:c r="R308" s="25"/>
      <x:c r="S308" s="26">
        <x:f>P308</x:f>
      </x:c>
      <x:c r="T308" s="22">
        <x:f>IF(S308="","",IFERROR(INDEX('درخت جدید'!$C:$C,MATCH(S308&amp;"",'درخت جدید'!$B:$B,0)),"(ساخته می‌شود) "&amp;V308))</x:f>
      </x:c>
      <x:c r="U308" s="22">
        <x:f>IF(S308="",IF(N308="بله","الزامی — تکمیل نشده",""),IF(AND(O308&lt;&gt;"",LEFT(S308&amp;"",4)&lt;&gt;O308),"زیر کل دیگری است — کل یا معین را اصلاح کنید",IF(AND(S308=P308,FALSE,W308=""),"تداخل: کد "&amp;S308&amp;" در برگهٔ درخت جدید با نام «"&amp;T308&amp;"» از قبل تعریف شده",IF(COUNTIFS('درخت جدید'!$B:$B,S308&amp;"",'درخت جدید'!$A:$A,"معین")=0,IF(V308="","کد در درخت نیست — نام برای تعریف را بنویسید","OK"),"OK"))))</x:f>
      </x:c>
      <x:c r="V308" s="27">
        <x:f>IF(S308="","",IF(COUNTIFS('درخت جدید'!$B:$B,S308&amp;"",'درخت جدید'!$A:$A,"معین")=0,D308,""))</x:f>
      </x:c>
      <x:c r="W308" s="27"/>
      <x:c r="X308" s="38"/>
    </x:row>
    <x:row r="309" spans="1:24">
      <x:c r="A309" s="21" t="s">
        <x:v>166</x:v>
      </x:c>
      <x:c r="B309" s="22" t="s">
        <x:v>197</x:v>
      </x:c>
      <x:c r="C309" s="22" t="s">
        <x:v>167</x:v>
      </x:c>
      <x:c r="D309" s="22" t="s">
        <x:v>529</x:v>
      </x:c>
      <x:c r="E309" s="22" t="s">
        <x:v>195</x:v>
      </x:c>
      <x:c r="F309" s="22" t="s">
        <x:v>194</x:v>
      </x:c>
      <x:c r="G309" s="22" t="s">
        <x:v>199</x:v>
      </x:c>
      <x:c r="H309" s="22">
        <x:v>9</x:v>
      </x:c>
      <x:c r="I309" s="22">
        <x:v>0</x:v>
      </x:c>
      <x:c r="J309" s="22">
        <x:v>0</x:v>
      </x:c>
      <x:c r="K309" s="23">
        <x:v>0</x:v>
      </x:c>
      <x:c r="L309" s="23">
        <x:v>0</x:v>
      </x:c>
      <x:c r="M309" s="23">
        <x:f>K309-L309</x:f>
      </x:c>
      <x:c r="N309" s="22" t="s">
        <x:v>351</x:v>
      </x:c>
      <x:c r="O309" s="24">
        <x:f>IFERROR(INDEX('تطبیق کل'!$J:$J,MATCH(A309&amp;"",'تطبیق کل'!$A:$A,0))&amp;"","")</x:f>
      </x:c>
      <x:c r="P309" s="24">
        <x:f>IF(O309="","",O309&amp;B309)</x:f>
      </x:c>
      <x:c r="Q309" s="24">
        <x:f>IF(P309="","",IFERROR(INDEX('درخت جدید'!$C:$C,MATCH(P309&amp;"",'درخت جدید'!$B:$B,0)),"— در درخت نیست؛ با نام قدیم ساخته می‌شود —"))</x:f>
      </x:c>
      <x:c r="R309" s="25"/>
      <x:c r="S309" s="26">
        <x:f>P309</x:f>
      </x:c>
      <x:c r="T309" s="22">
        <x:f>IF(S309="","",IFERROR(INDEX('درخت جدید'!$C:$C,MATCH(S309&amp;"",'درخت جدید'!$B:$B,0)),"(ساخته می‌شود) "&amp;V309))</x:f>
      </x:c>
      <x:c r="U309" s="22">
        <x:f>IF(S309="",IF(N309="بله","الزامی — تکمیل نشده",""),IF(AND(O309&lt;&gt;"",LEFT(S309&amp;"",4)&lt;&gt;O309),"زیر کل دیگری است — کل یا معین را اصلاح کنید",IF(AND(S309=P309,FALSE,W309=""),"تداخل: کد "&amp;S309&amp;" در برگهٔ درخت جدید با نام «"&amp;T309&amp;"» از قبل تعریف شده",IF(COUNTIFS('درخت جدید'!$B:$B,S309&amp;"",'درخت جدید'!$A:$A,"معین")=0,IF(V309="","کد در درخت نیست — نام برای تعریف را بنویسید","OK"),"OK"))))</x:f>
      </x:c>
      <x:c r="V309" s="27">
        <x:f>IF(S309="","",IF(COUNTIFS('درخت جدید'!$B:$B,S309&amp;"",'درخت جدید'!$A:$A,"معین")=0,D309,""))</x:f>
      </x:c>
      <x:c r="W309" s="27"/>
      <x:c r="X309" s="38"/>
    </x:row>
    <x:row r="310" spans="1:24">
      <x:c r="A310" s="21" t="s">
        <x:v>166</x:v>
      </x:c>
      <x:c r="B310" s="22" t="s">
        <x:v>52</x:v>
      </x:c>
      <x:c r="C310" s="22" t="s">
        <x:v>167</x:v>
      </x:c>
      <x:c r="D310" s="22" t="s">
        <x:v>530</x:v>
      </x:c>
      <x:c r="E310" s="22" t="s">
        <x:v>195</x:v>
      </x:c>
      <x:c r="F310" s="22" t="s">
        <x:v>194</x:v>
      </x:c>
      <x:c r="G310" s="22" t="s">
        <x:v>195</x:v>
      </x:c>
      <x:c r="H310" s="22">
        <x:v>3</x:v>
      </x:c>
      <x:c r="I310" s="22">
        <x:v>0</x:v>
      </x:c>
      <x:c r="J310" s="22">
        <x:v>0</x:v>
      </x:c>
      <x:c r="K310" s="23">
        <x:v>0</x:v>
      </x:c>
      <x:c r="L310" s="23">
        <x:v>0</x:v>
      </x:c>
      <x:c r="M310" s="23">
        <x:f>K310-L310</x:f>
      </x:c>
      <x:c r="N310" s="22" t="s">
        <x:v>351</x:v>
      </x:c>
      <x:c r="O310" s="24">
        <x:f>IFERROR(INDEX('تطبیق کل'!$J:$J,MATCH(A310&amp;"",'تطبیق کل'!$A:$A,0))&amp;"","")</x:f>
      </x:c>
      <x:c r="P310" s="24">
        <x:f>IF(O310="","",O310&amp;B310)</x:f>
      </x:c>
      <x:c r="Q310" s="24">
        <x:f>IF(P310="","",IFERROR(INDEX('درخت جدید'!$C:$C,MATCH(P310&amp;"",'درخت جدید'!$B:$B,0)),"— در درخت نیست؛ با نام قدیم ساخته می‌شود —"))</x:f>
      </x:c>
      <x:c r="R310" s="25"/>
      <x:c r="S310" s="26">
        <x:f>P310</x:f>
      </x:c>
      <x:c r="T310" s="22">
        <x:f>IF(S310="","",IFERROR(INDEX('درخت جدید'!$C:$C,MATCH(S310&amp;"",'درخت جدید'!$B:$B,0)),"(ساخته می‌شود) "&amp;V310))</x:f>
      </x:c>
      <x:c r="U310" s="22">
        <x:f>IF(S310="",IF(N310="بله","الزامی — تکمیل نشده",""),IF(AND(O310&lt;&gt;"",LEFT(S310&amp;"",4)&lt;&gt;O310),"زیر کل دیگری است — کل یا معین را اصلاح کنید",IF(AND(S310=P310,FALSE,W310=""),"تداخل: کد "&amp;S310&amp;" در برگهٔ درخت جدید با نام «"&amp;T310&amp;"» از قبل تعریف شده",IF(COUNTIFS('درخت جدید'!$B:$B,S310&amp;"",'درخت جدید'!$A:$A,"معین")=0,IF(V310="","کد در درخت نیست — نام برای تعریف را بنویسید","OK"),"OK"))))</x:f>
      </x:c>
      <x:c r="V310" s="27">
        <x:f>IF(S310="","",IF(COUNTIFS('درخت جدید'!$B:$B,S310&amp;"",'درخت جدید'!$A:$A,"معین")=0,D310,""))</x:f>
      </x:c>
      <x:c r="W310" s="27"/>
      <x:c r="X310" s="38"/>
    </x:row>
    <x:row r="311" spans="1:24">
      <x:c r="A311" s="21" t="s">
        <x:v>166</x:v>
      </x:c>
      <x:c r="B311" s="22" t="s">
        <x:v>330</x:v>
      </x:c>
      <x:c r="C311" s="22" t="s">
        <x:v>167</x:v>
      </x:c>
      <x:c r="D311" s="22" t="s">
        <x:v>531</x:v>
      </x:c>
      <x:c r="E311" s="22" t="s">
        <x:v>195</x:v>
      </x:c>
      <x:c r="F311" s="22" t="s">
        <x:v>194</x:v>
      </x:c>
      <x:c r="G311" s="22" t="s">
        <x:v>199</x:v>
      </x:c>
      <x:c r="H311" s="22">
        <x:v>1</x:v>
      </x:c>
      <x:c r="I311" s="22">
        <x:v>0</x:v>
      </x:c>
      <x:c r="J311" s="22">
        <x:v>0</x:v>
      </x:c>
      <x:c r="K311" s="23">
        <x:v>0</x:v>
      </x:c>
      <x:c r="L311" s="23">
        <x:v>0</x:v>
      </x:c>
      <x:c r="M311" s="23">
        <x:f>K311-L311</x:f>
      </x:c>
      <x:c r="N311" s="22" t="s">
        <x:v>351</x:v>
      </x:c>
      <x:c r="O311" s="24">
        <x:f>IFERROR(INDEX('تطبیق کل'!$J:$J,MATCH(A311&amp;"",'تطبیق کل'!$A:$A,0))&amp;"","")</x:f>
      </x:c>
      <x:c r="P311" s="24">
        <x:f>IF(O311="","",O311&amp;B311)</x:f>
      </x:c>
      <x:c r="Q311" s="24">
        <x:f>IF(P311="","",IFERROR(INDEX('درخت جدید'!$C:$C,MATCH(P311&amp;"",'درخت جدید'!$B:$B,0)),"— در درخت نیست؛ با نام قدیم ساخته می‌شود —"))</x:f>
      </x:c>
      <x:c r="R311" s="25"/>
      <x:c r="S311" s="26">
        <x:f>P311</x:f>
      </x:c>
      <x:c r="T311" s="22">
        <x:f>IF(S311="","",IFERROR(INDEX('درخت جدید'!$C:$C,MATCH(S311&amp;"",'درخت جدید'!$B:$B,0)),"(ساخته می‌شود) "&amp;V311))</x:f>
      </x:c>
      <x:c r="U311" s="22">
        <x:f>IF(S311="",IF(N311="بله","الزامی — تکمیل نشده",""),IF(AND(O311&lt;&gt;"",LEFT(S311&amp;"",4)&lt;&gt;O311),"زیر کل دیگری است — کل یا معین را اصلاح کنید",IF(AND(S311=P311,FALSE,W311=""),"تداخل: کد "&amp;S311&amp;" در برگهٔ درخت جدید با نام «"&amp;T311&amp;"» از قبل تعریف شده",IF(COUNTIFS('درخت جدید'!$B:$B,S311&amp;"",'درخت جدید'!$A:$A,"معین")=0,IF(V311="","کد در درخت نیست — نام برای تعریف را بنویسید","OK"),"OK"))))</x:f>
      </x:c>
      <x:c r="V311" s="27">
        <x:f>IF(S311="","",IF(COUNTIFS('درخت جدید'!$B:$B,S311&amp;"",'درخت جدید'!$A:$A,"معین")=0,D311,""))</x:f>
      </x:c>
      <x:c r="W311" s="27"/>
      <x:c r="X311" s="38"/>
    </x:row>
    <x:row r="312" spans="1:24">
      <x:c r="A312" s="21" t="s">
        <x:v>166</x:v>
      </x:c>
      <x:c r="B312" s="22" t="s">
        <x:v>331</x:v>
      </x:c>
      <x:c r="C312" s="22" t="s">
        <x:v>167</x:v>
      </x:c>
      <x:c r="D312" s="22" t="s">
        <x:v>522</x:v>
      </x:c>
      <x:c r="E312" s="22" t="s">
        <x:v>195</x:v>
      </x:c>
      <x:c r="F312" s="22" t="s">
        <x:v>194</x:v>
      </x:c>
      <x:c r="G312" s="22" t="s">
        <x:v>199</x:v>
      </x:c>
      <x:c r="H312" s="22">
        <x:v>1</x:v>
      </x:c>
      <x:c r="I312" s="22">
        <x:v>0</x:v>
      </x:c>
      <x:c r="J312" s="22">
        <x:v>0</x:v>
      </x:c>
      <x:c r="K312" s="23">
        <x:v>0</x:v>
      </x:c>
      <x:c r="L312" s="23">
        <x:v>0</x:v>
      </x:c>
      <x:c r="M312" s="23">
        <x:f>K312-L312</x:f>
      </x:c>
      <x:c r="N312" s="22" t="s">
        <x:v>351</x:v>
      </x:c>
      <x:c r="O312" s="24">
        <x:f>IFERROR(INDEX('تطبیق کل'!$J:$J,MATCH(A312&amp;"",'تطبیق کل'!$A:$A,0))&amp;"","")</x:f>
      </x:c>
      <x:c r="P312" s="24">
        <x:f>IF(O312="","",O312&amp;B312)</x:f>
      </x:c>
      <x:c r="Q312" s="24">
        <x:f>IF(P312="","",IFERROR(INDEX('درخت جدید'!$C:$C,MATCH(P312&amp;"",'درخت جدید'!$B:$B,0)),"— در درخت نیست؛ با نام قدیم ساخته می‌شود —"))</x:f>
      </x:c>
      <x:c r="R312" s="25"/>
      <x:c r="S312" s="26">
        <x:f>P312</x:f>
      </x:c>
      <x:c r="T312" s="22">
        <x:f>IF(S312="","",IFERROR(INDEX('درخت جدید'!$C:$C,MATCH(S312&amp;"",'درخت جدید'!$B:$B,0)),"(ساخته می‌شود) "&amp;V312))</x:f>
      </x:c>
      <x:c r="U312" s="22">
        <x:f>IF(S312="",IF(N312="بله","الزامی — تکمیل نشده",""),IF(AND(O312&lt;&gt;"",LEFT(S312&amp;"",4)&lt;&gt;O312),"زیر کل دیگری است — کل یا معین را اصلاح کنید",IF(AND(S312=P312,FALSE,W312=""),"تداخل: کد "&amp;S312&amp;" در برگهٔ درخت جدید با نام «"&amp;T312&amp;"» از قبل تعریف شده",IF(COUNTIFS('درخت جدید'!$B:$B,S312&amp;"",'درخت جدید'!$A:$A,"معین")=0,IF(V312="","کد در درخت نیست — نام برای تعریف را بنویسید","OK"),"OK"))))</x:f>
      </x:c>
      <x:c r="V312" s="27">
        <x:f>IF(S312="","",IF(COUNTIFS('درخت جدید'!$B:$B,S312&amp;"",'درخت جدید'!$A:$A,"معین")=0,D312,""))</x:f>
      </x:c>
      <x:c r="W312" s="27"/>
      <x:c r="X312" s="38"/>
    </x:row>
    <x:row r="313" spans="1:24">
      <x:c r="A313" s="29" t="s">
        <x:v>166</x:v>
      </x:c>
      <x:c r="B313" s="30" t="s">
        <x:v>523</x:v>
      </x:c>
      <x:c r="C313" s="30" t="s">
        <x:v>167</x:v>
      </x:c>
      <x:c r="D313" s="30" t="s">
        <x:v>532</x:v>
      </x:c>
      <x:c r="E313" s="30" t="s">
        <x:v>195</x:v>
      </x:c>
      <x:c r="F313" s="30" t="s">
        <x:v>194</x:v>
      </x:c>
      <x:c r="G313" s="30" t="s">
        <x:v>199</x:v>
      </x:c>
      <x:c r="H313" s="30">
        <x:v>1</x:v>
      </x:c>
      <x:c r="I313" s="30">
        <x:v>0</x:v>
      </x:c>
      <x:c r="J313" s="30">
        <x:v>0</x:v>
      </x:c>
      <x:c r="K313" s="31">
        <x:v>0</x:v>
      </x:c>
      <x:c r="L313" s="31">
        <x:v>0</x:v>
      </x:c>
      <x:c r="M313" s="31">
        <x:f>K313-L313</x:f>
      </x:c>
      <x:c r="N313" s="30" t="s">
        <x:v>351</x:v>
      </x:c>
      <x:c r="O313" s="32">
        <x:f>IFERROR(INDEX('تطبیق کل'!$J:$J,MATCH(A313&amp;"",'تطبیق کل'!$A:$A,0))&amp;"","")</x:f>
      </x:c>
      <x:c r="P313" s="32">
        <x:f>IF(O313="","",O313&amp;B313)</x:f>
      </x:c>
      <x:c r="Q313" s="32">
        <x:f>IF(P313="","",IFERROR(INDEX('درخت جدید'!$C:$C,MATCH(P313&amp;"",'درخت جدید'!$B:$B,0)),"— در درخت نیست؛ با نام قدیم ساخته می‌شود —"))</x:f>
      </x:c>
      <x:c r="R313" s="33"/>
      <x:c r="S313" s="34">
        <x:f>P313</x:f>
      </x:c>
      <x:c r="T313" s="30">
        <x:f>IF(S313="","",IFERROR(INDEX('درخت جدید'!$C:$C,MATCH(S313&amp;"",'درخت جدید'!$B:$B,0)),"(ساخته می‌شود) "&amp;V313))</x:f>
      </x:c>
      <x:c r="U313" s="30">
        <x:f>IF(S313="",IF(N313="بله","الزامی — تکمیل نشده",""),IF(AND(O313&lt;&gt;"",LEFT(S313&amp;"",4)&lt;&gt;O313),"زیر کل دیگری است — کل یا معین را اصلاح کنید",IF(AND(S313=P313,FALSE,W313=""),"تداخل: کد "&amp;S313&amp;" در برگهٔ درخت جدید با نام «"&amp;T313&amp;"» از قبل تعریف شده",IF(COUNTIFS('درخت جدید'!$B:$B,S313&amp;"",'درخت جدید'!$A:$A,"معین")=0,IF(V313="","کد در درخت نیست — نام برای تعریف را بنویسید","OK"),"OK"))))</x:f>
      </x:c>
      <x:c r="V313" s="35">
        <x:f>IF(S313="","",IF(COUNTIFS('درخت جدید'!$B:$B,S313&amp;"",'درخت جدید'!$A:$A,"معین")=0,D313,""))</x:f>
      </x:c>
      <x:c r="W313" s="35"/>
      <x:c r="X313" s="39"/>
    </x:row>
  </x:sheetData>
  <x:autoFilter ref="A1:X313"/>
  <x:conditionalFormatting sqref="U2:U313">
    <x:cfRule type="cellIs" dxfId="0" priority="1" operator="equal">
      <x:formula>"OK"</x:formula>
    </x:cfRule>
    <x:cfRule type="notContainsBlanks" dxfId="1" priority="2">
      <x:formula>LEN(TRIM(U2))&gt;0</x:formula>
    </x:cfRule>
  </x:conditionalFormatting>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514"/>
  <x:sheetViews>
    <x:sheetView rightToLeft="1" workbookViewId="0">
      <x:pane xSplit="0" ySplit="1" topLeftCell="A2" activePane="bottomLeft" state="frozenSplit"/>
    </x:sheetView>
  </x:sheetViews>
  <x:sheetFormatPr defaultRowHeight="15"/>
  <x:cols>
    <x:col min="21" max="16384" width="9.140625" style="1" customWidth="1"/>
    <x:col min="1" max="1" width="10.710625" style="1" customWidth="1"/>
    <x:col min="2" max="3" width="6.710625" style="1" customWidth="1"/>
    <x:col min="4" max="4" width="9.710625" style="1" customWidth="1"/>
    <x:col min="5" max="5" width="34.710625" style="1" customWidth="1"/>
    <x:col min="6" max="6" width="28.710625" style="1" customWidth="1"/>
    <x:col min="7" max="7" width="8.710625" style="1" customWidth="1"/>
    <x:col min="8" max="10" width="17.710625" style="1" customWidth="1"/>
    <x:col min="11" max="11" width="7.710625" style="1" customWidth="1"/>
    <x:col min="12" max="12" width="24.710625" style="1" customWidth="1"/>
    <x:col min="13" max="13" width="10.710625" style="1" customWidth="1"/>
    <x:col min="14" max="14" width="26.710625" style="1" customWidth="1"/>
    <x:col min="15" max="15" width="10.710625" style="1" customWidth="1"/>
    <x:col min="16" max="16" width="14.710625" style="1" customWidth="1"/>
    <x:col min="17" max="17" width="10.710625" style="1" customWidth="1"/>
    <x:col min="18" max="18" width="30.710625" style="1" customWidth="1"/>
    <x:col min="19" max="19" width="26.710625" style="1" customWidth="1"/>
    <x:col min="20" max="20" width="30.710625" style="1" customWidth="1"/>
  </x:cols>
  <x:sheetData>
    <x:row r="1" spans="1:20" ht="45" customHeight="1">
      <x:c r="A1" s="11" t="s">
        <x:v>533</x:v>
      </x:c>
      <x:c r="B1" s="11" t="s">
        <x:v>0</x:v>
      </x:c>
      <x:c r="C1" s="11" t="s">
        <x:v>178</x:v>
      </x:c>
      <x:c r="D1" s="11" t="s">
        <x:v>534</x:v>
      </x:c>
      <x:c r="E1" s="11" t="s">
        <x:v>535</x:v>
      </x:c>
      <x:c r="F1" s="11" t="s">
        <x:v>179</x:v>
      </x:c>
      <x:c r="G1" s="11" t="s">
        <x:v>3</x:v>
      </x:c>
      <x:c r="H1" s="11" t="s">
        <x:v>4</x:v>
      </x:c>
      <x:c r="I1" s="11" t="s">
        <x:v>5</x:v>
      </x:c>
      <x:c r="J1" s="11" t="s">
        <x:v>185</x:v>
      </x:c>
      <x:c r="K1" s="11" t="s">
        <x:v>536</x:v>
      </x:c>
      <x:c r="L1" s="11" t="s">
        <x:v>537</x:v>
      </x:c>
      <x:c r="M1" s="11" t="s">
        <x:v>538</x:v>
      </x:c>
      <x:c r="N1" s="12" t="s">
        <x:v>539</x:v>
      </x:c>
      <x:c r="O1" s="12" t="s">
        <x:v>540</x:v>
      </x:c>
      <x:c r="P1" s="12" t="s">
        <x:v>541</x:v>
      </x:c>
      <x:c r="Q1" s="12" t="s">
        <x:v>542</x:v>
      </x:c>
      <x:c r="R1" s="12" t="s">
        <x:v>543</x:v>
      </x:c>
      <x:c r="S1" s="11" t="s">
        <x:v>11</x:v>
      </x:c>
      <x:c r="T1" s="12" t="s">
        <x:v>13</x:v>
      </x:c>
    </x:row>
    <x:row r="2" spans="1:20">
      <x:c r="A2" s="13">
        <x:v>3</x:v>
      </x:c>
      <x:c r="B2" s="14" t="s">
        <x:v>14</x:v>
      </x:c>
      <x:c r="C2" s="14" t="s">
        <x:v>192</x:v>
      </x:c>
      <x:c r="D2" s="14" t="s">
        <x:v>544</x:v>
      </x:c>
      <x:c r="E2" s="14" t="s">
        <x:v>193</x:v>
      </x:c>
      <x:c r="F2" s="14" t="s">
        <x:v>193</x:v>
      </x:c>
      <x:c r="G2" s="14">
        <x:v>1</x:v>
      </x:c>
      <x:c r="H2" s="15">
        <x:v>0</x:v>
      </x:c>
      <x:c r="I2" s="15">
        <x:v>700000</x:v>
      </x:c>
      <x:c r="J2" s="15">
        <x:f>H2-I2</x:f>
      </x:c>
      <x:c r="K2" s="14">
        <x:v>2</x:v>
      </x:c>
      <x:c r="L2" s="16" t="s">
        <x:v>545</x:v>
      </x:c>
      <x:c r="M2" s="16"/>
      <x:c r="N2" s="19" t="s">
        <x:v>545</x:v>
      </x:c>
      <x:c r="O2" s="19"/>
      <x:c r="P2" s="18"/>
      <x:c r="Q2" s="19"/>
      <x:c r="R2" s="19"/>
      <x:c r="S2" s="14">
        <x:f>IF(N2="","تکمیل نشده",IF(N2="بدون تفصیلی (ثبت روی خود معین)","OK",IF(N2="ادغام با تفصیلی دیگر",IF(O2="","کلید مقصد خالی است",IF(IFERROR(MATCH(O2*1,$A:$A,0),0)=0,"کلید مقصد در این فهرست نیست",IF(O2*1=A2,"ادغام با خودش","OK"))),IF(Q2="","سطح شناور خالی است",IF(AND(FALSE,OR(Q2=1,Q2=2)),"سطح ۱ و ۲ این معین مال فعالیت و مرکز هزینه است","OK")))))</x:f>
      </x:c>
      <x:c r="T2" s="20"/>
    </x:row>
    <x:row r="3" spans="1:20">
      <x:c r="A3" s="21">
        <x:v>3724</x:v>
      </x:c>
      <x:c r="B3" s="22" t="s">
        <x:v>14</x:v>
      </x:c>
      <x:c r="C3" s="22" t="s">
        <x:v>192</x:v>
      </x:c>
      <x:c r="D3" s="22" t="s">
        <x:v>546</x:v>
      </x:c>
      <x:c r="E3" s="22" t="s">
        <x:v>547</x:v>
      </x:c>
      <x:c r="F3" s="22" t="s">
        <x:v>193</x:v>
      </x:c>
      <x:c r="G3" s="22">
        <x:v>8</x:v>
      </x:c>
      <x:c r="H3" s="23">
        <x:v>11</x:v>
      </x:c>
      <x:c r="I3" s="23">
        <x:v>100000200003108</x:v>
      </x:c>
      <x:c r="J3" s="23">
        <x:f>H3-I3</x:f>
      </x:c>
      <x:c r="K3" s="22">
        <x:v>2</x:v>
      </x:c>
      <x:c r="L3" s="24" t="s">
        <x:v>548</x:v>
      </x:c>
      <x:c r="M3" s="24"/>
      <x:c r="N3" s="27" t="s">
        <x:v>548</x:v>
      </x:c>
      <x:c r="O3" s="27"/>
      <x:c r="P3" s="26"/>
      <x:c r="Q3" s="27">
        <x:v>1</x:v>
      </x:c>
      <x:c r="R3" s="27"/>
      <x:c r="S3" s="22">
        <x:f>IF(N3="","تکمیل نشده",IF(N3="بدون تفصیلی (ثبت روی خود معین)","OK",IF(N3="ادغام با تفصیلی دیگر",IF(O3="","کلید مقصد خالی است",IF(IFERROR(MATCH(O3*1,$A:$A,0),0)=0,"کلید مقصد در این فهرست نیست",IF(O3*1=A3,"ادغام با خودش","OK"))),IF(Q3="","سطح شناور خالی است",IF(AND(FALSE,OR(Q3=1,Q3=2)),"سطح ۱ و ۲ این معین مال فعالیت و مرکز هزینه است","OK")))))</x:f>
      </x:c>
      <x:c r="T3" s="28"/>
    </x:row>
    <x:row r="4" spans="1:20">
      <x:c r="A4" s="21">
        <x:v>4</x:v>
      </x:c>
      <x:c r="B4" s="22" t="s">
        <x:v>14</x:v>
      </x:c>
      <x:c r="C4" s="22" t="s">
        <x:v>192</x:v>
      </x:c>
      <x:c r="D4" s="22" t="s">
        <x:v>549</x:v>
      </x:c>
      <x:c r="E4" s="22" t="s">
        <x:v>193</x:v>
      </x:c>
      <x:c r="F4" s="22" t="s">
        <x:v>193</x:v>
      </x:c>
      <x:c r="G4" s="22">
        <x:v>9</x:v>
      </x:c>
      <x:c r="H4" s="23">
        <x:v>10030</x:v>
      </x:c>
      <x:c r="I4" s="23">
        <x:v>9750158</x:v>
      </x:c>
      <x:c r="J4" s="23">
        <x:f>H4-I4</x:f>
      </x:c>
      <x:c r="K4" s="22">
        <x:v>2</x:v>
      </x:c>
      <x:c r="L4" s="24" t="s">
        <x:v>550</x:v>
      </x:c>
      <x:c r="M4" s="24">
        <x:v>3</x:v>
      </x:c>
      <x:c r="N4" s="27" t="s">
        <x:v>550</x:v>
      </x:c>
      <x:c r="O4" s="27">
        <x:v>3</x:v>
      </x:c>
      <x:c r="P4" s="26"/>
      <x:c r="Q4" s="27">
        <x:v>1</x:v>
      </x:c>
      <x:c r="R4" s="27"/>
      <x:c r="S4" s="22">
        <x:f>IF(N4="","تکمیل نشده",IF(N4="بدون تفصیلی (ثبت روی خود معین)","OK",IF(N4="ادغام با تفصیلی دیگر",IF(O4="","کلید مقصد خالی است",IF(IFERROR(MATCH(O4*1,$A:$A,0),0)=0,"کلید مقصد در این فهرست نیست",IF(O4*1=A4,"ادغام با خودش","OK"))),IF(Q4="","سطح شناور خالی است",IF(AND(FALSE,OR(Q4=1,Q4=2)),"سطح ۱ و ۲ این معین مال فعالیت و مرکز هزینه است","OK")))))</x:f>
      </x:c>
      <x:c r="T4" s="28"/>
    </x:row>
    <x:row r="5" spans="1:20">
      <x:c r="A5" s="21">
        <x:v>3816</x:v>
      </x:c>
      <x:c r="B5" s="22" t="s">
        <x:v>14</x:v>
      </x:c>
      <x:c r="C5" s="22" t="s">
        <x:v>192</x:v>
      </x:c>
      <x:c r="D5" s="22" t="s">
        <x:v>551</x:v>
      </x:c>
      <x:c r="E5" s="22" t="s">
        <x:v>552</x:v>
      </x:c>
      <x:c r="F5" s="22" t="s">
        <x:v>193</x:v>
      </x:c>
      <x:c r="G5" s="22">
        <x:v>2</x:v>
      </x:c>
      <x:c r="H5" s="23">
        <x:v>0</x:v>
      </x:c>
      <x:c r="I5" s="23">
        <x:v>9004</x:v>
      </x:c>
      <x:c r="J5" s="23">
        <x:f>H5-I5</x:f>
      </x:c>
      <x:c r="K5" s="22">
        <x:v>2</x:v>
      </x:c>
      <x:c r="L5" s="24" t="s">
        <x:v>548</x:v>
      </x:c>
      <x:c r="M5" s="24"/>
      <x:c r="N5" s="27" t="s">
        <x:v>548</x:v>
      </x:c>
      <x:c r="O5" s="27"/>
      <x:c r="P5" s="26"/>
      <x:c r="Q5" s="27">
        <x:v>1</x:v>
      </x:c>
      <x:c r="R5" s="27"/>
      <x:c r="S5" s="22">
        <x:f>IF(N5="","تکمیل نشده",IF(N5="بدون تفصیلی (ثبت روی خود معین)","OK",IF(N5="ادغام با تفصیلی دیگر",IF(O5="","کلید مقصد خالی است",IF(IFERROR(MATCH(O5*1,$A:$A,0),0)=0,"کلید مقصد در این فهرست نیست",IF(O5*1=A5,"ادغام با خودش","OK"))),IF(Q5="","سطح شناور خالی است",IF(AND(FALSE,OR(Q5=1,Q5=2)),"سطح ۱ و ۲ این معین مال فعالیت و مرکز هزینه است","OK")))))</x:f>
      </x:c>
      <x:c r="T5" s="28"/>
    </x:row>
    <x:row r="6" spans="1:20">
      <x:c r="A6" s="21">
        <x:v>9</x:v>
      </x:c>
      <x:c r="B6" s="22" t="s">
        <x:v>24</x:v>
      </x:c>
      <x:c r="C6" s="22" t="s">
        <x:v>197</x:v>
      </x:c>
      <x:c r="D6" s="22" t="s">
        <x:v>544</x:v>
      </x:c>
      <x:c r="E6" s="22" t="s">
        <x:v>198</x:v>
      </x:c>
      <x:c r="F6" s="22" t="s">
        <x:v>198</x:v>
      </x:c>
      <x:c r="G6" s="22">
        <x:v>1</x:v>
      </x:c>
      <x:c r="H6" s="23">
        <x:v>0</x:v>
      </x:c>
      <x:c r="I6" s="23">
        <x:v>10</x:v>
      </x:c>
      <x:c r="J6" s="23">
        <x:f>H6-I6</x:f>
      </x:c>
      <x:c r="K6" s="22">
        <x:v>1</x:v>
      </x:c>
      <x:c r="L6" s="24" t="s">
        <x:v>545</x:v>
      </x:c>
      <x:c r="M6" s="24"/>
      <x:c r="N6" s="27" t="s">
        <x:v>545</x:v>
      </x:c>
      <x:c r="O6" s="27"/>
      <x:c r="P6" s="26"/>
      <x:c r="Q6" s="27"/>
      <x:c r="R6" s="27"/>
      <x:c r="S6" s="22">
        <x:f>IF(N6="","تکمیل نشده",IF(N6="بدون تفصیلی (ثبت روی خود معین)","OK",IF(N6="ادغام با تفصیلی دیگر",IF(O6="","کلید مقصد خالی است",IF(IFERROR(MATCH(O6*1,$A:$A,0),0)=0,"کلید مقصد در این فهرست نیست",IF(O6*1=A6,"ادغام با خودش","OK"))),IF(Q6="","سطح شناور خالی است",IF(AND(FALSE,OR(Q6=1,Q6=2)),"سطح ۱ و ۲ این معین مال فعالیت و مرکز هزینه است","OK")))))</x:f>
      </x:c>
      <x:c r="T6" s="28"/>
    </x:row>
    <x:row r="7" spans="1:20">
      <x:c r="A7" s="21">
        <x:v>23</x:v>
      </x:c>
      <x:c r="B7" s="22" t="s">
        <x:v>30</x:v>
      </x:c>
      <x:c r="C7" s="22" t="s">
        <x:v>200</x:v>
      </x:c>
      <x:c r="D7" s="22" t="s">
        <x:v>553</x:v>
      </x:c>
      <x:c r="E7" s="22" t="s">
        <x:v>554</x:v>
      </x:c>
      <x:c r="F7" s="22" t="s">
        <x:v>201</x:v>
      </x:c>
      <x:c r="G7" s="22">
        <x:v>129</x:v>
      </x:c>
      <x:c r="H7" s="23">
        <x:v>15454464736</x:v>
      </x:c>
      <x:c r="I7" s="23">
        <x:v>34561474393</x:v>
      </x:c>
      <x:c r="J7" s="23">
        <x:f>H7-I7</x:f>
      </x:c>
      <x:c r="K7" s="22">
        <x:v>1</x:v>
      </x:c>
      <x:c r="L7" s="24" t="s">
        <x:v>548</x:v>
      </x:c>
      <x:c r="M7" s="24"/>
      <x:c r="N7" s="27" t="s">
        <x:v>548</x:v>
      </x:c>
      <x:c r="O7" s="27"/>
      <x:c r="P7" s="26"/>
      <x:c r="Q7" s="27">
        <x:v>1</x:v>
      </x:c>
      <x:c r="R7" s="27"/>
      <x:c r="S7" s="22">
        <x:f>IF(N7="","تکمیل نشده",IF(N7="بدون تفصیلی (ثبت روی خود معین)","OK",IF(N7="ادغام با تفصیلی دیگر",IF(O7="","کلید مقصد خالی است",IF(IFERROR(MATCH(O7*1,$A:$A,0),0)=0,"کلید مقصد در این فهرست نیست",IF(O7*1=A7,"ادغام با خودش","OK"))),IF(Q7="","سطح شناور خالی است",IF(AND(FALSE,OR(Q7=1,Q7=2)),"سطح ۱ و ۲ این معین مال فعالیت و مرکز هزینه است","OK")))))</x:f>
      </x:c>
      <x:c r="T7" s="28"/>
    </x:row>
    <x:row r="8" spans="1:20">
      <x:c r="A8" s="21">
        <x:v>56</x:v>
      </x:c>
      <x:c r="B8" s="22" t="s">
        <x:v>34</x:v>
      </x:c>
      <x:c r="C8" s="22" t="s">
        <x:v>202</x:v>
      </x:c>
      <x:c r="D8" s="22" t="s">
        <x:v>544</x:v>
      </x:c>
      <x:c r="E8" s="22" t="s">
        <x:v>203</x:v>
      </x:c>
      <x:c r="F8" s="22" t="s">
        <x:v>203</x:v>
      </x:c>
      <x:c r="G8" s="22">
        <x:v>2</x:v>
      </x:c>
      <x:c r="H8" s="23">
        <x:v>0</x:v>
      </x:c>
      <x:c r="I8" s="23">
        <x:v>2250</x:v>
      </x:c>
      <x:c r="J8" s="23">
        <x:f>H8-I8</x:f>
      </x:c>
      <x:c r="K8" s="22">
        <x:v>1</x:v>
      </x:c>
      <x:c r="L8" s="24" t="s">
        <x:v>545</x:v>
      </x:c>
      <x:c r="M8" s="24"/>
      <x:c r="N8" s="27" t="s">
        <x:v>545</x:v>
      </x:c>
      <x:c r="O8" s="27"/>
      <x:c r="P8" s="26"/>
      <x:c r="Q8" s="27"/>
      <x:c r="R8" s="27"/>
      <x:c r="S8" s="22">
        <x:f>IF(N8="","تکمیل نشده",IF(N8="بدون تفصیلی (ثبت روی خود معین)","OK",IF(N8="ادغام با تفصیلی دیگر",IF(O8="","کلید مقصد خالی است",IF(IFERROR(MATCH(O8*1,$A:$A,0),0)=0,"کلید مقصد در این فهرست نیست",IF(O8*1=A8,"ادغام با خودش","OK"))),IF(Q8="","سطح شناور خالی است",IF(AND(TRUE,OR(Q8=1,Q8=2)),"سطح ۱ و ۲ این معین مال فعالیت و مرکز هزینه است","OK")))))</x:f>
      </x:c>
      <x:c r="T8" s="28"/>
    </x:row>
    <x:row r="9" spans="1:20">
      <x:c r="A9" s="21">
        <x:v>62</x:v>
      </x:c>
      <x:c r="B9" s="22" t="s">
        <x:v>34</x:v>
      </x:c>
      <x:c r="C9" s="22" t="s">
        <x:v>30</x:v>
      </x:c>
      <x:c r="D9" s="22" t="s">
        <x:v>544</x:v>
      </x:c>
      <x:c r="E9" s="22" t="s">
        <x:v>204</x:v>
      </x:c>
      <x:c r="F9" s="22" t="s">
        <x:v>204</x:v>
      </x:c>
      <x:c r="G9" s="22">
        <x:v>7</x:v>
      </x:c>
      <x:c r="H9" s="23">
        <x:v>5350000</x:v>
      </x:c>
      <x:c r="I9" s="23">
        <x:v>26750010</x:v>
      </x:c>
      <x:c r="J9" s="23">
        <x:f>H9-I9</x:f>
      </x:c>
      <x:c r="K9" s="22">
        <x:v>1</x:v>
      </x:c>
      <x:c r="L9" s="24" t="s">
        <x:v>545</x:v>
      </x:c>
      <x:c r="M9" s="24"/>
      <x:c r="N9" s="27" t="s">
        <x:v>545</x:v>
      </x:c>
      <x:c r="O9" s="27"/>
      <x:c r="P9" s="26"/>
      <x:c r="Q9" s="27"/>
      <x:c r="R9" s="27"/>
      <x:c r="S9" s="22">
        <x:f>IF(N9="","تکمیل نشده",IF(N9="بدون تفصیلی (ثبت روی خود معین)","OK",IF(N9="ادغام با تفصیلی دیگر",IF(O9="","کلید مقصد خالی است",IF(IFERROR(MATCH(O9*1,$A:$A,0),0)=0,"کلید مقصد در این فهرست نیست",IF(O9*1=A9,"ادغام با خودش","OK"))),IF(Q9="","سطح شناور خالی است",IF(AND(FALSE,OR(Q9=1,Q9=2)),"سطح ۱ و ۲ این معین مال فعالیت و مرکز هزینه است","OK")))))</x:f>
      </x:c>
      <x:c r="T9" s="28"/>
    </x:row>
    <x:row r="10" spans="1:20">
      <x:c r="A10" s="21">
        <x:v>64</x:v>
      </x:c>
      <x:c r="B10" s="22" t="s">
        <x:v>34</x:v>
      </x:c>
      <x:c r="C10" s="22" t="s">
        <x:v>205</x:v>
      </x:c>
      <x:c r="D10" s="22" t="s">
        <x:v>544</x:v>
      </x:c>
      <x:c r="E10" s="22" t="s">
        <x:v>206</x:v>
      </x:c>
      <x:c r="F10" s="22" t="s">
        <x:v>206</x:v>
      </x:c>
      <x:c r="G10" s="22">
        <x:v>5</x:v>
      </x:c>
      <x:c r="H10" s="23">
        <x:v>69193000</x:v>
      </x:c>
      <x:c r="I10" s="23">
        <x:v>276772000</x:v>
      </x:c>
      <x:c r="J10" s="23">
        <x:f>H10-I10</x:f>
      </x:c>
      <x:c r="K10" s="22">
        <x:v>1</x:v>
      </x:c>
      <x:c r="L10" s="24" t="s">
        <x:v>545</x:v>
      </x:c>
      <x:c r="M10" s="24"/>
      <x:c r="N10" s="27" t="s">
        <x:v>545</x:v>
      </x:c>
      <x:c r="O10" s="27"/>
      <x:c r="P10" s="26"/>
      <x:c r="Q10" s="27"/>
      <x:c r="R10" s="27"/>
      <x:c r="S10" s="22">
        <x:f>IF(N10="","تکمیل نشده",IF(N10="بدون تفصیلی (ثبت روی خود معین)","OK",IF(N10="ادغام با تفصیلی دیگر",IF(O10="","کلید مقصد خالی است",IF(IFERROR(MATCH(O10*1,$A:$A,0),0)=0,"کلید مقصد در این فهرست نیست",IF(O10*1=A10,"ادغام با خودش","OK"))),IF(Q10="","سطح شناور خالی است",IF(AND(FALSE,OR(Q10=1,Q10=2)),"سطح ۱ و ۲ این معین مال فعالیت و مرکز هزینه است","OK")))))</x:f>
      </x:c>
      <x:c r="T10" s="28"/>
    </x:row>
    <x:row r="11" spans="1:20">
      <x:c r="A11" s="21">
        <x:v>68</x:v>
      </x:c>
      <x:c r="B11" s="22" t="s">
        <x:v>34</x:v>
      </x:c>
      <x:c r="C11" s="22" t="s">
        <x:v>207</x:v>
      </x:c>
      <x:c r="D11" s="22" t="s">
        <x:v>544</x:v>
      </x:c>
      <x:c r="E11" s="22" t="s">
        <x:v>208</x:v>
      </x:c>
      <x:c r="F11" s="22" t="s">
        <x:v>208</x:v>
      </x:c>
      <x:c r="G11" s="22">
        <x:v>5</x:v>
      </x:c>
      <x:c r="H11" s="23">
        <x:v>92734300</x:v>
      </x:c>
      <x:c r="I11" s="23">
        <x:v>370937200</x:v>
      </x:c>
      <x:c r="J11" s="23">
        <x:f>H11-I11</x:f>
      </x:c>
      <x:c r="K11" s="22">
        <x:v>1</x:v>
      </x:c>
      <x:c r="L11" s="24" t="s">
        <x:v>545</x:v>
      </x:c>
      <x:c r="M11" s="24"/>
      <x:c r="N11" s="27" t="s">
        <x:v>545</x:v>
      </x:c>
      <x:c r="O11" s="27"/>
      <x:c r="P11" s="26"/>
      <x:c r="Q11" s="27"/>
      <x:c r="R11" s="27"/>
      <x:c r="S11" s="22">
        <x:f>IF(N11="","تکمیل نشده",IF(N11="بدون تفصیلی (ثبت روی خود معین)","OK",IF(N11="ادغام با تفصیلی دیگر",IF(O11="","کلید مقصد خالی است",IF(IFERROR(MATCH(O11*1,$A:$A,0),0)=0,"کلید مقصد در این فهرست نیست",IF(O11*1=A11,"ادغام با خودش","OK"))),IF(Q11="","سطح شناور خالی است",IF(AND(FALSE,OR(Q11=1,Q11=2)),"سطح ۱ و ۲ این معین مال فعالیت و مرکز هزینه است","OK")))))</x:f>
      </x:c>
      <x:c r="T11" s="28"/>
    </x:row>
    <x:row r="12" spans="1:20">
      <x:c r="A12" s="21">
        <x:v>70</x:v>
      </x:c>
      <x:c r="B12" s="22" t="s">
        <x:v>34</x:v>
      </x:c>
      <x:c r="C12" s="22" t="s">
        <x:v>209</x:v>
      </x:c>
      <x:c r="D12" s="22" t="s">
        <x:v>544</x:v>
      </x:c>
      <x:c r="E12" s="22" t="s">
        <x:v>210</x:v>
      </x:c>
      <x:c r="F12" s="22" t="s">
        <x:v>210</x:v>
      </x:c>
      <x:c r="G12" s="22">
        <x:v>5</x:v>
      </x:c>
      <x:c r="H12" s="23">
        <x:v>5830000</x:v>
      </x:c>
      <x:c r="I12" s="23">
        <x:v>23320000</x:v>
      </x:c>
      <x:c r="J12" s="23">
        <x:f>H12-I12</x:f>
      </x:c>
      <x:c r="K12" s="22">
        <x:v>1</x:v>
      </x:c>
      <x:c r="L12" s="24" t="s">
        <x:v>545</x:v>
      </x:c>
      <x:c r="M12" s="24"/>
      <x:c r="N12" s="27" t="s">
        <x:v>545</x:v>
      </x:c>
      <x:c r="O12" s="27"/>
      <x:c r="P12" s="26"/>
      <x:c r="Q12" s="27"/>
      <x:c r="R12" s="27"/>
      <x:c r="S12" s="22">
        <x:f>IF(N12="","تکمیل نشده",IF(N12="بدون تفصیلی (ثبت روی خود معین)","OK",IF(N12="ادغام با تفصیلی دیگر",IF(O12="","کلید مقصد خالی است",IF(IFERROR(MATCH(O12*1,$A:$A,0),0)=0,"کلید مقصد در این فهرست نیست",IF(O12*1=A12,"ادغام با خودش","OK"))),IF(Q12="","سطح شناور خالی است",IF(AND(FALSE,OR(Q12=1,Q12=2)),"سطح ۱ و ۲ این معین مال فعالیت و مرکز هزینه است","OK")))))</x:f>
      </x:c>
      <x:c r="T12" s="28"/>
    </x:row>
    <x:row r="13" spans="1:20">
      <x:c r="A13" s="21">
        <x:v>74</x:v>
      </x:c>
      <x:c r="B13" s="22" t="s">
        <x:v>34</x:v>
      </x:c>
      <x:c r="C13" s="22" t="s">
        <x:v>211</x:v>
      </x:c>
      <x:c r="D13" s="22" t="s">
        <x:v>544</x:v>
      </x:c>
      <x:c r="E13" s="22" t="s">
        <x:v>212</x:v>
      </x:c>
      <x:c r="F13" s="22" t="s">
        <x:v>212</x:v>
      </x:c>
      <x:c r="G13" s="22">
        <x:v>17</x:v>
      </x:c>
      <x:c r="H13" s="23">
        <x:v>4496786944</x:v>
      </x:c>
      <x:c r="I13" s="23">
        <x:v>17706726176</x:v>
      </x:c>
      <x:c r="J13" s="23">
        <x:f>H13-I13</x:f>
      </x:c>
      <x:c r="K13" s="22">
        <x:v>1</x:v>
      </x:c>
      <x:c r="L13" s="24" t="s">
        <x:v>545</x:v>
      </x:c>
      <x:c r="M13" s="24"/>
      <x:c r="N13" s="27" t="s">
        <x:v>545</x:v>
      </x:c>
      <x:c r="O13" s="27"/>
      <x:c r="P13" s="26"/>
      <x:c r="Q13" s="27"/>
      <x:c r="R13" s="27"/>
      <x:c r="S13" s="22">
        <x:f>IF(N13="","تکمیل نشده",IF(N13="بدون تفصیلی (ثبت روی خود معین)","OK",IF(N13="ادغام با تفصیلی دیگر",IF(O13="","کلید مقصد خالی است",IF(IFERROR(MATCH(O13*1,$A:$A,0),0)=0,"کلید مقصد در این فهرست نیست",IF(O13*1=A13,"ادغام با خودش","OK"))),IF(Q13="","سطح شناور خالی است",IF(AND(FALSE,OR(Q13=1,Q13=2)),"سطح ۱ و ۲ این معین مال فعالیت و مرکز هزینه است","OK")))))</x:f>
      </x:c>
      <x:c r="T13" s="28"/>
    </x:row>
    <x:row r="14" spans="1:20">
      <x:c r="A14" s="21">
        <x:v>11467</x:v>
      </x:c>
      <x:c r="B14" s="22" t="s">
        <x:v>34</x:v>
      </x:c>
      <x:c r="C14" s="22" t="s">
        <x:v>213</x:v>
      </x:c>
      <x:c r="D14" s="22" t="s">
        <x:v>556</x:v>
      </x:c>
      <x:c r="E14" s="22" t="s">
        <x:v>221</x:v>
      </x:c>
      <x:c r="F14" s="22" t="s">
        <x:v>214</x:v>
      </x:c>
      <x:c r="G14" s="22">
        <x:v>1</x:v>
      </x:c>
      <x:c r="H14" s="23">
        <x:v>44000</x:v>
      </x:c>
      <x:c r="I14" s="23">
        <x:v>0</x:v>
      </x:c>
      <x:c r="J14" s="23">
        <x:f>H14-I14</x:f>
      </x:c>
      <x:c r="K14" s="22">
        <x:v>1</x:v>
      </x:c>
      <x:c r="L14" s="24" t="s">
        <x:v>548</x:v>
      </x:c>
      <x:c r="M14" s="24"/>
      <x:c r="N14" s="27" t="s">
        <x:v>548</x:v>
      </x:c>
      <x:c r="O14" s="27"/>
      <x:c r="P14" s="26"/>
      <x:c r="Q14" s="27">
        <x:v>1</x:v>
      </x:c>
      <x:c r="R14" s="27"/>
      <x:c r="S14" s="22">
        <x:f>IF(N14="","تکمیل نشده",IF(N14="بدون تفصیلی (ثبت روی خود معین)","OK",IF(N14="ادغام با تفصیلی دیگر",IF(O14="","کلید مقصد خالی است",IF(IFERROR(MATCH(O14*1,$A:$A,0),0)=0,"کلید مقصد در این فهرست نیست",IF(O14*1=A14,"ادغام با خودش","OK"))),IF(Q14="","سطح شناور خالی است",IF(AND(FALSE,OR(Q14=1,Q14=2)),"سطح ۱ و ۲ این معین مال فعالیت و مرکز هزینه است","OK")))))</x:f>
      </x:c>
      <x:c r="T14" s="28" t="s">
        <x:v>555</x:v>
      </x:c>
    </x:row>
    <x:row r="15" spans="1:20">
      <x:c r="A15" s="21">
        <x:v>94</x:v>
      </x:c>
      <x:c r="B15" s="22" t="s">
        <x:v>41</x:v>
      </x:c>
      <x:c r="C15" s="22" t="s">
        <x:v>14</x:v>
      </x:c>
      <x:c r="D15" s="22" t="s">
        <x:v>544</x:v>
      </x:c>
      <x:c r="E15" s="22" t="s">
        <x:v>215</x:v>
      </x:c>
      <x:c r="F15" s="22" t="s">
        <x:v>215</x:v>
      </x:c>
      <x:c r="G15" s="22">
        <x:v>5</x:v>
      </x:c>
      <x:c r="H15" s="23">
        <x:v>40137000</x:v>
      </x:c>
      <x:c r="I15" s="23">
        <x:v>160548000</x:v>
      </x:c>
      <x:c r="J15" s="23">
        <x:f>H15-I15</x:f>
      </x:c>
      <x:c r="K15" s="22">
        <x:v>1</x:v>
      </x:c>
      <x:c r="L15" s="24" t="s">
        <x:v>545</x:v>
      </x:c>
      <x:c r="M15" s="24"/>
      <x:c r="N15" s="27" t="s">
        <x:v>545</x:v>
      </x:c>
      <x:c r="O15" s="27"/>
      <x:c r="P15" s="26"/>
      <x:c r="Q15" s="27"/>
      <x:c r="R15" s="27"/>
      <x:c r="S15" s="22">
        <x:f>IF(N15="","تکمیل نشده",IF(N15="بدون تفصیلی (ثبت روی خود معین)","OK",IF(N15="ادغام با تفصیلی دیگر",IF(O15="","کلید مقصد خالی است",IF(IFERROR(MATCH(O15*1,$A:$A,0),0)=0,"کلید مقصد در این فهرست نیست",IF(O15*1=A15,"ادغام با خودش","OK"))),IF(Q15="","سطح شناور خالی است",IF(AND(FALSE,OR(Q15=1,Q15=2)),"سطح ۱ و ۲ این معین مال فعالیت و مرکز هزینه است","OK")))))</x:f>
      </x:c>
      <x:c r="T15" s="28"/>
    </x:row>
    <x:row r="16" spans="1:20">
      <x:c r="A16" s="21">
        <x:v>103</x:v>
      </x:c>
      <x:c r="B16" s="22" t="s">
        <x:v>41</x:v>
      </x:c>
      <x:c r="C16" s="22" t="s">
        <x:v>18</x:v>
      </x:c>
      <x:c r="D16" s="22" t="s">
        <x:v>544</x:v>
      </x:c>
      <x:c r="E16" s="22" t="s">
        <x:v>216</x:v>
      </x:c>
      <x:c r="F16" s="22" t="s">
        <x:v>216</x:v>
      </x:c>
      <x:c r="G16" s="22">
        <x:v>5</x:v>
      </x:c>
      <x:c r="H16" s="23">
        <x:v>3818000</x:v>
      </x:c>
      <x:c r="I16" s="23">
        <x:v>15272000</x:v>
      </x:c>
      <x:c r="J16" s="23">
        <x:f>H16-I16</x:f>
      </x:c>
      <x:c r="K16" s="22">
        <x:v>1</x:v>
      </x:c>
      <x:c r="L16" s="24" t="s">
        <x:v>545</x:v>
      </x:c>
      <x:c r="M16" s="24"/>
      <x:c r="N16" s="27" t="s">
        <x:v>545</x:v>
      </x:c>
      <x:c r="O16" s="27"/>
      <x:c r="P16" s="26"/>
      <x:c r="Q16" s="27"/>
      <x:c r="R16" s="27"/>
      <x:c r="S16" s="22">
        <x:f>IF(N16="","تکمیل نشده",IF(N16="بدون تفصیلی (ثبت روی خود معین)","OK",IF(N16="ادغام با تفصیلی دیگر",IF(O16="","کلید مقصد خالی است",IF(IFERROR(MATCH(O16*1,$A:$A,0),0)=0,"کلید مقصد در این فهرست نیست",IF(O16*1=A16,"ادغام با خودش","OK"))),IF(Q16="","سطح شناور خالی است",IF(AND(FALSE,OR(Q16=1,Q16=2)),"سطح ۱ و ۲ این معین مال فعالیت و مرکز هزینه است","OK")))))</x:f>
      </x:c>
      <x:c r="T16" s="28"/>
    </x:row>
    <x:row r="17" spans="1:20">
      <x:c r="A17" s="21">
        <x:v>11466</x:v>
      </x:c>
      <x:c r="B17" s="22" t="s">
        <x:v>45</x:v>
      </x:c>
      <x:c r="C17" s="22" t="s">
        <x:v>30</x:v>
      </x:c>
      <x:c r="D17" s="22" t="s">
        <x:v>556</x:v>
      </x:c>
      <x:c r="E17" s="22" t="s">
        <x:v>221</x:v>
      </x:c>
      <x:c r="F17" s="22" t="s">
        <x:v>217</x:v>
      </x:c>
      <x:c r="G17" s="22">
        <x:v>1</x:v>
      </x:c>
      <x:c r="H17" s="23">
        <x:v>3000</x:v>
      </x:c>
      <x:c r="I17" s="23">
        <x:v>0</x:v>
      </x:c>
      <x:c r="J17" s="23">
        <x:f>H17-I17</x:f>
      </x:c>
      <x:c r="K17" s="22">
        <x:v>1</x:v>
      </x:c>
      <x:c r="L17" s="24" t="s">
        <x:v>548</x:v>
      </x:c>
      <x:c r="M17" s="24"/>
      <x:c r="N17" s="27" t="s">
        <x:v>548</x:v>
      </x:c>
      <x:c r="O17" s="27"/>
      <x:c r="P17" s="26"/>
      <x:c r="Q17" s="27">
        <x:v>1</x:v>
      </x:c>
      <x:c r="R17" s="27"/>
      <x:c r="S17" s="22">
        <x:f>IF(N17="","تکمیل نشده",IF(N17="بدون تفصیلی (ثبت روی خود معین)","OK",IF(N17="ادغام با تفصیلی دیگر",IF(O17="","کلید مقصد خالی است",IF(IFERROR(MATCH(O17*1,$A:$A,0),0)=0,"کلید مقصد در این فهرست نیست",IF(O17*1=A17,"ادغام با خودش","OK"))),IF(Q17="","سطح شناور خالی است",IF(AND(FALSE,OR(Q17=1,Q17=2)),"سطح ۱ و ۲ این معین مال فعالیت و مرکز هزینه است","OK")))))</x:f>
      </x:c>
      <x:c r="T17" s="28" t="s">
        <x:v>555</x:v>
      </x:c>
    </x:row>
    <x:row r="18" spans="1:20">
      <x:c r="A18" s="21">
        <x:v>11468</x:v>
      </x:c>
      <x:c r="B18" s="22" t="s">
        <x:v>45</x:v>
      </x:c>
      <x:c r="C18" s="22" t="s">
        <x:v>30</x:v>
      </x:c>
      <x:c r="D18" s="22" t="s">
        <x:v>557</x:v>
      </x:c>
      <x:c r="E18" s="22" t="s">
        <x:v>221</x:v>
      </x:c>
      <x:c r="F18" s="22" t="s">
        <x:v>217</x:v>
      </x:c>
      <x:c r="G18" s="22">
        <x:v>1</x:v>
      </x:c>
      <x:c r="H18" s="23">
        <x:v>5</x:v>
      </x:c>
      <x:c r="I18" s="23">
        <x:v>0</x:v>
      </x:c>
      <x:c r="J18" s="23">
        <x:f>H18-I18</x:f>
      </x:c>
      <x:c r="K18" s="22">
        <x:v>1</x:v>
      </x:c>
      <x:c r="L18" s="24" t="s">
        <x:v>548</x:v>
      </x:c>
      <x:c r="M18" s="24"/>
      <x:c r="N18" s="27" t="s">
        <x:v>548</x:v>
      </x:c>
      <x:c r="O18" s="27"/>
      <x:c r="P18" s="26"/>
      <x:c r="Q18" s="27">
        <x:v>1</x:v>
      </x:c>
      <x:c r="R18" s="27"/>
      <x:c r="S18" s="22">
        <x:f>IF(N18="","تکمیل نشده",IF(N18="بدون تفصیلی (ثبت روی خود معین)","OK",IF(N18="ادغام با تفصیلی دیگر",IF(O18="","کلید مقصد خالی است",IF(IFERROR(MATCH(O18*1,$A:$A,0),0)=0,"کلید مقصد در این فهرست نیست",IF(O18*1=A18,"ادغام با خودش","OK"))),IF(Q18="","سطح شناور خالی است",IF(AND(FALSE,OR(Q18=1,Q18=2)),"سطح ۱ و ۲ این معین مال فعالیت و مرکز هزینه است","OK")))))</x:f>
      </x:c>
      <x:c r="T18" s="28" t="s">
        <x:v>555</x:v>
      </x:c>
    </x:row>
    <x:row r="19" spans="1:20">
      <x:c r="A19" s="21">
        <x:v>177</x:v>
      </x:c>
      <x:c r="B19" s="22" t="s">
        <x:v>45</x:v>
      </x:c>
      <x:c r="C19" s="22" t="s">
        <x:v>30</x:v>
      </x:c>
      <x:c r="D19" s="22" t="s">
        <x:v>558</x:v>
      </x:c>
      <x:c r="E19" s="22" t="s">
        <x:v>559</x:v>
      </x:c>
      <x:c r="F19" s="22" t="s">
        <x:v>217</x:v>
      </x:c>
      <x:c r="G19" s="22">
        <x:v>3</x:v>
      </x:c>
      <x:c r="H19" s="23">
        <x:v>94757576</x:v>
      </x:c>
      <x:c r="I19" s="23">
        <x:v>0</x:v>
      </x:c>
      <x:c r="J19" s="23">
        <x:f>H19-I19</x:f>
      </x:c>
      <x:c r="K19" s="22">
        <x:v>1</x:v>
      </x:c>
      <x:c r="L19" s="24" t="s">
        <x:v>548</x:v>
      </x:c>
      <x:c r="M19" s="24"/>
      <x:c r="N19" s="27" t="s">
        <x:v>548</x:v>
      </x:c>
      <x:c r="O19" s="27"/>
      <x:c r="P19" s="26"/>
      <x:c r="Q19" s="27">
        <x:v>1</x:v>
      </x:c>
      <x:c r="R19" s="27"/>
      <x:c r="S19" s="22">
        <x:f>IF(N19="","تکمیل نشده",IF(N19="بدون تفصیلی (ثبت روی خود معین)","OK",IF(N19="ادغام با تفصیلی دیگر",IF(O19="","کلید مقصد خالی است",IF(IFERROR(MATCH(O19*1,$A:$A,0),0)=0,"کلید مقصد در این فهرست نیست",IF(O19*1=A19,"ادغام با خودش","OK"))),IF(Q19="","سطح شناور خالی است",IF(AND(FALSE,OR(Q19=1,Q19=2)),"سطح ۱ و ۲ این معین مال فعالیت و مرکز هزینه است","OK")))))</x:f>
      </x:c>
      <x:c r="T19" s="28"/>
    </x:row>
    <x:row r="20" spans="1:20">
      <x:c r="A20" s="21">
        <x:v>178</x:v>
      </x:c>
      <x:c r="B20" s="22" t="s">
        <x:v>45</x:v>
      </x:c>
      <x:c r="C20" s="22" t="s">
        <x:v>30</x:v>
      </x:c>
      <x:c r="D20" s="22" t="s">
        <x:v>560</x:v>
      </x:c>
      <x:c r="E20" s="22" t="s">
        <x:v>561</x:v>
      </x:c>
      <x:c r="F20" s="22" t="s">
        <x:v>217</x:v>
      </x:c>
      <x:c r="G20" s="22">
        <x:v>8</x:v>
      </x:c>
      <x:c r="H20" s="23">
        <x:v>39729117</x:v>
      </x:c>
      <x:c r="I20" s="23">
        <x:v>93955169</x:v>
      </x:c>
      <x:c r="J20" s="23">
        <x:f>H20-I20</x:f>
      </x:c>
      <x:c r="K20" s="22">
        <x:v>1</x:v>
      </x:c>
      <x:c r="L20" s="24" t="s">
        <x:v>548</x:v>
      </x:c>
      <x:c r="M20" s="24"/>
      <x:c r="N20" s="27" t="s">
        <x:v>548</x:v>
      </x:c>
      <x:c r="O20" s="27"/>
      <x:c r="P20" s="26"/>
      <x:c r="Q20" s="27">
        <x:v>1</x:v>
      </x:c>
      <x:c r="R20" s="27"/>
      <x:c r="S20" s="22">
        <x:f>IF(N20="","تکمیل نشده",IF(N20="بدون تفصیلی (ثبت روی خود معین)","OK",IF(N20="ادغام با تفصیلی دیگر",IF(O20="","کلید مقصد خالی است",IF(IFERROR(MATCH(O20*1,$A:$A,0),0)=0,"کلید مقصد در این فهرست نیست",IF(O20*1=A20,"ادغام با خودش","OK"))),IF(Q20="","سطح شناور خالی است",IF(AND(FALSE,OR(Q20=1,Q20=2)),"سطح ۱ و ۲ این معین مال فعالیت و مرکز هزینه است","OK")))))</x:f>
      </x:c>
      <x:c r="T20" s="28"/>
    </x:row>
    <x:row r="21" spans="1:20">
      <x:c r="A21" s="21">
        <x:v>188</x:v>
      </x:c>
      <x:c r="B21" s="22" t="s">
        <x:v>49</x:v>
      </x:c>
      <x:c r="C21" s="22" t="s">
        <x:v>14</x:v>
      </x:c>
      <x:c r="D21" s="22" t="s">
        <x:v>544</x:v>
      </x:c>
      <x:c r="E21" s="22" t="s">
        <x:v>218</x:v>
      </x:c>
      <x:c r="F21" s="22" t="s">
        <x:v>218</x:v>
      </x:c>
      <x:c r="G21" s="22">
        <x:v>168</x:v>
      </x:c>
      <x:c r="H21" s="23">
        <x:v>4527057580</x:v>
      </x:c>
      <x:c r="I21" s="23">
        <x:v>4989551181</x:v>
      </x:c>
      <x:c r="J21" s="23">
        <x:f>H21-I21</x:f>
      </x:c>
      <x:c r="K21" s="22">
        <x:v>1</x:v>
      </x:c>
      <x:c r="L21" s="24" t="s">
        <x:v>545</x:v>
      </x:c>
      <x:c r="M21" s="24"/>
      <x:c r="N21" s="27" t="s">
        <x:v>545</x:v>
      </x:c>
      <x:c r="O21" s="27"/>
      <x:c r="P21" s="26"/>
      <x:c r="Q21" s="27"/>
      <x:c r="R21" s="27"/>
      <x:c r="S21" s="22">
        <x:f>IF(N21="","تکمیل نشده",IF(N21="بدون تفصیلی (ثبت روی خود معین)","OK",IF(N21="ادغام با تفصیلی دیگر",IF(O21="","کلید مقصد خالی است",IF(IFERROR(MATCH(O21*1,$A:$A,0),0)=0,"کلید مقصد در این فهرست نیست",IF(O21*1=A21,"ادغام با خودش","OK"))),IF(Q21="","سطح شناور خالی است",IF(AND(FALSE,OR(Q21=1,Q21=2)),"سطح ۱ و ۲ این معین مال فعالیت و مرکز هزینه است","OK")))))</x:f>
      </x:c>
      <x:c r="T21" s="28"/>
    </x:row>
    <x:row r="22" spans="1:20">
      <x:c r="A22" s="21">
        <x:v>190</x:v>
      </x:c>
      <x:c r="B22" s="22" t="s">
        <x:v>49</x:v>
      </x:c>
      <x:c r="C22" s="22" t="s">
        <x:v>197</x:v>
      </x:c>
      <x:c r="D22" s="22" t="s">
        <x:v>544</x:v>
      </x:c>
      <x:c r="E22" s="22" t="s">
        <x:v>562</x:v>
      </x:c>
      <x:c r="F22" s="22" t="s">
        <x:v>219</x:v>
      </x:c>
      <x:c r="G22" s="22">
        <x:v>28</x:v>
      </x:c>
      <x:c r="H22" s="23">
        <x:v>5367717445</x:v>
      </x:c>
      <x:c r="I22" s="23">
        <x:v>3882407431</x:v>
      </x:c>
      <x:c r="J22" s="23">
        <x:f>H22-I22</x:f>
      </x:c>
      <x:c r="K22" s="22">
        <x:v>1</x:v>
      </x:c>
      <x:c r="L22" s="24" t="s">
        <x:v>545</x:v>
      </x:c>
      <x:c r="M22" s="24"/>
      <x:c r="N22" s="27" t="s">
        <x:v>545</x:v>
      </x:c>
      <x:c r="O22" s="27"/>
      <x:c r="P22" s="26"/>
      <x:c r="Q22" s="27"/>
      <x:c r="R22" s="27"/>
      <x:c r="S22" s="22">
        <x:f>IF(N22="","تکمیل نشده",IF(N22="بدون تفصیلی (ثبت روی خود معین)","OK",IF(N22="ادغام با تفصیلی دیگر",IF(O22="","کلید مقصد خالی است",IF(IFERROR(MATCH(O22*1,$A:$A,0),0)=0,"کلید مقصد در این فهرست نیست",IF(O22*1=A22,"ادغام با خودش","OK"))),IF(Q22="","سطح شناور خالی است",IF(AND(FALSE,OR(Q22=1,Q22=2)),"سطح ۱ و ۲ این معین مال فعالیت و مرکز هزینه است","OK")))))</x:f>
      </x:c>
      <x:c r="T22" s="28"/>
    </x:row>
    <x:row r="23" spans="1:20">
      <x:c r="A23" s="21">
        <x:v>200</x:v>
      </x:c>
      <x:c r="B23" s="22" t="s">
        <x:v>49</x:v>
      </x:c>
      <x:c r="C23" s="22" t="s">
        <x:v>207</x:v>
      </x:c>
      <x:c r="D23" s="22" t="s">
        <x:v>544</x:v>
      </x:c>
      <x:c r="E23" s="22" t="s">
        <x:v>220</x:v>
      </x:c>
      <x:c r="F23" s="22" t="s">
        <x:v>220</x:v>
      </x:c>
      <x:c r="G23" s="22">
        <x:v>179</x:v>
      </x:c>
      <x:c r="H23" s="23">
        <x:v>2967108324</x:v>
      </x:c>
      <x:c r="I23" s="23">
        <x:v>5990517171</x:v>
      </x:c>
      <x:c r="J23" s="23">
        <x:f>H23-I23</x:f>
      </x:c>
      <x:c r="K23" s="22">
        <x:v>1</x:v>
      </x:c>
      <x:c r="L23" s="24" t="s">
        <x:v>545</x:v>
      </x:c>
      <x:c r="M23" s="24"/>
      <x:c r="N23" s="27" t="s">
        <x:v>545</x:v>
      </x:c>
      <x:c r="O23" s="27"/>
      <x:c r="P23" s="26"/>
      <x:c r="Q23" s="27"/>
      <x:c r="R23" s="27"/>
      <x:c r="S23" s="22">
        <x:f>IF(N23="","تکمیل نشده",IF(N23="بدون تفصیلی (ثبت روی خود معین)","OK",IF(N23="ادغام با تفصیلی دیگر",IF(O23="","کلید مقصد خالی است",IF(IFERROR(MATCH(O23*1,$A:$A,0),0)=0,"کلید مقصد در این فهرست نیست",IF(O23*1=A23,"ادغام با خودش","OK"))),IF(Q23="","سطح شناور خالی است",IF(AND(TRUE,OR(Q23=1,Q23=2)),"سطح ۱ و ۲ این معین مال فعالیت و مرکز هزینه است","OK")))))</x:f>
      </x:c>
      <x:c r="T23" s="28"/>
    </x:row>
    <x:row r="24" spans="1:20">
      <x:c r="A24" s="21">
        <x:v>11404</x:v>
      </x:c>
      <x:c r="B24" s="22" t="s">
        <x:v>49</x:v>
      </x:c>
      <x:c r="C24" s="22" t="s">
        <x:v>81</x:v>
      </x:c>
      <x:c r="D24" s="22" t="s">
        <x:v>544</x:v>
      </x:c>
      <x:c r="E24" s="22" t="s">
        <x:v>221</x:v>
      </x:c>
      <x:c r="F24" s="22" t="s">
        <x:v>221</x:v>
      </x:c>
      <x:c r="G24" s="22">
        <x:v>5</x:v>
      </x:c>
      <x:c r="H24" s="23">
        <x:v>150</x:v>
      </x:c>
      <x:c r="I24" s="23">
        <x:v>60</x:v>
      </x:c>
      <x:c r="J24" s="23">
        <x:f>H24-I24</x:f>
      </x:c>
      <x:c r="K24" s="22">
        <x:v>1</x:v>
      </x:c>
      <x:c r="L24" s="24" t="s">
        <x:v>545</x:v>
      </x:c>
      <x:c r="M24" s="24"/>
      <x:c r="N24" s="27" t="s">
        <x:v>545</x:v>
      </x:c>
      <x:c r="O24" s="27"/>
      <x:c r="P24" s="26"/>
      <x:c r="Q24" s="27"/>
      <x:c r="R24" s="27"/>
      <x:c r="S24" s="22">
        <x:f>IF(N24="","تکمیل نشده",IF(N24="بدون تفصیلی (ثبت روی خود معین)","OK",IF(N24="ادغام با تفصیلی دیگر",IF(O24="","کلید مقصد خالی است",IF(IFERROR(MATCH(O24*1,$A:$A,0),0)=0,"کلید مقصد در این فهرست نیست",IF(O24*1=A24,"ادغام با خودش","OK"))),IF(Q24="","سطح شناور خالی است",IF(AND(FALSE,OR(Q24=1,Q24=2)),"سطح ۱ و ۲ این معین مال فعالیت و مرکز هزینه است","OK")))))</x:f>
      </x:c>
      <x:c r="T24" s="28"/>
    </x:row>
    <x:row r="25" spans="1:20">
      <x:c r="A25" s="21">
        <x:v>203</x:v>
      </x:c>
      <x:c r="B25" s="22" t="s">
        <x:v>49</x:v>
      </x:c>
      <x:c r="C25" s="22" t="s">
        <x:v>209</x:v>
      </x:c>
      <x:c r="D25" s="22" t="s">
        <x:v>544</x:v>
      </x:c>
      <x:c r="E25" s="22" t="s">
        <x:v>222</x:v>
      </x:c>
      <x:c r="F25" s="22" t="s">
        <x:v>222</x:v>
      </x:c>
      <x:c r="G25" s="22">
        <x:v>3</x:v>
      </x:c>
      <x:c r="H25" s="23">
        <x:v>110</x:v>
      </x:c>
      <x:c r="I25" s="23">
        <x:v>100000</x:v>
      </x:c>
      <x:c r="J25" s="23">
        <x:f>H25-I25</x:f>
      </x:c>
      <x:c r="K25" s="22">
        <x:v>1</x:v>
      </x:c>
      <x:c r="L25" s="24" t="s">
        <x:v>545</x:v>
      </x:c>
      <x:c r="M25" s="24"/>
      <x:c r="N25" s="27" t="s">
        <x:v>545</x:v>
      </x:c>
      <x:c r="O25" s="27"/>
      <x:c r="P25" s="26"/>
      <x:c r="Q25" s="27"/>
      <x:c r="R25" s="27"/>
      <x:c r="S25" s="22">
        <x:f>IF(N25="","تکمیل نشده",IF(N25="بدون تفصیلی (ثبت روی خود معین)","OK",IF(N25="ادغام با تفصیلی دیگر",IF(O25="","کلید مقصد خالی است",IF(IFERROR(MATCH(O25*1,$A:$A,0),0)=0,"کلید مقصد در این فهرست نیست",IF(O25*1=A25,"ادغام با خودش","OK"))),IF(Q25="","سطح شناور خالی است",IF(AND(TRUE,OR(Q25=1,Q25=2)),"سطح ۱ و ۲ این معین مال فعالیت و مرکز هزینه است","OK")))))</x:f>
      </x:c>
      <x:c r="T25" s="28"/>
    </x:row>
    <x:row r="26" spans="1:20">
      <x:c r="A26" s="21">
        <x:v>205</x:v>
      </x:c>
      <x:c r="B26" s="22" t="s">
        <x:v>49</x:v>
      </x:c>
      <x:c r="C26" s="22" t="s">
        <x:v>85</x:v>
      </x:c>
      <x:c r="D26" s="22" t="s">
        <x:v>544</x:v>
      </x:c>
      <x:c r="E26" s="22" t="s">
        <x:v>223</x:v>
      </x:c>
      <x:c r="F26" s="22" t="s">
        <x:v>223</x:v>
      </x:c>
      <x:c r="G26" s="22">
        <x:v>169</x:v>
      </x:c>
      <x:c r="H26" s="23">
        <x:v>24613281858</x:v>
      </x:c>
      <x:c r="I26" s="23">
        <x:v>35725409700</x:v>
      </x:c>
      <x:c r="J26" s="23">
        <x:f>H26-I26</x:f>
      </x:c>
      <x:c r="K26" s="22">
        <x:v>1</x:v>
      </x:c>
      <x:c r="L26" s="24" t="s">
        <x:v>545</x:v>
      </x:c>
      <x:c r="M26" s="24"/>
      <x:c r="N26" s="27" t="s">
        <x:v>545</x:v>
      </x:c>
      <x:c r="O26" s="27"/>
      <x:c r="P26" s="26"/>
      <x:c r="Q26" s="27"/>
      <x:c r="R26" s="27"/>
      <x:c r="S26" s="22">
        <x:f>IF(N26="","تکمیل نشده",IF(N26="بدون تفصیلی (ثبت روی خود معین)","OK",IF(N26="ادغام با تفصیلی دیگر",IF(O26="","کلید مقصد خالی است",IF(IFERROR(MATCH(O26*1,$A:$A,0),0)=0,"کلید مقصد در این فهرست نیست",IF(O26*1=A26,"ادغام با خودش","OK"))),IF(Q26="","سطح شناور خالی است",IF(AND(FALSE,OR(Q26=1,Q26=2)),"سطح ۱ و ۲ این معین مال فعالیت و مرکز هزینه است","OK")))))</x:f>
      </x:c>
      <x:c r="T26" s="28"/>
    </x:row>
    <x:row r="27" spans="1:20">
      <x:c r="A27" s="21">
        <x:v>207</x:v>
      </x:c>
      <x:c r="B27" s="22" t="s">
        <x:v>49</x:v>
      </x:c>
      <x:c r="C27" s="22" t="s">
        <x:v>211</x:v>
      </x:c>
      <x:c r="D27" s="22" t="s">
        <x:v>544</x:v>
      </x:c>
      <x:c r="E27" s="22" t="s">
        <x:v>563</x:v>
      </x:c>
      <x:c r="F27" s="22" t="s">
        <x:v>224</x:v>
      </x:c>
      <x:c r="G27" s="22">
        <x:v>40</x:v>
      </x:c>
      <x:c r="H27" s="23">
        <x:v>24909033794</x:v>
      </x:c>
      <x:c r="I27" s="23">
        <x:v>29597749495</x:v>
      </x:c>
      <x:c r="J27" s="23">
        <x:f>H27-I27</x:f>
      </x:c>
      <x:c r="K27" s="22">
        <x:v>1</x:v>
      </x:c>
      <x:c r="L27" s="24" t="s">
        <x:v>545</x:v>
      </x:c>
      <x:c r="M27" s="24"/>
      <x:c r="N27" s="27" t="s">
        <x:v>545</x:v>
      </x:c>
      <x:c r="O27" s="27"/>
      <x:c r="P27" s="26"/>
      <x:c r="Q27" s="27"/>
      <x:c r="R27" s="27"/>
      <x:c r="S27" s="22">
        <x:f>IF(N27="","تکمیل نشده",IF(N27="بدون تفصیلی (ثبت روی خود معین)","OK",IF(N27="ادغام با تفصیلی دیگر",IF(O27="","کلید مقصد خالی است",IF(IFERROR(MATCH(O27*1,$A:$A,0),0)=0,"کلید مقصد در این فهرست نیست",IF(O27*1=A27,"ادغام با خودش","OK"))),IF(Q27="","سطح شناور خالی است",IF(AND(FALSE,OR(Q27=1,Q27=2)),"سطح ۱ و ۲ این معین مال فعالیت و مرکز هزینه است","OK")))))</x:f>
      </x:c>
      <x:c r="T27" s="28"/>
    </x:row>
    <x:row r="28" spans="1:20">
      <x:c r="A28" s="21">
        <x:v>214</x:v>
      </x:c>
      <x:c r="B28" s="22" t="s">
        <x:v>49</x:v>
      </x:c>
      <x:c r="C28" s="22" t="s">
        <x:v>135</x:v>
      </x:c>
      <x:c r="D28" s="22" t="s">
        <x:v>544</x:v>
      </x:c>
      <x:c r="E28" s="22" t="s">
        <x:v>225</x:v>
      </x:c>
      <x:c r="F28" s="22" t="s">
        <x:v>225</x:v>
      </x:c>
      <x:c r="G28" s="22">
        <x:v>1</x:v>
      </x:c>
      <x:c r="H28" s="23">
        <x:v>10</x:v>
      </x:c>
      <x:c r="I28" s="23">
        <x:v>0</x:v>
      </x:c>
      <x:c r="J28" s="23">
        <x:f>H28-I28</x:f>
      </x:c>
      <x:c r="K28" s="22">
        <x:v>1</x:v>
      </x:c>
      <x:c r="L28" s="24" t="s">
        <x:v>545</x:v>
      </x:c>
      <x:c r="M28" s="24"/>
      <x:c r="N28" s="27" t="s">
        <x:v>545</x:v>
      </x:c>
      <x:c r="O28" s="27"/>
      <x:c r="P28" s="26"/>
      <x:c r="Q28" s="27"/>
      <x:c r="R28" s="27"/>
      <x:c r="S28" s="22">
        <x:f>IF(N28="","تکمیل نشده",IF(N28="بدون تفصیلی (ثبت روی خود معین)","OK",IF(N28="ادغام با تفصیلی دیگر",IF(O28="","کلید مقصد خالی است",IF(IFERROR(MATCH(O28*1,$A:$A,0),0)=0,"کلید مقصد در این فهرست نیست",IF(O28*1=A28,"ادغام با خودش","OK"))),IF(Q28="","سطح شناور خالی است",IF(AND(TRUE,OR(Q28=1,Q28=2)),"سطح ۱ و ۲ این معین مال فعالیت و مرکز هزینه است","OK")))))</x:f>
      </x:c>
      <x:c r="T28" s="28"/>
    </x:row>
    <x:row r="29" spans="1:20">
      <x:c r="A29" s="21">
        <x:v>217</x:v>
      </x:c>
      <x:c r="B29" s="22" t="s">
        <x:v>49</x:v>
      </x:c>
      <x:c r="C29" s="22" t="s">
        <x:v>135</x:v>
      </x:c>
      <x:c r="D29" s="22" t="s">
        <x:v>564</x:v>
      </x:c>
      <x:c r="E29" s="22" t="s">
        <x:v>565</x:v>
      </x:c>
      <x:c r="F29" s="22" t="s">
        <x:v>225</x:v>
      </x:c>
      <x:c r="G29" s="22">
        <x:v>1</x:v>
      </x:c>
      <x:c r="H29" s="23">
        <x:v>10</x:v>
      </x:c>
      <x:c r="I29" s="23">
        <x:v>0</x:v>
      </x:c>
      <x:c r="J29" s="23">
        <x:f>H29-I29</x:f>
      </x:c>
      <x:c r="K29" s="22">
        <x:v>1</x:v>
      </x:c>
      <x:c r="L29" s="24" t="s">
        <x:v>548</x:v>
      </x:c>
      <x:c r="M29" s="24"/>
      <x:c r="N29" s="27" t="s">
        <x:v>548</x:v>
      </x:c>
      <x:c r="O29" s="27"/>
      <x:c r="P29" s="26"/>
      <x:c r="Q29" s="27">
        <x:v>3</x:v>
      </x:c>
      <x:c r="R29" s="27"/>
      <x:c r="S29" s="22">
        <x:f>IF(N29="","تکمیل نشده",IF(N29="بدون تفصیلی (ثبت روی خود معین)","OK",IF(N29="ادغام با تفصیلی دیگر",IF(O29="","کلید مقصد خالی است",IF(IFERROR(MATCH(O29*1,$A:$A,0),0)=0,"کلید مقصد در این فهرست نیست",IF(O29*1=A29,"ادغام با خودش","OK"))),IF(Q29="","سطح شناور خالی است",IF(AND(TRUE,OR(Q29=1,Q29=2)),"سطح ۱ و ۲ این معین مال فعالیت و مرکز هزینه است","OK")))))</x:f>
      </x:c>
      <x:c r="T29" s="28"/>
    </x:row>
    <x:row r="30" spans="1:20">
      <x:c r="A30" s="21">
        <x:v>231</x:v>
      </x:c>
      <x:c r="B30" s="22" t="s">
        <x:v>49</x:v>
      </x:c>
      <x:c r="C30" s="22" t="s">
        <x:v>135</x:v>
      </x:c>
      <x:c r="D30" s="22" t="s">
        <x:v>566</x:v>
      </x:c>
      <x:c r="E30" s="22" t="s">
        <x:v>567</x:v>
      </x:c>
      <x:c r="F30" s="22" t="s">
        <x:v>225</x:v>
      </x:c>
      <x:c r="G30" s="22">
        <x:v>18</x:v>
      </x:c>
      <x:c r="H30" s="23">
        <x:v>12571764</x:v>
      </x:c>
      <x:c r="I30" s="23">
        <x:v>45760527</x:v>
      </x:c>
      <x:c r="J30" s="23">
        <x:f>H30-I30</x:f>
      </x:c>
      <x:c r="K30" s="22">
        <x:v>1</x:v>
      </x:c>
      <x:c r="L30" s="24" t="s">
        <x:v>548</x:v>
      </x:c>
      <x:c r="M30" s="24"/>
      <x:c r="N30" s="27" t="s">
        <x:v>548</x:v>
      </x:c>
      <x:c r="O30" s="27"/>
      <x:c r="P30" s="26"/>
      <x:c r="Q30" s="27">
        <x:v>3</x:v>
      </x:c>
      <x:c r="R30" s="27"/>
      <x:c r="S30" s="22">
        <x:f>IF(N30="","تکمیل نشده",IF(N30="بدون تفصیلی (ثبت روی خود معین)","OK",IF(N30="ادغام با تفصیلی دیگر",IF(O30="","کلید مقصد خالی است",IF(IFERROR(MATCH(O30*1,$A:$A,0),0)=0,"کلید مقصد در این فهرست نیست",IF(O30*1=A30,"ادغام با خودش","OK"))),IF(Q30="","سطح شناور خالی است",IF(AND(TRUE,OR(Q30=1,Q30=2)),"سطح ۱ و ۲ این معین مال فعالیت و مرکز هزینه است","OK")))))</x:f>
      </x:c>
      <x:c r="T30" s="28"/>
    </x:row>
    <x:row r="31" spans="1:20">
      <x:c r="A31" s="21">
        <x:v>248</x:v>
      </x:c>
      <x:c r="B31" s="22" t="s">
        <x:v>49</x:v>
      </x:c>
      <x:c r="C31" s="22" t="s">
        <x:v>135</x:v>
      </x:c>
      <x:c r="D31" s="22" t="s">
        <x:v>568</x:v>
      </x:c>
      <x:c r="E31" s="22" t="s">
        <x:v>569</x:v>
      </x:c>
      <x:c r="F31" s="22" t="s">
        <x:v>225</x:v>
      </x:c>
      <x:c r="G31" s="22">
        <x:v>1</x:v>
      </x:c>
      <x:c r="H31" s="23">
        <x:v>100</x:v>
      </x:c>
      <x:c r="I31" s="23">
        <x:v>0</x:v>
      </x:c>
      <x:c r="J31" s="23">
        <x:f>H31-I31</x:f>
      </x:c>
      <x:c r="K31" s="22">
        <x:v>1</x:v>
      </x:c>
      <x:c r="L31" s="24" t="s">
        <x:v>548</x:v>
      </x:c>
      <x:c r="M31" s="24"/>
      <x:c r="N31" s="27" t="s">
        <x:v>548</x:v>
      </x:c>
      <x:c r="O31" s="27"/>
      <x:c r="P31" s="26"/>
      <x:c r="Q31" s="27">
        <x:v>3</x:v>
      </x:c>
      <x:c r="R31" s="27"/>
      <x:c r="S31" s="22">
        <x:f>IF(N31="","تکمیل نشده",IF(N31="بدون تفصیلی (ثبت روی خود معین)","OK",IF(N31="ادغام با تفصیلی دیگر",IF(O31="","کلید مقصد خالی است",IF(IFERROR(MATCH(O31*1,$A:$A,0),0)=0,"کلید مقصد در این فهرست نیست",IF(O31*1=A31,"ادغام با خودش","OK"))),IF(Q31="","سطح شناور خالی است",IF(AND(TRUE,OR(Q31=1,Q31=2)),"سطح ۱ و ۲ این معین مال فعالیت و مرکز هزینه است","OK")))))</x:f>
      </x:c>
      <x:c r="T31" s="28"/>
    </x:row>
    <x:row r="32" spans="1:20">
      <x:c r="A32" s="21">
        <x:v>251</x:v>
      </x:c>
      <x:c r="B32" s="22" t="s">
        <x:v>49</x:v>
      </x:c>
      <x:c r="C32" s="22" t="s">
        <x:v>135</x:v>
      </x:c>
      <x:c r="D32" s="22" t="s">
        <x:v>570</x:v>
      </x:c>
      <x:c r="E32" s="22" t="s">
        <x:v>571</x:v>
      </x:c>
      <x:c r="F32" s="22" t="s">
        <x:v>225</x:v>
      </x:c>
      <x:c r="G32" s="22">
        <x:v>6</x:v>
      </x:c>
      <x:c r="H32" s="23">
        <x:v>682913</x:v>
      </x:c>
      <x:c r="I32" s="23">
        <x:v>2734454</x:v>
      </x:c>
      <x:c r="J32" s="23">
        <x:f>H32-I32</x:f>
      </x:c>
      <x:c r="K32" s="22">
        <x:v>1</x:v>
      </x:c>
      <x:c r="L32" s="24" t="s">
        <x:v>548</x:v>
      </x:c>
      <x:c r="M32" s="24"/>
      <x:c r="N32" s="27" t="s">
        <x:v>548</x:v>
      </x:c>
      <x:c r="O32" s="27"/>
      <x:c r="P32" s="26"/>
      <x:c r="Q32" s="27">
        <x:v>3</x:v>
      </x:c>
      <x:c r="R32" s="27"/>
      <x:c r="S32" s="22">
        <x:f>IF(N32="","تکمیل نشده",IF(N32="بدون تفصیلی (ثبت روی خود معین)","OK",IF(N32="ادغام با تفصیلی دیگر",IF(O32="","کلید مقصد خالی است",IF(IFERROR(MATCH(O32*1,$A:$A,0),0)=0,"کلید مقصد در این فهرست نیست",IF(O32*1=A32,"ادغام با خودش","OK"))),IF(Q32="","سطح شناور خالی است",IF(AND(TRUE,OR(Q32=1,Q32=2)),"سطح ۱ و ۲ این معین مال فعالیت و مرکز هزینه است","OK")))))</x:f>
      </x:c>
      <x:c r="T32" s="28"/>
    </x:row>
    <x:row r="33" spans="1:20">
      <x:c r="A33" s="21">
        <x:v>264</x:v>
      </x:c>
      <x:c r="B33" s="22" t="s">
        <x:v>49</x:v>
      </x:c>
      <x:c r="C33" s="22" t="s">
        <x:v>135</x:v>
      </x:c>
      <x:c r="D33" s="22" t="s">
        <x:v>572</x:v>
      </x:c>
      <x:c r="E33" s="22" t="s">
        <x:v>573</x:v>
      </x:c>
      <x:c r="F33" s="22" t="s">
        <x:v>225</x:v>
      </x:c>
      <x:c r="G33" s="22">
        <x:v>1</x:v>
      </x:c>
      <x:c r="H33" s="23">
        <x:v>9576670</x:v>
      </x:c>
      <x:c r="I33" s="23">
        <x:v>0</x:v>
      </x:c>
      <x:c r="J33" s="23">
        <x:f>H33-I33</x:f>
      </x:c>
      <x:c r="K33" s="22">
        <x:v>1</x:v>
      </x:c>
      <x:c r="L33" s="24" t="s">
        <x:v>548</x:v>
      </x:c>
      <x:c r="M33" s="24"/>
      <x:c r="N33" s="27" t="s">
        <x:v>548</x:v>
      </x:c>
      <x:c r="O33" s="27"/>
      <x:c r="P33" s="26"/>
      <x:c r="Q33" s="27">
        <x:v>3</x:v>
      </x:c>
      <x:c r="R33" s="27"/>
      <x:c r="S33" s="22">
        <x:f>IF(N33="","تکمیل نشده",IF(N33="بدون تفصیلی (ثبت روی خود معین)","OK",IF(N33="ادغام با تفصیلی دیگر",IF(O33="","کلید مقصد خالی است",IF(IFERROR(MATCH(O33*1,$A:$A,0),0)=0,"کلید مقصد در این فهرست نیست",IF(O33*1=A33,"ادغام با خودش","OK"))),IF(Q33="","سطح شناور خالی است",IF(AND(TRUE,OR(Q33=1,Q33=2)),"سطح ۱ و ۲ این معین مال فعالیت و مرکز هزینه است","OK")))))</x:f>
      </x:c>
      <x:c r="T33" s="28"/>
    </x:row>
    <x:row r="34" spans="1:20">
      <x:c r="A34" s="21">
        <x:v>265</x:v>
      </x:c>
      <x:c r="B34" s="22" t="s">
        <x:v>49</x:v>
      </x:c>
      <x:c r="C34" s="22" t="s">
        <x:v>135</x:v>
      </x:c>
      <x:c r="D34" s="22" t="s">
        <x:v>574</x:v>
      </x:c>
      <x:c r="E34" s="22" t="s">
        <x:v>575</x:v>
      </x:c>
      <x:c r="F34" s="22" t="s">
        <x:v>225</x:v>
      </x:c>
      <x:c r="G34" s="22">
        <x:v>1</x:v>
      </x:c>
      <x:c r="H34" s="23">
        <x:v>0</x:v>
      </x:c>
      <x:c r="I34" s="23">
        <x:v>10</x:v>
      </x:c>
      <x:c r="J34" s="23">
        <x:f>H34-I34</x:f>
      </x:c>
      <x:c r="K34" s="22">
        <x:v>1</x:v>
      </x:c>
      <x:c r="L34" s="24" t="s">
        <x:v>548</x:v>
      </x:c>
      <x:c r="M34" s="24"/>
      <x:c r="N34" s="27" t="s">
        <x:v>548</x:v>
      </x:c>
      <x:c r="O34" s="27"/>
      <x:c r="P34" s="26"/>
      <x:c r="Q34" s="27">
        <x:v>3</x:v>
      </x:c>
      <x:c r="R34" s="27"/>
      <x:c r="S34" s="22">
        <x:f>IF(N34="","تکمیل نشده",IF(N34="بدون تفصیلی (ثبت روی خود معین)","OK",IF(N34="ادغام با تفصیلی دیگر",IF(O34="","کلید مقصد خالی است",IF(IFERROR(MATCH(O34*1,$A:$A,0),0)=0,"کلید مقصد در این فهرست نیست",IF(O34*1=A34,"ادغام با خودش","OK"))),IF(Q34="","سطح شناور خالی است",IF(AND(TRUE,OR(Q34=1,Q34=2)),"سطح ۱ و ۲ این معین مال فعالیت و مرکز هزینه است","OK")))))</x:f>
      </x:c>
      <x:c r="T34" s="28"/>
    </x:row>
    <x:row r="35" spans="1:20">
      <x:c r="A35" s="21">
        <x:v>267</x:v>
      </x:c>
      <x:c r="B35" s="22" t="s">
        <x:v>49</x:v>
      </x:c>
      <x:c r="C35" s="22" t="s">
        <x:v>135</x:v>
      </x:c>
      <x:c r="D35" s="22" t="s">
        <x:v>576</x:v>
      </x:c>
      <x:c r="E35" s="22" t="s">
        <x:v>577</x:v>
      </x:c>
      <x:c r="F35" s="22" t="s">
        <x:v>225</x:v>
      </x:c>
      <x:c r="G35" s="22">
        <x:v>32</x:v>
      </x:c>
      <x:c r="H35" s="23">
        <x:v>249285027</x:v>
      </x:c>
      <x:c r="I35" s="23">
        <x:v>269467741</x:v>
      </x:c>
      <x:c r="J35" s="23">
        <x:f>H35-I35</x:f>
      </x:c>
      <x:c r="K35" s="22">
        <x:v>1</x:v>
      </x:c>
      <x:c r="L35" s="24" t="s">
        <x:v>548</x:v>
      </x:c>
      <x:c r="M35" s="24"/>
      <x:c r="N35" s="27" t="s">
        <x:v>548</x:v>
      </x:c>
      <x:c r="O35" s="27"/>
      <x:c r="P35" s="26"/>
      <x:c r="Q35" s="27">
        <x:v>3</x:v>
      </x:c>
      <x:c r="R35" s="27"/>
      <x:c r="S35" s="22">
        <x:f>IF(N35="","تکمیل نشده",IF(N35="بدون تفصیلی (ثبت روی خود معین)","OK",IF(N35="ادغام با تفصیلی دیگر",IF(O35="","کلید مقصد خالی است",IF(IFERROR(MATCH(O35*1,$A:$A,0),0)=0,"کلید مقصد در این فهرست نیست",IF(O35*1=A35,"ادغام با خودش","OK"))),IF(Q35="","سطح شناور خالی است",IF(AND(TRUE,OR(Q35=1,Q35=2)),"سطح ۱ و ۲ این معین مال فعالیت و مرکز هزینه است","OK")))))</x:f>
      </x:c>
      <x:c r="T35" s="28"/>
    </x:row>
    <x:row r="36" spans="1:20">
      <x:c r="A36" s="21">
        <x:v>274</x:v>
      </x:c>
      <x:c r="B36" s="22" t="s">
        <x:v>49</x:v>
      </x:c>
      <x:c r="C36" s="22" t="s">
        <x:v>135</x:v>
      </x:c>
      <x:c r="D36" s="22" t="s">
        <x:v>578</x:v>
      </x:c>
      <x:c r="E36" s="22" t="s">
        <x:v>579</x:v>
      </x:c>
      <x:c r="F36" s="22" t="s">
        <x:v>225</x:v>
      </x:c>
      <x:c r="G36" s="22">
        <x:v>14</x:v>
      </x:c>
      <x:c r="H36" s="23">
        <x:v>4932965</x:v>
      </x:c>
      <x:c r="I36" s="23">
        <x:v>19889886</x:v>
      </x:c>
      <x:c r="J36" s="23">
        <x:f>H36-I36</x:f>
      </x:c>
      <x:c r="K36" s="22">
        <x:v>1</x:v>
      </x:c>
      <x:c r="L36" s="24" t="s">
        <x:v>548</x:v>
      </x:c>
      <x:c r="M36" s="24"/>
      <x:c r="N36" s="27" t="s">
        <x:v>548</x:v>
      </x:c>
      <x:c r="O36" s="27"/>
      <x:c r="P36" s="26"/>
      <x:c r="Q36" s="27">
        <x:v>3</x:v>
      </x:c>
      <x:c r="R36" s="27"/>
      <x:c r="S36" s="22">
        <x:f>IF(N36="","تکمیل نشده",IF(N36="بدون تفصیلی (ثبت روی خود معین)","OK",IF(N36="ادغام با تفصیلی دیگر",IF(O36="","کلید مقصد خالی است",IF(IFERROR(MATCH(O36*1,$A:$A,0),0)=0,"کلید مقصد در این فهرست نیست",IF(O36*1=A36,"ادغام با خودش","OK"))),IF(Q36="","سطح شناور خالی است",IF(AND(TRUE,OR(Q36=1,Q36=2)),"سطح ۱ و ۲ این معین مال فعالیت و مرکز هزینه است","OK")))))</x:f>
      </x:c>
      <x:c r="T36" s="28"/>
    </x:row>
    <x:row r="37" spans="1:20">
      <x:c r="A37" s="21">
        <x:v>295</x:v>
      </x:c>
      <x:c r="B37" s="22" t="s">
        <x:v>49</x:v>
      </x:c>
      <x:c r="C37" s="22" t="s">
        <x:v>135</x:v>
      </x:c>
      <x:c r="D37" s="22" t="s">
        <x:v>580</x:v>
      </x:c>
      <x:c r="E37" s="22" t="s">
        <x:v>581</x:v>
      </x:c>
      <x:c r="F37" s="22" t="s">
        <x:v>225</x:v>
      </x:c>
      <x:c r="G37" s="22">
        <x:v>28</x:v>
      </x:c>
      <x:c r="H37" s="23">
        <x:v>101042122</x:v>
      </x:c>
      <x:c r="I37" s="23">
        <x:v>105287460</x:v>
      </x:c>
      <x:c r="J37" s="23">
        <x:f>H37-I37</x:f>
      </x:c>
      <x:c r="K37" s="22">
        <x:v>1</x:v>
      </x:c>
      <x:c r="L37" s="24" t="s">
        <x:v>548</x:v>
      </x:c>
      <x:c r="M37" s="24"/>
      <x:c r="N37" s="27" t="s">
        <x:v>548</x:v>
      </x:c>
      <x:c r="O37" s="27"/>
      <x:c r="P37" s="26"/>
      <x:c r="Q37" s="27">
        <x:v>3</x:v>
      </x:c>
      <x:c r="R37" s="27"/>
      <x:c r="S37" s="22">
        <x:f>IF(N37="","تکمیل نشده",IF(N37="بدون تفصیلی (ثبت روی خود معین)","OK",IF(N37="ادغام با تفصیلی دیگر",IF(O37="","کلید مقصد خالی است",IF(IFERROR(MATCH(O37*1,$A:$A,0),0)=0,"کلید مقصد در این فهرست نیست",IF(O37*1=A37,"ادغام با خودش","OK"))),IF(Q37="","سطح شناور خالی است",IF(AND(TRUE,OR(Q37=1,Q37=2)),"سطح ۱ و ۲ این معین مال فعالیت و مرکز هزینه است","OK")))))</x:f>
      </x:c>
      <x:c r="T37" s="28"/>
    </x:row>
    <x:row r="38" spans="1:20">
      <x:c r="A38" s="21">
        <x:v>315</x:v>
      </x:c>
      <x:c r="B38" s="22" t="s">
        <x:v>49</x:v>
      </x:c>
      <x:c r="C38" s="22" t="s">
        <x:v>135</x:v>
      </x:c>
      <x:c r="D38" s="22" t="s">
        <x:v>582</x:v>
      </x:c>
      <x:c r="E38" s="22" t="s">
        <x:v>583</x:v>
      </x:c>
      <x:c r="F38" s="22" t="s">
        <x:v>225</x:v>
      </x:c>
      <x:c r="G38" s="22">
        <x:v>30</x:v>
      </x:c>
      <x:c r="H38" s="23">
        <x:v>68966782</x:v>
      </x:c>
      <x:c r="I38" s="23">
        <x:v>107027450</x:v>
      </x:c>
      <x:c r="J38" s="23">
        <x:f>H38-I38</x:f>
      </x:c>
      <x:c r="K38" s="22">
        <x:v>1</x:v>
      </x:c>
      <x:c r="L38" s="24" t="s">
        <x:v>548</x:v>
      </x:c>
      <x:c r="M38" s="24"/>
      <x:c r="N38" s="27" t="s">
        <x:v>548</x:v>
      </x:c>
      <x:c r="O38" s="27"/>
      <x:c r="P38" s="26"/>
      <x:c r="Q38" s="27">
        <x:v>3</x:v>
      </x:c>
      <x:c r="R38" s="27"/>
      <x:c r="S38" s="22">
        <x:f>IF(N38="","تکمیل نشده",IF(N38="بدون تفصیلی (ثبت روی خود معین)","OK",IF(N38="ادغام با تفصیلی دیگر",IF(O38="","کلید مقصد خالی است",IF(IFERROR(MATCH(O38*1,$A:$A,0),0)=0,"کلید مقصد در این فهرست نیست",IF(O38*1=A38,"ادغام با خودش","OK"))),IF(Q38="","سطح شناور خالی است",IF(AND(TRUE,OR(Q38=1,Q38=2)),"سطح ۱ و ۲ این معین مال فعالیت و مرکز هزینه است","OK")))))</x:f>
      </x:c>
      <x:c r="T38" s="28"/>
    </x:row>
    <x:row r="39" spans="1:20">
      <x:c r="A39" s="21">
        <x:v>328</x:v>
      </x:c>
      <x:c r="B39" s="22" t="s">
        <x:v>49</x:v>
      </x:c>
      <x:c r="C39" s="22" t="s">
        <x:v>135</x:v>
      </x:c>
      <x:c r="D39" s="22" t="s">
        <x:v>584</x:v>
      </x:c>
      <x:c r="E39" s="22" t="s">
        <x:v>585</x:v>
      </x:c>
      <x:c r="F39" s="22" t="s">
        <x:v>225</x:v>
      </x:c>
      <x:c r="G39" s="22">
        <x:v>16</x:v>
      </x:c>
      <x:c r="H39" s="23">
        <x:v>487908628</x:v>
      </x:c>
      <x:c r="I39" s="23">
        <x:v>758298924</x:v>
      </x:c>
      <x:c r="J39" s="23">
        <x:f>H39-I39</x:f>
      </x:c>
      <x:c r="K39" s="22">
        <x:v>1</x:v>
      </x:c>
      <x:c r="L39" s="24" t="s">
        <x:v>548</x:v>
      </x:c>
      <x:c r="M39" s="24"/>
      <x:c r="N39" s="27" t="s">
        <x:v>548</x:v>
      </x:c>
      <x:c r="O39" s="27"/>
      <x:c r="P39" s="26"/>
      <x:c r="Q39" s="27">
        <x:v>3</x:v>
      </x:c>
      <x:c r="R39" s="27"/>
      <x:c r="S39" s="22">
        <x:f>IF(N39="","تکمیل نشده",IF(N39="بدون تفصیلی (ثبت روی خود معین)","OK",IF(N39="ادغام با تفصیلی دیگر",IF(O39="","کلید مقصد خالی است",IF(IFERROR(MATCH(O39*1,$A:$A,0),0)=0,"کلید مقصد در این فهرست نیست",IF(O39*1=A39,"ادغام با خودش","OK"))),IF(Q39="","سطح شناور خالی است",IF(AND(TRUE,OR(Q39=1,Q39=2)),"سطح ۱ و ۲ این معین مال فعالیت و مرکز هزینه است","OK")))))</x:f>
      </x:c>
      <x:c r="T39" s="28"/>
    </x:row>
    <x:row r="40" spans="1:20">
      <x:c r="A40" s="21">
        <x:v>331</x:v>
      </x:c>
      <x:c r="B40" s="22" t="s">
        <x:v>49</x:v>
      </x:c>
      <x:c r="C40" s="22" t="s">
        <x:v>135</x:v>
      </x:c>
      <x:c r="D40" s="22" t="s">
        <x:v>586</x:v>
      </x:c>
      <x:c r="E40" s="22" t="s">
        <x:v>587</x:v>
      </x:c>
      <x:c r="F40" s="22" t="s">
        <x:v>225</x:v>
      </x:c>
      <x:c r="G40" s="22">
        <x:v>32</x:v>
      </x:c>
      <x:c r="H40" s="23">
        <x:v>1433860065</x:v>
      </x:c>
      <x:c r="I40" s="23">
        <x:v>4829991370</x:v>
      </x:c>
      <x:c r="J40" s="23">
        <x:f>H40-I40</x:f>
      </x:c>
      <x:c r="K40" s="22">
        <x:v>1</x:v>
      </x:c>
      <x:c r="L40" s="24" t="s">
        <x:v>548</x:v>
      </x:c>
      <x:c r="M40" s="24"/>
      <x:c r="N40" s="27" t="s">
        <x:v>548</x:v>
      </x:c>
      <x:c r="O40" s="27"/>
      <x:c r="P40" s="26"/>
      <x:c r="Q40" s="27">
        <x:v>3</x:v>
      </x:c>
      <x:c r="R40" s="27"/>
      <x:c r="S40" s="22">
        <x:f>IF(N40="","تکمیل نشده",IF(N40="بدون تفصیلی (ثبت روی خود معین)","OK",IF(N40="ادغام با تفصیلی دیگر",IF(O40="","کلید مقصد خالی است",IF(IFERROR(MATCH(O40*1,$A:$A,0),0)=0,"کلید مقصد در این فهرست نیست",IF(O40*1=A40,"ادغام با خودش","OK"))),IF(Q40="","سطح شناور خالی است",IF(AND(TRUE,OR(Q40=1,Q40=2)),"سطح ۱ و ۲ این معین مال فعالیت و مرکز هزینه است","OK")))))</x:f>
      </x:c>
      <x:c r="T40" s="28"/>
    </x:row>
    <x:row r="41" spans="1:20">
      <x:c r="A41" s="21">
        <x:v>338</x:v>
      </x:c>
      <x:c r="B41" s="22" t="s">
        <x:v>49</x:v>
      </x:c>
      <x:c r="C41" s="22" t="s">
        <x:v>135</x:v>
      </x:c>
      <x:c r="D41" s="22" t="s">
        <x:v>588</x:v>
      </x:c>
      <x:c r="E41" s="22" t="s">
        <x:v>589</x:v>
      </x:c>
      <x:c r="F41" s="22" t="s">
        <x:v>225</x:v>
      </x:c>
      <x:c r="G41" s="22">
        <x:v>20</x:v>
      </x:c>
      <x:c r="H41" s="23">
        <x:v>82446833</x:v>
      </x:c>
      <x:c r="I41" s="23">
        <x:v>324557876</x:v>
      </x:c>
      <x:c r="J41" s="23">
        <x:f>H41-I41</x:f>
      </x:c>
      <x:c r="K41" s="22">
        <x:v>1</x:v>
      </x:c>
      <x:c r="L41" s="24" t="s">
        <x:v>548</x:v>
      </x:c>
      <x:c r="M41" s="24"/>
      <x:c r="N41" s="27" t="s">
        <x:v>548</x:v>
      </x:c>
      <x:c r="O41" s="27"/>
      <x:c r="P41" s="26"/>
      <x:c r="Q41" s="27">
        <x:v>3</x:v>
      </x:c>
      <x:c r="R41" s="27"/>
      <x:c r="S41" s="22">
        <x:f>IF(N41="","تکمیل نشده",IF(N41="بدون تفصیلی (ثبت روی خود معین)","OK",IF(N41="ادغام با تفصیلی دیگر",IF(O41="","کلید مقصد خالی است",IF(IFERROR(MATCH(O41*1,$A:$A,0),0)=0,"کلید مقصد در این فهرست نیست",IF(O41*1=A41,"ادغام با خودش","OK"))),IF(Q41="","سطح شناور خالی است",IF(AND(TRUE,OR(Q41=1,Q41=2)),"سطح ۱ و ۲ این معین مال فعالیت و مرکز هزینه است","OK")))))</x:f>
      </x:c>
      <x:c r="T41" s="28"/>
    </x:row>
    <x:row r="42" spans="1:20">
      <x:c r="A42" s="21">
        <x:v>344</x:v>
      </x:c>
      <x:c r="B42" s="22" t="s">
        <x:v>49</x:v>
      </x:c>
      <x:c r="C42" s="22" t="s">
        <x:v>213</x:v>
      </x:c>
      <x:c r="D42" s="22" t="s">
        <x:v>544</x:v>
      </x:c>
      <x:c r="E42" s="22" t="s">
        <x:v>590</x:v>
      </x:c>
      <x:c r="F42" s="22" t="s">
        <x:v>226</x:v>
      </x:c>
      <x:c r="G42" s="22">
        <x:v>16</x:v>
      </x:c>
      <x:c r="H42" s="23">
        <x:v>425591050</x:v>
      </x:c>
      <x:c r="I42" s="23">
        <x:v>745420850</x:v>
      </x:c>
      <x:c r="J42" s="23">
        <x:f>H42-I42</x:f>
      </x:c>
      <x:c r="K42" s="22">
        <x:v>1</x:v>
      </x:c>
      <x:c r="L42" s="24" t="s">
        <x:v>545</x:v>
      </x:c>
      <x:c r="M42" s="24"/>
      <x:c r="N42" s="27" t="s">
        <x:v>545</x:v>
      </x:c>
      <x:c r="O42" s="27"/>
      <x:c r="P42" s="26"/>
      <x:c r="Q42" s="27"/>
      <x:c r="R42" s="27"/>
      <x:c r="S42" s="22">
        <x:f>IF(N42="","تکمیل نشده",IF(N42="بدون تفصیلی (ثبت روی خود معین)","OK",IF(N42="ادغام با تفصیلی دیگر",IF(O42="","کلید مقصد خالی است",IF(IFERROR(MATCH(O42*1,$A:$A,0),0)=0,"کلید مقصد در این فهرست نیست",IF(O42*1=A42,"ادغام با خودش","OK"))),IF(Q42="","سطح شناور خالی است",IF(AND(FALSE,OR(Q42=1,Q42=2)),"سطح ۱ و ۲ این معین مال فعالیت و مرکز هزینه است","OK")))))</x:f>
      </x:c>
      <x:c r="T42" s="28"/>
    </x:row>
    <x:row r="43" spans="1:20">
      <x:c r="A43" s="21">
        <x:v>523</x:v>
      </x:c>
      <x:c r="B43" s="22" t="s">
        <x:v>52</x:v>
      </x:c>
      <x:c r="C43" s="22" t="s">
        <x:v>227</x:v>
      </x:c>
      <x:c r="D43" s="22" t="s">
        <x:v>544</x:v>
      </x:c>
      <x:c r="E43" s="22" t="s">
        <x:v>228</x:v>
      </x:c>
      <x:c r="F43" s="22" t="s">
        <x:v>228</x:v>
      </x:c>
      <x:c r="G43" s="22">
        <x:v>40</x:v>
      </x:c>
      <x:c r="H43" s="23">
        <x:v>192838263</x:v>
      </x:c>
      <x:c r="I43" s="23">
        <x:v>348747355</x:v>
      </x:c>
      <x:c r="J43" s="23">
        <x:f>H43-I43</x:f>
      </x:c>
      <x:c r="K43" s="22">
        <x:v>5</x:v>
      </x:c>
      <x:c r="L43" s="24" t="s">
        <x:v>545</x:v>
      </x:c>
      <x:c r="M43" s="24"/>
      <x:c r="N43" s="27" t="s">
        <x:v>545</x:v>
      </x:c>
      <x:c r="O43" s="27"/>
      <x:c r="P43" s="26"/>
      <x:c r="Q43" s="27"/>
      <x:c r="R43" s="27"/>
      <x:c r="S43" s="22">
        <x:f>IF(N43="","تکمیل نشده",IF(N43="بدون تفصیلی (ثبت روی خود معین)","OK",IF(N43="ادغام با تفصیلی دیگر",IF(O43="","کلید مقصد خالی است",IF(IFERROR(MATCH(O43*1,$A:$A,0),0)=0,"کلید مقصد در این فهرست نیست",IF(O43*1=A43,"ادغام با خودش","OK"))),IF(Q43="","سطح شناور خالی است",IF(AND(FALSE,OR(Q43=1,Q43=2)),"سطح ۱ و ۲ این معین مال فعالیت و مرکز هزینه است","OK")))))</x:f>
      </x:c>
      <x:c r="T43" s="28"/>
    </x:row>
    <x:row r="44" spans="1:20">
      <x:c r="A44" s="21">
        <x:v>524</x:v>
      </x:c>
      <x:c r="B44" s="22" t="s">
        <x:v>52</x:v>
      </x:c>
      <x:c r="C44" s="22" t="s">
        <x:v>227</x:v>
      </x:c>
      <x:c r="D44" s="22" t="s">
        <x:v>591</x:v>
      </x:c>
      <x:c r="E44" s="22" t="s">
        <x:v>592</x:v>
      </x:c>
      <x:c r="F44" s="22" t="s">
        <x:v>228</x:v>
      </x:c>
      <x:c r="G44" s="22">
        <x:v>14</x:v>
      </x:c>
      <x:c r="H44" s="23">
        <x:v>234200220</x:v>
      </x:c>
      <x:c r="I44" s="23">
        <x:v>702600660</x:v>
      </x:c>
      <x:c r="J44" s="23">
        <x:f>H44-I44</x:f>
      </x:c>
      <x:c r="K44" s="22">
        <x:v>1</x:v>
      </x:c>
      <x:c r="L44" s="24" t="s">
        <x:v>548</x:v>
      </x:c>
      <x:c r="M44" s="24"/>
      <x:c r="N44" s="27" t="s">
        <x:v>548</x:v>
      </x:c>
      <x:c r="O44" s="27"/>
      <x:c r="P44" s="26"/>
      <x:c r="Q44" s="27">
        <x:v>1</x:v>
      </x:c>
      <x:c r="R44" s="27"/>
      <x:c r="S44" s="22">
        <x:f>IF(N44="","تکمیل نشده",IF(N44="بدون تفصیلی (ثبت روی خود معین)","OK",IF(N44="ادغام با تفصیلی دیگر",IF(O44="","کلید مقصد خالی است",IF(IFERROR(MATCH(O44*1,$A:$A,0),0)=0,"کلید مقصد در این فهرست نیست",IF(O44*1=A44,"ادغام با خودش","OK"))),IF(Q44="","سطح شناور خالی است",IF(AND(FALSE,OR(Q44=1,Q44=2)),"سطح ۱ و ۲ این معین مال فعالیت و مرکز هزینه است","OK")))))</x:f>
      </x:c>
      <x:c r="T44" s="28"/>
    </x:row>
    <x:row r="45" spans="1:20">
      <x:c r="A45" s="21">
        <x:v>525</x:v>
      </x:c>
      <x:c r="B45" s="22" t="s">
        <x:v>52</x:v>
      </x:c>
      <x:c r="C45" s="22" t="s">
        <x:v>227</x:v>
      </x:c>
      <x:c r="D45" s="22" t="s">
        <x:v>593</x:v>
      </x:c>
      <x:c r="E45" s="22" t="s">
        <x:v>594</x:v>
      </x:c>
      <x:c r="F45" s="22" t="s">
        <x:v>228</x:v>
      </x:c>
      <x:c r="G45" s="22">
        <x:v>14</x:v>
      </x:c>
      <x:c r="H45" s="23">
        <x:v>471209668</x:v>
      </x:c>
      <x:c r="I45" s="23">
        <x:v>1413629004</x:v>
      </x:c>
      <x:c r="J45" s="23">
        <x:f>H45-I45</x:f>
      </x:c>
      <x:c r="K45" s="22">
        <x:v>1</x:v>
      </x:c>
      <x:c r="L45" s="24" t="s">
        <x:v>548</x:v>
      </x:c>
      <x:c r="M45" s="24"/>
      <x:c r="N45" s="27" t="s">
        <x:v>548</x:v>
      </x:c>
      <x:c r="O45" s="27"/>
      <x:c r="P45" s="26"/>
      <x:c r="Q45" s="27">
        <x:v>1</x:v>
      </x:c>
      <x:c r="R45" s="27"/>
      <x:c r="S45" s="22">
        <x:f>IF(N45="","تکمیل نشده",IF(N45="بدون تفصیلی (ثبت روی خود معین)","OK",IF(N45="ادغام با تفصیلی دیگر",IF(O45="","کلید مقصد خالی است",IF(IFERROR(MATCH(O45*1,$A:$A,0),0)=0,"کلید مقصد در این فهرست نیست",IF(O45*1=A45,"ادغام با خودش","OK"))),IF(Q45="","سطح شناور خالی است",IF(AND(FALSE,OR(Q45=1,Q45=2)),"سطح ۱ و ۲ این معین مال فعالیت و مرکز هزینه است","OK")))))</x:f>
      </x:c>
      <x:c r="T45" s="28"/>
    </x:row>
    <x:row r="46" spans="1:20">
      <x:c r="A46" s="21">
        <x:v>11321</x:v>
      </x:c>
      <x:c r="B46" s="22" t="s">
        <x:v>52</x:v>
      </x:c>
      <x:c r="C46" s="22" t="s">
        <x:v>227</x:v>
      </x:c>
      <x:c r="D46" s="22" t="s">
        <x:v>556</x:v>
      </x:c>
      <x:c r="E46" s="22" t="s">
        <x:v>221</x:v>
      </x:c>
      <x:c r="F46" s="22" t="s">
        <x:v>228</x:v>
      </x:c>
      <x:c r="G46" s="22">
        <x:v>4</x:v>
      </x:c>
      <x:c r="H46" s="23">
        <x:v>7300</x:v>
      </x:c>
      <x:c r="I46" s="23">
        <x:v>0</x:v>
      </x:c>
      <x:c r="J46" s="23">
        <x:f>H46-I46</x:f>
      </x:c>
      <x:c r="K46" s="22">
        <x:v>1</x:v>
      </x:c>
      <x:c r="L46" s="24" t="s">
        <x:v>548</x:v>
      </x:c>
      <x:c r="M46" s="24"/>
      <x:c r="N46" s="27" t="s">
        <x:v>548</x:v>
      </x:c>
      <x:c r="O46" s="27"/>
      <x:c r="P46" s="26"/>
      <x:c r="Q46" s="27">
        <x:v>1</x:v>
      </x:c>
      <x:c r="R46" s="27"/>
      <x:c r="S46" s="22">
        <x:f>IF(N46="","تکمیل نشده",IF(N46="بدون تفصیلی (ثبت روی خود معین)","OK",IF(N46="ادغام با تفصیلی دیگر",IF(O46="","کلید مقصد خالی است",IF(IFERROR(MATCH(O46*1,$A:$A,0),0)=0,"کلید مقصد در این فهرست نیست",IF(O46*1=A46,"ادغام با خودش","OK"))),IF(Q46="","سطح شناور خالی است",IF(AND(FALSE,OR(Q46=1,Q46=2)),"سطح ۱ و ۲ این معین مال فعالیت و مرکز هزینه است","OK")))))</x:f>
      </x:c>
      <x:c r="T46" s="28" t="s">
        <x:v>555</x:v>
      </x:c>
    </x:row>
    <x:row r="47" spans="1:20">
      <x:c r="A47" s="21">
        <x:v>527</x:v>
      </x:c>
      <x:c r="B47" s="22" t="s">
        <x:v>52</x:v>
      </x:c>
      <x:c r="C47" s="22" t="s">
        <x:v>227</x:v>
      </x:c>
      <x:c r="D47" s="22" t="s">
        <x:v>595</x:v>
      </x:c>
      <x:c r="E47" s="22" t="s">
        <x:v>596</x:v>
      </x:c>
      <x:c r="F47" s="22" t="s">
        <x:v>228</x:v>
      </x:c>
      <x:c r="G47" s="22">
        <x:v>22</x:v>
      </x:c>
      <x:c r="H47" s="23">
        <x:v>32246508</x:v>
      </x:c>
      <x:c r="I47" s="23">
        <x:v>76861236</x:v>
      </x:c>
      <x:c r="J47" s="23">
        <x:f>H47-I47</x:f>
      </x:c>
      <x:c r="K47" s="22">
        <x:v>1</x:v>
      </x:c>
      <x:c r="L47" s="24" t="s">
        <x:v>548</x:v>
      </x:c>
      <x:c r="M47" s="24"/>
      <x:c r="N47" s="27" t="s">
        <x:v>548</x:v>
      </x:c>
      <x:c r="O47" s="27"/>
      <x:c r="P47" s="26"/>
      <x:c r="Q47" s="27">
        <x:v>1</x:v>
      </x:c>
      <x:c r="R47" s="27"/>
      <x:c r="S47" s="22">
        <x:f>IF(N47="","تکمیل نشده",IF(N47="بدون تفصیلی (ثبت روی خود معین)","OK",IF(N47="ادغام با تفصیلی دیگر",IF(O47="","کلید مقصد خالی است",IF(IFERROR(MATCH(O47*1,$A:$A,0),0)=0,"کلید مقصد در این فهرست نیست",IF(O47*1=A47,"ادغام با خودش","OK"))),IF(Q47="","سطح شناور خالی است",IF(AND(FALSE,OR(Q47=1,Q47=2)),"سطح ۱ و ۲ این معین مال فعالیت و مرکز هزینه است","OK")))))</x:f>
      </x:c>
      <x:c r="T47" s="28"/>
    </x:row>
    <x:row r="48" spans="1:20">
      <x:c r="A48" s="21">
        <x:v>528</x:v>
      </x:c>
      <x:c r="B48" s="22" t="s">
        <x:v>52</x:v>
      </x:c>
      <x:c r="C48" s="22" t="s">
        <x:v>227</x:v>
      </x:c>
      <x:c r="D48" s="22" t="s">
        <x:v>597</x:v>
      </x:c>
      <x:c r="E48" s="22" t="s">
        <x:v>598</x:v>
      </x:c>
      <x:c r="F48" s="22" t="s">
        <x:v>228</x:v>
      </x:c>
      <x:c r="G48" s="22">
        <x:v>6</x:v>
      </x:c>
      <x:c r="H48" s="23">
        <x:v>31964668</x:v>
      </x:c>
      <x:c r="I48" s="23">
        <x:v>159823340</x:v>
      </x:c>
      <x:c r="J48" s="23">
        <x:f>H48-I48</x:f>
      </x:c>
      <x:c r="K48" s="22">
        <x:v>2</x:v>
      </x:c>
      <x:c r="L48" s="24" t="s">
        <x:v>548</x:v>
      </x:c>
      <x:c r="M48" s="24"/>
      <x:c r="N48" s="27" t="s">
        <x:v>548</x:v>
      </x:c>
      <x:c r="O48" s="27"/>
      <x:c r="P48" s="26"/>
      <x:c r="Q48" s="27">
        <x:v>1</x:v>
      </x:c>
      <x:c r="R48" s="27"/>
      <x:c r="S48" s="22">
        <x:f>IF(N48="","تکمیل نشده",IF(N48="بدون تفصیلی (ثبت روی خود معین)","OK",IF(N48="ادغام با تفصیلی دیگر",IF(O48="","کلید مقصد خالی است",IF(IFERROR(MATCH(O48*1,$A:$A,0),0)=0,"کلید مقصد در این فهرست نیست",IF(O48*1=A48,"ادغام با خودش","OK"))),IF(Q48="","سطح شناور خالی است",IF(AND(FALSE,OR(Q48=1,Q48=2)),"سطح ۱ و ۲ این معین مال فعالیت و مرکز هزینه است","OK")))))</x:f>
      </x:c>
      <x:c r="T48" s="28"/>
    </x:row>
    <x:row r="49" spans="1:20">
      <x:c r="A49" s="21">
        <x:v>3703</x:v>
      </x:c>
      <x:c r="B49" s="22" t="s">
        <x:v>52</x:v>
      </x:c>
      <x:c r="C49" s="22" t="s">
        <x:v>227</x:v>
      </x:c>
      <x:c r="D49" s="22" t="s">
        <x:v>599</x:v>
      </x:c>
      <x:c r="E49" s="22" t="s">
        <x:v>600</x:v>
      </x:c>
      <x:c r="F49" s="22" t="s">
        <x:v>228</x:v>
      </x:c>
      <x:c r="G49" s="22">
        <x:v>2</x:v>
      </x:c>
      <x:c r="H49" s="23">
        <x:v>34902466</x:v>
      </x:c>
      <x:c r="I49" s="23">
        <x:v>0</x:v>
      </x:c>
      <x:c r="J49" s="23">
        <x:f>H49-I49</x:f>
      </x:c>
      <x:c r="K49" s="22">
        <x:v>2</x:v>
      </x:c>
      <x:c r="L49" s="24" t="s">
        <x:v>550</x:v>
      </x:c>
      <x:c r="M49" s="24">
        <x:v>528</x:v>
      </x:c>
      <x:c r="N49" s="27" t="s">
        <x:v>550</x:v>
      </x:c>
      <x:c r="O49" s="27">
        <x:v>528</x:v>
      </x:c>
      <x:c r="P49" s="26"/>
      <x:c r="Q49" s="27">
        <x:v>1</x:v>
      </x:c>
      <x:c r="R49" s="27"/>
      <x:c r="S49" s="22">
        <x:f>IF(N49="","تکمیل نشده",IF(N49="بدون تفصیلی (ثبت روی خود معین)","OK",IF(N49="ادغام با تفصیلی دیگر",IF(O49="","کلید مقصد خالی است",IF(IFERROR(MATCH(O49*1,$A:$A,0),0)=0,"کلید مقصد در این فهرست نیست",IF(O49*1=A49,"ادغام با خودش","OK"))),IF(Q49="","سطح شناور خالی است",IF(AND(FALSE,OR(Q49=1,Q49=2)),"سطح ۱ و ۲ این معین مال فعالیت و مرکز هزینه است","OK")))))</x:f>
      </x:c>
      <x:c r="T49" s="28"/>
    </x:row>
    <x:row r="50" spans="1:20">
      <x:c r="A50" s="21">
        <x:v>529</x:v>
      </x:c>
      <x:c r="B50" s="22" t="s">
        <x:v>52</x:v>
      </x:c>
      <x:c r="C50" s="22" t="s">
        <x:v>227</x:v>
      </x:c>
      <x:c r="D50" s="22" t="s">
        <x:v>601</x:v>
      </x:c>
      <x:c r="E50" s="22" t="s">
        <x:v>602</x:v>
      </x:c>
      <x:c r="F50" s="22" t="s">
        <x:v>228</x:v>
      </x:c>
      <x:c r="G50" s="22">
        <x:v>5</x:v>
      </x:c>
      <x:c r="H50" s="23">
        <x:v>222935780</x:v>
      </x:c>
      <x:c r="I50" s="23">
        <x:v>891743120</x:v>
      </x:c>
      <x:c r="J50" s="23">
        <x:f>H50-I50</x:f>
      </x:c>
      <x:c r="K50" s="22">
        <x:v>1</x:v>
      </x:c>
      <x:c r="L50" s="24" t="s">
        <x:v>548</x:v>
      </x:c>
      <x:c r="M50" s="24"/>
      <x:c r="N50" s="27" t="s">
        <x:v>548</x:v>
      </x:c>
      <x:c r="O50" s="27"/>
      <x:c r="P50" s="26"/>
      <x:c r="Q50" s="27">
        <x:v>1</x:v>
      </x:c>
      <x:c r="R50" s="27"/>
      <x:c r="S50" s="22">
        <x:f>IF(N50="","تکمیل نشده",IF(N50="بدون تفصیلی (ثبت روی خود معین)","OK",IF(N50="ادغام با تفصیلی دیگر",IF(O50="","کلید مقصد خالی است",IF(IFERROR(MATCH(O50*1,$A:$A,0),0)=0,"کلید مقصد در این فهرست نیست",IF(O50*1=A50,"ادغام با خودش","OK"))),IF(Q50="","سطح شناور خالی است",IF(AND(FALSE,OR(Q50=1,Q50=2)),"سطح ۱ و ۲ این معین مال فعالیت و مرکز هزینه است","OK")))))</x:f>
      </x:c>
      <x:c r="T50" s="28"/>
    </x:row>
    <x:row r="51" spans="1:20">
      <x:c r="A51" s="21">
        <x:v>530</x:v>
      </x:c>
      <x:c r="B51" s="22" t="s">
        <x:v>52</x:v>
      </x:c>
      <x:c r="C51" s="22" t="s">
        <x:v>227</x:v>
      </x:c>
      <x:c r="D51" s="22" t="s">
        <x:v>603</x:v>
      </x:c>
      <x:c r="E51" s="22" t="s">
        <x:v>604</x:v>
      </x:c>
      <x:c r="F51" s="22" t="s">
        <x:v>228</x:v>
      </x:c>
      <x:c r="G51" s="22">
        <x:v>14</x:v>
      </x:c>
      <x:c r="H51" s="23">
        <x:v>249415768</x:v>
      </x:c>
      <x:c r="I51" s="23">
        <x:v>75448272</x:v>
      </x:c>
      <x:c r="J51" s="23">
        <x:f>H51-I51</x:f>
      </x:c>
      <x:c r="K51" s="22">
        <x:v>3</x:v>
      </x:c>
      <x:c r="L51" s="24" t="s">
        <x:v>548</x:v>
      </x:c>
      <x:c r="M51" s="24"/>
      <x:c r="N51" s="27" t="s">
        <x:v>548</x:v>
      </x:c>
      <x:c r="O51" s="27"/>
      <x:c r="P51" s="26"/>
      <x:c r="Q51" s="27">
        <x:v>1</x:v>
      </x:c>
      <x:c r="R51" s="27"/>
      <x:c r="S51" s="22">
        <x:f>IF(N51="","تکمیل نشده",IF(N51="بدون تفصیلی (ثبت روی خود معین)","OK",IF(N51="ادغام با تفصیلی دیگر",IF(O51="","کلید مقصد خالی است",IF(IFERROR(MATCH(O51*1,$A:$A,0),0)=0,"کلید مقصد در این فهرست نیست",IF(O51*1=A51,"ادغام با خودش","OK"))),IF(Q51="","سطح شناور خالی است",IF(AND(FALSE,OR(Q51=1,Q51=2)),"سطح ۱ و ۲ این معین مال فعالیت و مرکز هزینه است","OK")))))</x:f>
      </x:c>
      <x:c r="T51" s="28"/>
    </x:row>
    <x:row r="52" spans="1:20">
      <x:c r="A52" s="21">
        <x:v>531</x:v>
      </x:c>
      <x:c r="B52" s="22" t="s">
        <x:v>52</x:v>
      </x:c>
      <x:c r="C52" s="22" t="s">
        <x:v>227</x:v>
      </x:c>
      <x:c r="D52" s="22" t="s">
        <x:v>605</x:v>
      </x:c>
      <x:c r="E52" s="22" t="s">
        <x:v>606</x:v>
      </x:c>
      <x:c r="F52" s="22" t="s">
        <x:v>228</x:v>
      </x:c>
      <x:c r="G52" s="22">
        <x:v>10</x:v>
      </x:c>
      <x:c r="H52" s="23">
        <x:v>291583934</x:v>
      </x:c>
      <x:c r="I52" s="23">
        <x:v>118972800</x:v>
      </x:c>
      <x:c r="J52" s="23">
        <x:f>H52-I52</x:f>
      </x:c>
      <x:c r="K52" s="22">
        <x:v>1</x:v>
      </x:c>
      <x:c r="L52" s="24" t="s">
        <x:v>548</x:v>
      </x:c>
      <x:c r="M52" s="24"/>
      <x:c r="N52" s="27" t="s">
        <x:v>548</x:v>
      </x:c>
      <x:c r="O52" s="27"/>
      <x:c r="P52" s="26"/>
      <x:c r="Q52" s="27">
        <x:v>1</x:v>
      </x:c>
      <x:c r="R52" s="27"/>
      <x:c r="S52" s="22">
        <x:f>IF(N52="","تکمیل نشده",IF(N52="بدون تفصیلی (ثبت روی خود معین)","OK",IF(N52="ادغام با تفصیلی دیگر",IF(O52="","کلید مقصد خالی است",IF(IFERROR(MATCH(O52*1,$A:$A,0),0)=0,"کلید مقصد در این فهرست نیست",IF(O52*1=A52,"ادغام با خودش","OK"))),IF(Q52="","سطح شناور خالی است",IF(AND(FALSE,OR(Q52=1,Q52=2)),"سطح ۱ و ۲ این معین مال فعالیت و مرکز هزینه است","OK")))))</x:f>
      </x:c>
      <x:c r="T52" s="28"/>
    </x:row>
    <x:row r="53" spans="1:20">
      <x:c r="A53" s="21">
        <x:v>532</x:v>
      </x:c>
      <x:c r="B53" s="22" t="s">
        <x:v>52</x:v>
      </x:c>
      <x:c r="C53" s="22" t="s">
        <x:v>227</x:v>
      </x:c>
      <x:c r="D53" s="22" t="s">
        <x:v>607</x:v>
      </x:c>
      <x:c r="E53" s="22" t="s">
        <x:v>228</x:v>
      </x:c>
      <x:c r="F53" s="22" t="s">
        <x:v>228</x:v>
      </x:c>
      <x:c r="G53" s="22">
        <x:v>8</x:v>
      </x:c>
      <x:c r="H53" s="23">
        <x:v>53743117</x:v>
      </x:c>
      <x:c r="I53" s="23">
        <x:v>105579000</x:v>
      </x:c>
      <x:c r="J53" s="23">
        <x:f>H53-I53</x:f>
      </x:c>
      <x:c r="K53" s="22">
        <x:v>5</x:v>
      </x:c>
      <x:c r="L53" s="24" t="s">
        <x:v>550</x:v>
      </x:c>
      <x:c r="M53" s="24">
        <x:v>523</x:v>
      </x:c>
      <x:c r="N53" s="27" t="s">
        <x:v>550</x:v>
      </x:c>
      <x:c r="O53" s="27">
        <x:v>523</x:v>
      </x:c>
      <x:c r="P53" s="26"/>
      <x:c r="Q53" s="27">
        <x:v>1</x:v>
      </x:c>
      <x:c r="R53" s="27"/>
      <x:c r="S53" s="22">
        <x:f>IF(N53="","تکمیل نشده",IF(N53="بدون تفصیلی (ثبت روی خود معین)","OK",IF(N53="ادغام با تفصیلی دیگر",IF(O53="","کلید مقصد خالی است",IF(IFERROR(MATCH(O53*1,$A:$A,0),0)=0,"کلید مقصد در این فهرست نیست",IF(O53*1=A53,"ادغام با خودش","OK"))),IF(Q53="","سطح شناور خالی است",IF(AND(FALSE,OR(Q53=1,Q53=2)),"سطح ۱ و ۲ این معین مال فعالیت و مرکز هزینه است","OK")))))</x:f>
      </x:c>
      <x:c r="T53" s="28"/>
    </x:row>
    <x:row r="54" spans="1:20">
      <x:c r="A54" s="21">
        <x:v>533</x:v>
      </x:c>
      <x:c r="B54" s="22" t="s">
        <x:v>52</x:v>
      </x:c>
      <x:c r="C54" s="22" t="s">
        <x:v>227</x:v>
      </x:c>
      <x:c r="D54" s="22" t="s">
        <x:v>608</x:v>
      </x:c>
      <x:c r="E54" s="22" t="s">
        <x:v>609</x:v>
      </x:c>
      <x:c r="F54" s="22" t="s">
        <x:v>228</x:v>
      </x:c>
      <x:c r="G54" s="22">
        <x:v>24</x:v>
      </x:c>
      <x:c r="H54" s="23">
        <x:v>35871071</x:v>
      </x:c>
      <x:c r="I54" s="23">
        <x:v>59884985</x:v>
      </x:c>
      <x:c r="J54" s="23">
        <x:f>H54-I54</x:f>
      </x:c>
      <x:c r="K54" s="22">
        <x:v>1</x:v>
      </x:c>
      <x:c r="L54" s="24" t="s">
        <x:v>548</x:v>
      </x:c>
      <x:c r="M54" s="24"/>
      <x:c r="N54" s="27" t="s">
        <x:v>548</x:v>
      </x:c>
      <x:c r="O54" s="27"/>
      <x:c r="P54" s="26"/>
      <x:c r="Q54" s="27">
        <x:v>1</x:v>
      </x:c>
      <x:c r="R54" s="27"/>
      <x:c r="S54" s="22">
        <x:f>IF(N54="","تکمیل نشده",IF(N54="بدون تفصیلی (ثبت روی خود معین)","OK",IF(N54="ادغام با تفصیلی دیگر",IF(O54="","کلید مقصد خالی است",IF(IFERROR(MATCH(O54*1,$A:$A,0),0)=0,"کلید مقصد در این فهرست نیست",IF(O54*1=A54,"ادغام با خودش","OK"))),IF(Q54="","سطح شناور خالی است",IF(AND(FALSE,OR(Q54=1,Q54=2)),"سطح ۱ و ۲ این معین مال فعالیت و مرکز هزینه است","OK")))))</x:f>
      </x:c>
      <x:c r="T54" s="28"/>
    </x:row>
    <x:row r="55" spans="1:20">
      <x:c r="A55" s="21">
        <x:v>534</x:v>
      </x:c>
      <x:c r="B55" s="22" t="s">
        <x:v>52</x:v>
      </x:c>
      <x:c r="C55" s="22" t="s">
        <x:v>227</x:v>
      </x:c>
      <x:c r="D55" s="22" t="s">
        <x:v>610</x:v>
      </x:c>
      <x:c r="E55" s="22" t="s">
        <x:v>611</x:v>
      </x:c>
      <x:c r="F55" s="22" t="s">
        <x:v>228</x:v>
      </x:c>
      <x:c r="G55" s="22">
        <x:v>15</x:v>
      </x:c>
      <x:c r="H55" s="23">
        <x:v>34425780</x:v>
      </x:c>
      <x:c r="I55" s="23">
        <x:v>74332650</x:v>
      </x:c>
      <x:c r="J55" s="23">
        <x:f>H55-I55</x:f>
      </x:c>
      <x:c r="K55" s="22">
        <x:v>1</x:v>
      </x:c>
      <x:c r="L55" s="24" t="s">
        <x:v>548</x:v>
      </x:c>
      <x:c r="M55" s="24"/>
      <x:c r="N55" s="27" t="s">
        <x:v>548</x:v>
      </x:c>
      <x:c r="O55" s="27"/>
      <x:c r="P55" s="26"/>
      <x:c r="Q55" s="27">
        <x:v>1</x:v>
      </x:c>
      <x:c r="R55" s="27"/>
      <x:c r="S55" s="22">
        <x:f>IF(N55="","تکمیل نشده",IF(N55="بدون تفصیلی (ثبت روی خود معین)","OK",IF(N55="ادغام با تفصیلی دیگر",IF(O55="","کلید مقصد خالی است",IF(IFERROR(MATCH(O55*1,$A:$A,0),0)=0,"کلید مقصد در این فهرست نیست",IF(O55*1=A55,"ادغام با خودش","OK"))),IF(Q55="","سطح شناور خالی است",IF(AND(FALSE,OR(Q55=1,Q55=2)),"سطح ۱ و ۲ این معین مال فعالیت و مرکز هزینه است","OK")))))</x:f>
      </x:c>
      <x:c r="T55" s="28"/>
    </x:row>
    <x:row r="56" spans="1:20">
      <x:c r="A56" s="21">
        <x:v>535</x:v>
      </x:c>
      <x:c r="B56" s="22" t="s">
        <x:v>52</x:v>
      </x:c>
      <x:c r="C56" s="22" t="s">
        <x:v>227</x:v>
      </x:c>
      <x:c r="D56" s="22" t="s">
        <x:v>557</x:v>
      </x:c>
      <x:c r="E56" s="22" t="s">
        <x:v>612</x:v>
      </x:c>
      <x:c r="F56" s="22" t="s">
        <x:v>228</x:v>
      </x:c>
      <x:c r="G56" s="22">
        <x:v>2</x:v>
      </x:c>
      <x:c r="H56" s="23">
        <x:v>5</x:v>
      </x:c>
      <x:c r="I56" s="23">
        <x:v>5</x:v>
      </x:c>
      <x:c r="J56" s="23">
        <x:f>H56-I56</x:f>
      </x:c>
      <x:c r="K56" s="22">
        <x:v>1</x:v>
      </x:c>
      <x:c r="L56" s="24" t="s">
        <x:v>548</x:v>
      </x:c>
      <x:c r="M56" s="24"/>
      <x:c r="N56" s="27" t="s">
        <x:v>548</x:v>
      </x:c>
      <x:c r="O56" s="27"/>
      <x:c r="P56" s="26"/>
      <x:c r="Q56" s="27">
        <x:v>1</x:v>
      </x:c>
      <x:c r="R56" s="27"/>
      <x:c r="S56" s="22">
        <x:f>IF(N56="","تکمیل نشده",IF(N56="بدون تفصیلی (ثبت روی خود معین)","OK",IF(N56="ادغام با تفصیلی دیگر",IF(O56="","کلید مقصد خالی است",IF(IFERROR(MATCH(O56*1,$A:$A,0),0)=0,"کلید مقصد در این فهرست نیست",IF(O56*1=A56,"ادغام با خودش","OK"))),IF(Q56="","سطح شناور خالی است",IF(AND(FALSE,OR(Q56=1,Q56=2)),"سطح ۱ و ۲ این معین مال فعالیت و مرکز هزینه است","OK")))))</x:f>
      </x:c>
      <x:c r="T56" s="28"/>
    </x:row>
    <x:row r="57" spans="1:20">
      <x:c r="A57" s="21">
        <x:v>536</x:v>
      </x:c>
      <x:c r="B57" s="22" t="s">
        <x:v>52</x:v>
      </x:c>
      <x:c r="C57" s="22" t="s">
        <x:v>227</x:v>
      </x:c>
      <x:c r="D57" s="22" t="s">
        <x:v>613</x:v>
      </x:c>
      <x:c r="E57" s="22" t="s">
        <x:v>614</x:v>
      </x:c>
      <x:c r="F57" s="22" t="s">
        <x:v>228</x:v>
      </x:c>
      <x:c r="G57" s="22">
        <x:v>8</x:v>
      </x:c>
      <x:c r="H57" s="23">
        <x:v>12238750</x:v>
      </x:c>
      <x:c r="I57" s="23">
        <x:v>9553000</x:v>
      </x:c>
      <x:c r="J57" s="23">
        <x:f>H57-I57</x:f>
      </x:c>
      <x:c r="K57" s="22">
        <x:v>1</x:v>
      </x:c>
      <x:c r="L57" s="24" t="s">
        <x:v>548</x:v>
      </x:c>
      <x:c r="M57" s="24"/>
      <x:c r="N57" s="27" t="s">
        <x:v>548</x:v>
      </x:c>
      <x:c r="O57" s="27"/>
      <x:c r="P57" s="26"/>
      <x:c r="Q57" s="27">
        <x:v>1</x:v>
      </x:c>
      <x:c r="R57" s="27"/>
      <x:c r="S57" s="22">
        <x:f>IF(N57="","تکمیل نشده",IF(N57="بدون تفصیلی (ثبت روی خود معین)","OK",IF(N57="ادغام با تفصیلی دیگر",IF(O57="","کلید مقصد خالی است",IF(IFERROR(MATCH(O57*1,$A:$A,0),0)=0,"کلید مقصد در این فهرست نیست",IF(O57*1=A57,"ادغام با خودش","OK"))),IF(Q57="","سطح شناور خالی است",IF(AND(FALSE,OR(Q57=1,Q57=2)),"سطح ۱ و ۲ این معین مال فعالیت و مرکز هزینه است","OK")))))</x:f>
      </x:c>
      <x:c r="T57" s="28"/>
    </x:row>
    <x:row r="58" spans="1:20">
      <x:c r="A58" s="21">
        <x:v>537</x:v>
      </x:c>
      <x:c r="B58" s="22" t="s">
        <x:v>52</x:v>
      </x:c>
      <x:c r="C58" s="22" t="s">
        <x:v>227</x:v>
      </x:c>
      <x:c r="D58" s="22" t="s">
        <x:v>615</x:v>
      </x:c>
      <x:c r="E58" s="22" t="s">
        <x:v>616</x:v>
      </x:c>
      <x:c r="F58" s="22" t="s">
        <x:v>228</x:v>
      </x:c>
      <x:c r="G58" s="22">
        <x:v>34</x:v>
      </x:c>
      <x:c r="H58" s="23">
        <x:v>76816070</x:v>
      </x:c>
      <x:c r="I58" s="23">
        <x:v>163602375</x:v>
      </x:c>
      <x:c r="J58" s="23">
        <x:f>H58-I58</x:f>
      </x:c>
      <x:c r="K58" s="22">
        <x:v>1</x:v>
      </x:c>
      <x:c r="L58" s="24" t="s">
        <x:v>548</x:v>
      </x:c>
      <x:c r="M58" s="24"/>
      <x:c r="N58" s="27" t="s">
        <x:v>548</x:v>
      </x:c>
      <x:c r="O58" s="27"/>
      <x:c r="P58" s="26"/>
      <x:c r="Q58" s="27">
        <x:v>1</x:v>
      </x:c>
      <x:c r="R58" s="27"/>
      <x:c r="S58" s="22">
        <x:f>IF(N58="","تکمیل نشده",IF(N58="بدون تفصیلی (ثبت روی خود معین)","OK",IF(N58="ادغام با تفصیلی دیگر",IF(O58="","کلید مقصد خالی است",IF(IFERROR(MATCH(O58*1,$A:$A,0),0)=0,"کلید مقصد در این فهرست نیست",IF(O58*1=A58,"ادغام با خودش","OK"))),IF(Q58="","سطح شناور خالی است",IF(AND(FALSE,OR(Q58=1,Q58=2)),"سطح ۱ و ۲ این معین مال فعالیت و مرکز هزینه است","OK")))))</x:f>
      </x:c>
      <x:c r="T58" s="28"/>
    </x:row>
    <x:row r="59" spans="1:20">
      <x:c r="A59" s="21">
        <x:v>538</x:v>
      </x:c>
      <x:c r="B59" s="22" t="s">
        <x:v>52</x:v>
      </x:c>
      <x:c r="C59" s="22" t="s">
        <x:v>227</x:v>
      </x:c>
      <x:c r="D59" s="22" t="s">
        <x:v>617</x:v>
      </x:c>
      <x:c r="E59" s="22" t="s">
        <x:v>604</x:v>
      </x:c>
      <x:c r="F59" s="22" t="s">
        <x:v>228</x:v>
      </x:c>
      <x:c r="G59" s="22">
        <x:v>27</x:v>
      </x:c>
      <x:c r="H59" s="23">
        <x:v>18344776</x:v>
      </x:c>
      <x:c r="I59" s="23">
        <x:v>37159710</x:v>
      </x:c>
      <x:c r="J59" s="23">
        <x:f>H59-I59</x:f>
      </x:c>
      <x:c r="K59" s="22">
        <x:v>3</x:v>
      </x:c>
      <x:c r="L59" s="24" t="s">
        <x:v>550</x:v>
      </x:c>
      <x:c r="M59" s="24">
        <x:v>530</x:v>
      </x:c>
      <x:c r="N59" s="27" t="s">
        <x:v>550</x:v>
      </x:c>
      <x:c r="O59" s="27">
        <x:v>530</x:v>
      </x:c>
      <x:c r="P59" s="26"/>
      <x:c r="Q59" s="27">
        <x:v>1</x:v>
      </x:c>
      <x:c r="R59" s="27"/>
      <x:c r="S59" s="22">
        <x:f>IF(N59="","تکمیل نشده",IF(N59="بدون تفصیلی (ثبت روی خود معین)","OK",IF(N59="ادغام با تفصیلی دیگر",IF(O59="","کلید مقصد خالی است",IF(IFERROR(MATCH(O59*1,$A:$A,0),0)=0,"کلید مقصد در این فهرست نیست",IF(O59*1=A59,"ادغام با خودش","OK"))),IF(Q59="","سطح شناور خالی است",IF(AND(FALSE,OR(Q59=1,Q59=2)),"سطح ۱ و ۲ این معین مال فعالیت و مرکز هزینه است","OK")))))</x:f>
      </x:c>
      <x:c r="T59" s="28"/>
    </x:row>
    <x:row r="60" spans="1:20">
      <x:c r="A60" s="21">
        <x:v>539</x:v>
      </x:c>
      <x:c r="B60" s="22" t="s">
        <x:v>52</x:v>
      </x:c>
      <x:c r="C60" s="22" t="s">
        <x:v>227</x:v>
      </x:c>
      <x:c r="D60" s="22" t="s">
        <x:v>618</x:v>
      </x:c>
      <x:c r="E60" s="22" t="s">
        <x:v>619</x:v>
      </x:c>
      <x:c r="F60" s="22" t="s">
        <x:v>228</x:v>
      </x:c>
      <x:c r="G60" s="22">
        <x:v>34</x:v>
      </x:c>
      <x:c r="H60" s="23">
        <x:v>458974582</x:v>
      </x:c>
      <x:c r="I60" s="23">
        <x:v>563693305</x:v>
      </x:c>
      <x:c r="J60" s="23">
        <x:f>H60-I60</x:f>
      </x:c>
      <x:c r="K60" s="22">
        <x:v>1</x:v>
      </x:c>
      <x:c r="L60" s="24" t="s">
        <x:v>548</x:v>
      </x:c>
      <x:c r="M60" s="24"/>
      <x:c r="N60" s="27" t="s">
        <x:v>548</x:v>
      </x:c>
      <x:c r="O60" s="27"/>
      <x:c r="P60" s="26"/>
      <x:c r="Q60" s="27">
        <x:v>1</x:v>
      </x:c>
      <x:c r="R60" s="27"/>
      <x:c r="S60" s="22">
        <x:f>IF(N60="","تکمیل نشده",IF(N60="بدون تفصیلی (ثبت روی خود معین)","OK",IF(N60="ادغام با تفصیلی دیگر",IF(O60="","کلید مقصد خالی است",IF(IFERROR(MATCH(O60*1,$A:$A,0),0)=0,"کلید مقصد در این فهرست نیست",IF(O60*1=A60,"ادغام با خودش","OK"))),IF(Q60="","سطح شناور خالی است",IF(AND(FALSE,OR(Q60=1,Q60=2)),"سطح ۱ و ۲ این معین مال فعالیت و مرکز هزینه است","OK")))))</x:f>
      </x:c>
      <x:c r="T60" s="28"/>
    </x:row>
    <x:row r="61" spans="1:20">
      <x:c r="A61" s="21">
        <x:v>540</x:v>
      </x:c>
      <x:c r="B61" s="22" t="s">
        <x:v>52</x:v>
      </x:c>
      <x:c r="C61" s="22" t="s">
        <x:v>227</x:v>
      </x:c>
      <x:c r="D61" s="22" t="s">
        <x:v>620</x:v>
      </x:c>
      <x:c r="E61" s="22" t="s">
        <x:v>621</x:v>
      </x:c>
      <x:c r="F61" s="22" t="s">
        <x:v>228</x:v>
      </x:c>
      <x:c r="G61" s="22">
        <x:v>14</x:v>
      </x:c>
      <x:c r="H61" s="23">
        <x:v>21877561</x:v>
      </x:c>
      <x:c r="I61" s="23">
        <x:v>70442644</x:v>
      </x:c>
      <x:c r="J61" s="23">
        <x:f>H61-I61</x:f>
      </x:c>
      <x:c r="K61" s="22">
        <x:v>1</x:v>
      </x:c>
      <x:c r="L61" s="24" t="s">
        <x:v>548</x:v>
      </x:c>
      <x:c r="M61" s="24"/>
      <x:c r="N61" s="27" t="s">
        <x:v>548</x:v>
      </x:c>
      <x:c r="O61" s="27"/>
      <x:c r="P61" s="26"/>
      <x:c r="Q61" s="27">
        <x:v>1</x:v>
      </x:c>
      <x:c r="R61" s="27"/>
      <x:c r="S61" s="22">
        <x:f>IF(N61="","تکمیل نشده",IF(N61="بدون تفصیلی (ثبت روی خود معین)","OK",IF(N61="ادغام با تفصیلی دیگر",IF(O61="","کلید مقصد خالی است",IF(IFERROR(MATCH(O61*1,$A:$A,0),0)=0,"کلید مقصد در این فهرست نیست",IF(O61*1=A61,"ادغام با خودش","OK"))),IF(Q61="","سطح شناور خالی است",IF(AND(FALSE,OR(Q61=1,Q61=2)),"سطح ۱ و ۲ این معین مال فعالیت و مرکز هزینه است","OK")))))</x:f>
      </x:c>
      <x:c r="T61" s="28"/>
    </x:row>
    <x:row r="62" spans="1:20">
      <x:c r="A62" s="21">
        <x:v>541</x:v>
      </x:c>
      <x:c r="B62" s="22" t="s">
        <x:v>52</x:v>
      </x:c>
      <x:c r="C62" s="22" t="s">
        <x:v>227</x:v>
      </x:c>
      <x:c r="D62" s="22" t="s">
        <x:v>622</x:v>
      </x:c>
      <x:c r="E62" s="22" t="s">
        <x:v>228</x:v>
      </x:c>
      <x:c r="F62" s="22" t="s">
        <x:v>228</x:v>
      </x:c>
      <x:c r="G62" s="22">
        <x:v>20</x:v>
      </x:c>
      <x:c r="H62" s="23">
        <x:v>75529182</x:v>
      </x:c>
      <x:c r="I62" s="23">
        <x:v>180520455</x:v>
      </x:c>
      <x:c r="J62" s="23">
        <x:f>H62-I62</x:f>
      </x:c>
      <x:c r="K62" s="22">
        <x:v>5</x:v>
      </x:c>
      <x:c r="L62" s="24" t="s">
        <x:v>550</x:v>
      </x:c>
      <x:c r="M62" s="24">
        <x:v>523</x:v>
      </x:c>
      <x:c r="N62" s="27" t="s">
        <x:v>550</x:v>
      </x:c>
      <x:c r="O62" s="27">
        <x:v>523</x:v>
      </x:c>
      <x:c r="P62" s="26"/>
      <x:c r="Q62" s="27">
        <x:v>1</x:v>
      </x:c>
      <x:c r="R62" s="27"/>
      <x:c r="S62" s="22">
        <x:f>IF(N62="","تکمیل نشده",IF(N62="بدون تفصیلی (ثبت روی خود معین)","OK",IF(N62="ادغام با تفصیلی دیگر",IF(O62="","کلید مقصد خالی است",IF(IFERROR(MATCH(O62*1,$A:$A,0),0)=0,"کلید مقصد در این فهرست نیست",IF(O62*1=A62,"ادغام با خودش","OK"))),IF(Q62="","سطح شناور خالی است",IF(AND(FALSE,OR(Q62=1,Q62=2)),"سطح ۱ و ۲ این معین مال فعالیت و مرکز هزینه است","OK")))))</x:f>
      </x:c>
      <x:c r="T62" s="28"/>
    </x:row>
    <x:row r="63" spans="1:20">
      <x:c r="A63" s="21">
        <x:v>542</x:v>
      </x:c>
      <x:c r="B63" s="22" t="s">
        <x:v>52</x:v>
      </x:c>
      <x:c r="C63" s="22" t="s">
        <x:v>227</x:v>
      </x:c>
      <x:c r="D63" s="22" t="s">
        <x:v>623</x:v>
      </x:c>
      <x:c r="E63" s="22" t="s">
        <x:v>228</x:v>
      </x:c>
      <x:c r="F63" s="22" t="s">
        <x:v>228</x:v>
      </x:c>
      <x:c r="G63" s="22">
        <x:v>13</x:v>
      </x:c>
      <x:c r="H63" s="23">
        <x:v>1919004</x:v>
      </x:c>
      <x:c r="I63" s="23">
        <x:v>4797510</x:v>
      </x:c>
      <x:c r="J63" s="23">
        <x:f>H63-I63</x:f>
      </x:c>
      <x:c r="K63" s="22">
        <x:v>5</x:v>
      </x:c>
      <x:c r="L63" s="24" t="s">
        <x:v>550</x:v>
      </x:c>
      <x:c r="M63" s="24">
        <x:v>523</x:v>
      </x:c>
      <x:c r="N63" s="27" t="s">
        <x:v>550</x:v>
      </x:c>
      <x:c r="O63" s="27">
        <x:v>523</x:v>
      </x:c>
      <x:c r="P63" s="26"/>
      <x:c r="Q63" s="27">
        <x:v>1</x:v>
      </x:c>
      <x:c r="R63" s="27"/>
      <x:c r="S63" s="22">
        <x:f>IF(N63="","تکمیل نشده",IF(N63="بدون تفصیلی (ثبت روی خود معین)","OK",IF(N63="ادغام با تفصیلی دیگر",IF(O63="","کلید مقصد خالی است",IF(IFERROR(MATCH(O63*1,$A:$A,0),0)=0,"کلید مقصد در این فهرست نیست",IF(O63*1=A63,"ادغام با خودش","OK"))),IF(Q63="","سطح شناور خالی است",IF(AND(FALSE,OR(Q63=1,Q63=2)),"سطح ۱ و ۲ این معین مال فعالیت و مرکز هزینه است","OK")))))</x:f>
      </x:c>
      <x:c r="T63" s="28"/>
    </x:row>
    <x:row r="64" spans="1:20">
      <x:c r="A64" s="21">
        <x:v>543</x:v>
      </x:c>
      <x:c r="B64" s="22" t="s">
        <x:v>52</x:v>
      </x:c>
      <x:c r="C64" s="22" t="s">
        <x:v>227</x:v>
      </x:c>
      <x:c r="D64" s="22" t="s">
        <x:v>624</x:v>
      </x:c>
      <x:c r="E64" s="22" t="s">
        <x:v>625</x:v>
      </x:c>
      <x:c r="F64" s="22" t="s">
        <x:v>228</x:v>
      </x:c>
      <x:c r="G64" s="22">
        <x:v>13</x:v>
      </x:c>
      <x:c r="H64" s="23">
        <x:v>3313872</x:v>
      </x:c>
      <x:c r="I64" s="23">
        <x:v>8284680</x:v>
      </x:c>
      <x:c r="J64" s="23">
        <x:f>H64-I64</x:f>
      </x:c>
      <x:c r="K64" s="22">
        <x:v>1</x:v>
      </x:c>
      <x:c r="L64" s="24" t="s">
        <x:v>548</x:v>
      </x:c>
      <x:c r="M64" s="24"/>
      <x:c r="N64" s="27" t="s">
        <x:v>548</x:v>
      </x:c>
      <x:c r="O64" s="27"/>
      <x:c r="P64" s="26"/>
      <x:c r="Q64" s="27">
        <x:v>1</x:v>
      </x:c>
      <x:c r="R64" s="27"/>
      <x:c r="S64" s="22">
        <x:f>IF(N64="","تکمیل نشده",IF(N64="بدون تفصیلی (ثبت روی خود معین)","OK",IF(N64="ادغام با تفصیلی دیگر",IF(O64="","کلید مقصد خالی است",IF(IFERROR(MATCH(O64*1,$A:$A,0),0)=0,"کلید مقصد در این فهرست نیست",IF(O64*1=A64,"ادغام با خودش","OK"))),IF(Q64="","سطح شناور خالی است",IF(AND(FALSE,OR(Q64=1,Q64=2)),"سطح ۱ و ۲ این معین مال فعالیت و مرکز هزینه است","OK")))))</x:f>
      </x:c>
      <x:c r="T64" s="28"/>
    </x:row>
    <x:row r="65" spans="1:20">
      <x:c r="A65" s="21">
        <x:v>544</x:v>
      </x:c>
      <x:c r="B65" s="22" t="s">
        <x:v>52</x:v>
      </x:c>
      <x:c r="C65" s="22" t="s">
        <x:v>227</x:v>
      </x:c>
      <x:c r="D65" s="22" t="s">
        <x:v>558</x:v>
      </x:c>
      <x:c r="E65" s="22" t="s">
        <x:v>626</x:v>
      </x:c>
      <x:c r="F65" s="22" t="s">
        <x:v>228</x:v>
      </x:c>
      <x:c r="G65" s="22">
        <x:v>15</x:v>
      </x:c>
      <x:c r="H65" s="23">
        <x:v>19388000</x:v>
      </x:c>
      <x:c r="I65" s="23">
        <x:v>43590000</x:v>
      </x:c>
      <x:c r="J65" s="23">
        <x:f>H65-I65</x:f>
      </x:c>
      <x:c r="K65" s="22">
        <x:v>1</x:v>
      </x:c>
      <x:c r="L65" s="24" t="s">
        <x:v>548</x:v>
      </x:c>
      <x:c r="M65" s="24"/>
      <x:c r="N65" s="27" t="s">
        <x:v>548</x:v>
      </x:c>
      <x:c r="O65" s="27"/>
      <x:c r="P65" s="26"/>
      <x:c r="Q65" s="27">
        <x:v>1</x:v>
      </x:c>
      <x:c r="R65" s="27"/>
      <x:c r="S65" s="22">
        <x:f>IF(N65="","تکمیل نشده",IF(N65="بدون تفصیلی (ثبت روی خود معین)","OK",IF(N65="ادغام با تفصیلی دیگر",IF(O65="","کلید مقصد خالی است",IF(IFERROR(MATCH(O65*1,$A:$A,0),0)=0,"کلید مقصد در این فهرست نیست",IF(O65*1=A65,"ادغام با خودش","OK"))),IF(Q65="","سطح شناور خالی است",IF(AND(FALSE,OR(Q65=1,Q65=2)),"سطح ۱ و ۲ این معین مال فعالیت و مرکز هزینه است","OK")))))</x:f>
      </x:c>
      <x:c r="T65" s="28"/>
    </x:row>
    <x:row r="66" spans="1:20">
      <x:c r="A66" s="21">
        <x:v>545</x:v>
      </x:c>
      <x:c r="B66" s="22" t="s">
        <x:v>52</x:v>
      </x:c>
      <x:c r="C66" s="22" t="s">
        <x:v>227</x:v>
      </x:c>
      <x:c r="D66" s="22" t="s">
        <x:v>560</x:v>
      </x:c>
      <x:c r="E66" s="22" t="s">
        <x:v>627</x:v>
      </x:c>
      <x:c r="F66" s="22" t="s">
        <x:v>228</x:v>
      </x:c>
      <x:c r="G66" s="22">
        <x:v>13</x:v>
      </x:c>
      <x:c r="H66" s="23">
        <x:v>16275610</x:v>
      </x:c>
      <x:c r="I66" s="23">
        <x:v>40689025</x:v>
      </x:c>
      <x:c r="J66" s="23">
        <x:f>H66-I66</x:f>
      </x:c>
      <x:c r="K66" s="22">
        <x:v>1</x:v>
      </x:c>
      <x:c r="L66" s="24" t="s">
        <x:v>548</x:v>
      </x:c>
      <x:c r="M66" s="24"/>
      <x:c r="N66" s="27" t="s">
        <x:v>548</x:v>
      </x:c>
      <x:c r="O66" s="27"/>
      <x:c r="P66" s="26"/>
      <x:c r="Q66" s="27">
        <x:v>1</x:v>
      </x:c>
      <x:c r="R66" s="27"/>
      <x:c r="S66" s="22">
        <x:f>IF(N66="","تکمیل نشده",IF(N66="بدون تفصیلی (ثبت روی خود معین)","OK",IF(N66="ادغام با تفصیلی دیگر",IF(O66="","کلید مقصد خالی است",IF(IFERROR(MATCH(O66*1,$A:$A,0),0)=0,"کلید مقصد در این فهرست نیست",IF(O66*1=A66,"ادغام با خودش","OK"))),IF(Q66="","سطح شناور خالی است",IF(AND(FALSE,OR(Q66=1,Q66=2)),"سطح ۱ و ۲ این معین مال فعالیت و مرکز هزینه است","OK")))))</x:f>
      </x:c>
      <x:c r="T66" s="28"/>
    </x:row>
    <x:row r="67" spans="1:20">
      <x:c r="A67" s="21">
        <x:v>546</x:v>
      </x:c>
      <x:c r="B67" s="22" t="s">
        <x:v>52</x:v>
      </x:c>
      <x:c r="C67" s="22" t="s">
        <x:v>227</x:v>
      </x:c>
      <x:c r="D67" s="22" t="s">
        <x:v>628</x:v>
      </x:c>
      <x:c r="E67" s="22" t="s">
        <x:v>629</x:v>
      </x:c>
      <x:c r="F67" s="22" t="s">
        <x:v>228</x:v>
      </x:c>
      <x:c r="G67" s="22">
        <x:v>5</x:v>
      </x:c>
      <x:c r="H67" s="23">
        <x:v>3175020</x:v>
      </x:c>
      <x:c r="I67" s="23">
        <x:v>12700080</x:v>
      </x:c>
      <x:c r="J67" s="23">
        <x:f>H67-I67</x:f>
      </x:c>
      <x:c r="K67" s="22">
        <x:v>1</x:v>
      </x:c>
      <x:c r="L67" s="24" t="s">
        <x:v>548</x:v>
      </x:c>
      <x:c r="M67" s="24"/>
      <x:c r="N67" s="27" t="s">
        <x:v>548</x:v>
      </x:c>
      <x:c r="O67" s="27"/>
      <x:c r="P67" s="26"/>
      <x:c r="Q67" s="27">
        <x:v>1</x:v>
      </x:c>
      <x:c r="R67" s="27"/>
      <x:c r="S67" s="22">
        <x:f>IF(N67="","تکمیل نشده",IF(N67="بدون تفصیلی (ثبت روی خود معین)","OK",IF(N67="ادغام با تفصیلی دیگر",IF(O67="","کلید مقصد خالی است",IF(IFERROR(MATCH(O67*1,$A:$A,0),0)=0,"کلید مقصد در این فهرست نیست",IF(O67*1=A67,"ادغام با خودش","OK"))),IF(Q67="","سطح شناور خالی است",IF(AND(FALSE,OR(Q67=1,Q67=2)),"سطح ۱ و ۲ این معین مال فعالیت و مرکز هزینه است","OK")))))</x:f>
      </x:c>
      <x:c r="T67" s="28"/>
    </x:row>
    <x:row r="68" spans="1:20">
      <x:c r="A68" s="21">
        <x:v>547</x:v>
      </x:c>
      <x:c r="B68" s="22" t="s">
        <x:v>52</x:v>
      </x:c>
      <x:c r="C68" s="22" t="s">
        <x:v>227</x:v>
      </x:c>
      <x:c r="D68" s="22" t="s">
        <x:v>630</x:v>
      </x:c>
      <x:c r="E68" s="22" t="s">
        <x:v>631</x:v>
      </x:c>
      <x:c r="F68" s="22" t="s">
        <x:v>228</x:v>
      </x:c>
      <x:c r="G68" s="22">
        <x:v>25</x:v>
      </x:c>
      <x:c r="H68" s="23">
        <x:v>16440596</x:v>
      </x:c>
      <x:c r="I68" s="23">
        <x:v>26723990</x:v>
      </x:c>
      <x:c r="J68" s="23">
        <x:f>H68-I68</x:f>
      </x:c>
      <x:c r="K68" s="22">
        <x:v>1</x:v>
      </x:c>
      <x:c r="L68" s="24" t="s">
        <x:v>548</x:v>
      </x:c>
      <x:c r="M68" s="24"/>
      <x:c r="N68" s="27" t="s">
        <x:v>548</x:v>
      </x:c>
      <x:c r="O68" s="27"/>
      <x:c r="P68" s="26"/>
      <x:c r="Q68" s="27">
        <x:v>1</x:v>
      </x:c>
      <x:c r="R68" s="27"/>
      <x:c r="S68" s="22">
        <x:f>IF(N68="","تکمیل نشده",IF(N68="بدون تفصیلی (ثبت روی خود معین)","OK",IF(N68="ادغام با تفصیلی دیگر",IF(O68="","کلید مقصد خالی است",IF(IFERROR(MATCH(O68*1,$A:$A,0),0)=0,"کلید مقصد در این فهرست نیست",IF(O68*1=A68,"ادغام با خودش","OK"))),IF(Q68="","سطح شناور خالی است",IF(AND(FALSE,OR(Q68=1,Q68=2)),"سطح ۱ و ۲ این معین مال فعالیت و مرکز هزینه است","OK")))))</x:f>
      </x:c>
      <x:c r="T68" s="28"/>
    </x:row>
    <x:row r="69" spans="1:20">
      <x:c r="A69" s="21">
        <x:v>3770</x:v>
      </x:c>
      <x:c r="B69" s="22" t="s">
        <x:v>52</x:v>
      </x:c>
      <x:c r="C69" s="22" t="s">
        <x:v>227</x:v>
      </x:c>
      <x:c r="D69" s="22" t="s">
        <x:v>632</x:v>
      </x:c>
      <x:c r="E69" s="22" t="s">
        <x:v>633</x:v>
      </x:c>
      <x:c r="F69" s="22" t="s">
        <x:v>228</x:v>
      </x:c>
      <x:c r="G69" s="22">
        <x:v>2</x:v>
      </x:c>
      <x:c r="H69" s="23">
        <x:v>34745332</x:v>
      </x:c>
      <x:c r="I69" s="23">
        <x:v>0</x:v>
      </x:c>
      <x:c r="J69" s="23">
        <x:f>H69-I69</x:f>
      </x:c>
      <x:c r="K69" s="22">
        <x:v>1</x:v>
      </x:c>
      <x:c r="L69" s="24" t="s">
        <x:v>548</x:v>
      </x:c>
      <x:c r="M69" s="24"/>
      <x:c r="N69" s="27" t="s">
        <x:v>548</x:v>
      </x:c>
      <x:c r="O69" s="27"/>
      <x:c r="P69" s="26"/>
      <x:c r="Q69" s="27">
        <x:v>1</x:v>
      </x:c>
      <x:c r="R69" s="27"/>
      <x:c r="S69" s="22">
        <x:f>IF(N69="","تکمیل نشده",IF(N69="بدون تفصیلی (ثبت روی خود معین)","OK",IF(N69="ادغام با تفصیلی دیگر",IF(O69="","کلید مقصد خالی است",IF(IFERROR(MATCH(O69*1,$A:$A,0),0)=0,"کلید مقصد در این فهرست نیست",IF(O69*1=A69,"ادغام با خودش","OK"))),IF(Q69="","سطح شناور خالی است",IF(AND(FALSE,OR(Q69=1,Q69=2)),"سطح ۱ و ۲ این معین مال فعالیت و مرکز هزینه است","OK")))))</x:f>
      </x:c>
      <x:c r="T69" s="28"/>
    </x:row>
    <x:row r="70" spans="1:20">
      <x:c r="A70" s="21">
        <x:v>548</x:v>
      </x:c>
      <x:c r="B70" s="22" t="s">
        <x:v>52</x:v>
      </x:c>
      <x:c r="C70" s="22" t="s">
        <x:v>227</x:v>
      </x:c>
      <x:c r="D70" s="22" t="s">
        <x:v>634</x:v>
      </x:c>
      <x:c r="E70" s="22" t="s">
        <x:v>604</x:v>
      </x:c>
      <x:c r="F70" s="22" t="s">
        <x:v>228</x:v>
      </x:c>
      <x:c r="G70" s="22">
        <x:v>19</x:v>
      </x:c>
      <x:c r="H70" s="23">
        <x:v>22273344</x:v>
      </x:c>
      <x:c r="I70" s="23">
        <x:v>48326570</x:v>
      </x:c>
      <x:c r="J70" s="23">
        <x:f>H70-I70</x:f>
      </x:c>
      <x:c r="K70" s="22">
        <x:v>3</x:v>
      </x:c>
      <x:c r="L70" s="24" t="s">
        <x:v>550</x:v>
      </x:c>
      <x:c r="M70" s="24">
        <x:v>530</x:v>
      </x:c>
      <x:c r="N70" s="27" t="s">
        <x:v>550</x:v>
      </x:c>
      <x:c r="O70" s="27">
        <x:v>530</x:v>
      </x:c>
      <x:c r="P70" s="26"/>
      <x:c r="Q70" s="27">
        <x:v>1</x:v>
      </x:c>
      <x:c r="R70" s="27"/>
      <x:c r="S70" s="22">
        <x:f>IF(N70="","تکمیل نشده",IF(N70="بدون تفصیلی (ثبت روی خود معین)","OK",IF(N70="ادغام با تفصیلی دیگر",IF(O70="","کلید مقصد خالی است",IF(IFERROR(MATCH(O70*1,$A:$A,0),0)=0,"کلید مقصد در این فهرست نیست",IF(O70*1=A70,"ادغام با خودش","OK"))),IF(Q70="","سطح شناور خالی است",IF(AND(FALSE,OR(Q70=1,Q70=2)),"سطح ۱ و ۲ این معین مال فعالیت و مرکز هزینه است","OK")))))</x:f>
      </x:c>
      <x:c r="T70" s="28"/>
    </x:row>
    <x:row r="71" spans="1:20">
      <x:c r="A71" s="21">
        <x:v>549</x:v>
      </x:c>
      <x:c r="B71" s="22" t="s">
        <x:v>52</x:v>
      </x:c>
      <x:c r="C71" s="22" t="s">
        <x:v>227</x:v>
      </x:c>
      <x:c r="D71" s="22" t="s">
        <x:v>635</x:v>
      </x:c>
      <x:c r="E71" s="22" t="s">
        <x:v>636</x:v>
      </x:c>
      <x:c r="F71" s="22" t="s">
        <x:v>228</x:v>
      </x:c>
      <x:c r="G71" s="22">
        <x:v>26</x:v>
      </x:c>
      <x:c r="H71" s="23">
        <x:v>275130885</x:v>
      </x:c>
      <x:c r="I71" s="23">
        <x:v>598904780</x:v>
      </x:c>
      <x:c r="J71" s="23">
        <x:f>H71-I71</x:f>
      </x:c>
      <x:c r="K71" s="22">
        <x:v>1</x:v>
      </x:c>
      <x:c r="L71" s="24" t="s">
        <x:v>548</x:v>
      </x:c>
      <x:c r="M71" s="24"/>
      <x:c r="N71" s="27" t="s">
        <x:v>548</x:v>
      </x:c>
      <x:c r="O71" s="27"/>
      <x:c r="P71" s="26"/>
      <x:c r="Q71" s="27">
        <x:v>1</x:v>
      </x:c>
      <x:c r="R71" s="27"/>
      <x:c r="S71" s="22">
        <x:f>IF(N71="","تکمیل نشده",IF(N71="بدون تفصیلی (ثبت روی خود معین)","OK",IF(N71="ادغام با تفصیلی دیگر",IF(O71="","کلید مقصد خالی است",IF(IFERROR(MATCH(O71*1,$A:$A,0),0)=0,"کلید مقصد در این فهرست نیست",IF(O71*1=A71,"ادغام با خودش","OK"))),IF(Q71="","سطح شناور خالی است",IF(AND(FALSE,OR(Q71=1,Q71=2)),"سطح ۱ و ۲ این معین مال فعالیت و مرکز هزینه است","OK")))))</x:f>
      </x:c>
      <x:c r="T71" s="28"/>
    </x:row>
    <x:row r="72" spans="1:20">
      <x:c r="A72" s="21">
        <x:v>550</x:v>
      </x:c>
      <x:c r="B72" s="22" t="s">
        <x:v>52</x:v>
      </x:c>
      <x:c r="C72" s="22" t="s">
        <x:v>227</x:v>
      </x:c>
      <x:c r="D72" s="22" t="s">
        <x:v>637</x:v>
      </x:c>
      <x:c r="E72" s="22" t="s">
        <x:v>638</x:v>
      </x:c>
      <x:c r="F72" s="22" t="s">
        <x:v>228</x:v>
      </x:c>
      <x:c r="G72" s="22">
        <x:v>22</x:v>
      </x:c>
      <x:c r="H72" s="23">
        <x:v>268811835</x:v>
      </x:c>
      <x:c r="I72" s="23">
        <x:v>398972950</x:v>
      </x:c>
      <x:c r="J72" s="23">
        <x:f>H72-I72</x:f>
      </x:c>
      <x:c r="K72" s="22">
        <x:v>1</x:v>
      </x:c>
      <x:c r="L72" s="24" t="s">
        <x:v>548</x:v>
      </x:c>
      <x:c r="M72" s="24"/>
      <x:c r="N72" s="27" t="s">
        <x:v>548</x:v>
      </x:c>
      <x:c r="O72" s="27"/>
      <x:c r="P72" s="26"/>
      <x:c r="Q72" s="27">
        <x:v>1</x:v>
      </x:c>
      <x:c r="R72" s="27"/>
      <x:c r="S72" s="22">
        <x:f>IF(N72="","تکمیل نشده",IF(N72="بدون تفصیلی (ثبت روی خود معین)","OK",IF(N72="ادغام با تفصیلی دیگر",IF(O72="","کلید مقصد خالی است",IF(IFERROR(MATCH(O72*1,$A:$A,0),0)=0,"کلید مقصد در این فهرست نیست",IF(O72*1=A72,"ادغام با خودش","OK"))),IF(Q72="","سطح شناور خالی است",IF(AND(FALSE,OR(Q72=1,Q72=2)),"سطح ۱ و ۲ این معین مال فعالیت و مرکز هزینه است","OK")))))</x:f>
      </x:c>
      <x:c r="T72" s="28"/>
    </x:row>
    <x:row r="73" spans="1:20">
      <x:c r="A73" s="21">
        <x:v>551</x:v>
      </x:c>
      <x:c r="B73" s="22" t="s">
        <x:v>52</x:v>
      </x:c>
      <x:c r="C73" s="22" t="s">
        <x:v>227</x:v>
      </x:c>
      <x:c r="D73" s="22" t="s">
        <x:v>639</x:v>
      </x:c>
      <x:c r="E73" s="22" t="s">
        <x:v>640</x:v>
      </x:c>
      <x:c r="F73" s="22" t="s">
        <x:v>228</x:v>
      </x:c>
      <x:c r="G73" s="22">
        <x:v>13</x:v>
      </x:c>
      <x:c r="H73" s="23">
        <x:v>15542640</x:v>
      </x:c>
      <x:c r="I73" s="23">
        <x:v>38856600</x:v>
      </x:c>
      <x:c r="J73" s="23">
        <x:f>H73-I73</x:f>
      </x:c>
      <x:c r="K73" s="22">
        <x:v>1</x:v>
      </x:c>
      <x:c r="L73" s="24" t="s">
        <x:v>548</x:v>
      </x:c>
      <x:c r="M73" s="24"/>
      <x:c r="N73" s="27" t="s">
        <x:v>548</x:v>
      </x:c>
      <x:c r="O73" s="27"/>
      <x:c r="P73" s="26"/>
      <x:c r="Q73" s="27">
        <x:v>1</x:v>
      </x:c>
      <x:c r="R73" s="27"/>
      <x:c r="S73" s="22">
        <x:f>IF(N73="","تکمیل نشده",IF(N73="بدون تفصیلی (ثبت روی خود معین)","OK",IF(N73="ادغام با تفصیلی دیگر",IF(O73="","کلید مقصد خالی است",IF(IFERROR(MATCH(O73*1,$A:$A,0),0)=0,"کلید مقصد در این فهرست نیست",IF(O73*1=A73,"ادغام با خودش","OK"))),IF(Q73="","سطح شناور خالی است",IF(AND(FALSE,OR(Q73=1,Q73=2)),"سطح ۱ و ۲ این معین مال فعالیت و مرکز هزینه است","OK")))))</x:f>
      </x:c>
      <x:c r="T73" s="28"/>
    </x:row>
    <x:row r="74" spans="1:20">
      <x:c r="A74" s="21">
        <x:v>552</x:v>
      </x:c>
      <x:c r="B74" s="22" t="s">
        <x:v>52</x:v>
      </x:c>
      <x:c r="C74" s="22" t="s">
        <x:v>227</x:v>
      </x:c>
      <x:c r="D74" s="22" t="s">
        <x:v>641</x:v>
      </x:c>
      <x:c r="E74" s="22" t="s">
        <x:v>642</x:v>
      </x:c>
      <x:c r="F74" s="22" t="s">
        <x:v>228</x:v>
      </x:c>
      <x:c r="G74" s="22">
        <x:v>14</x:v>
      </x:c>
      <x:c r="H74" s="23">
        <x:v>13847940</x:v>
      </x:c>
      <x:c r="I74" s="23">
        <x:v>26114850</x:v>
      </x:c>
      <x:c r="J74" s="23">
        <x:f>H74-I74</x:f>
      </x:c>
      <x:c r="K74" s="22">
        <x:v>1</x:v>
      </x:c>
      <x:c r="L74" s="24" t="s">
        <x:v>548</x:v>
      </x:c>
      <x:c r="M74" s="24"/>
      <x:c r="N74" s="27" t="s">
        <x:v>548</x:v>
      </x:c>
      <x:c r="O74" s="27"/>
      <x:c r="P74" s="26"/>
      <x:c r="Q74" s="27">
        <x:v>1</x:v>
      </x:c>
      <x:c r="R74" s="27"/>
      <x:c r="S74" s="22">
        <x:f>IF(N74="","تکمیل نشده",IF(N74="بدون تفصیلی (ثبت روی خود معین)","OK",IF(N74="ادغام با تفصیلی دیگر",IF(O74="","کلید مقصد خالی است",IF(IFERROR(MATCH(O74*1,$A:$A,0),0)=0,"کلید مقصد در این فهرست نیست",IF(O74*1=A74,"ادغام با خودش","OK"))),IF(Q74="","سطح شناور خالی است",IF(AND(FALSE,OR(Q74=1,Q74=2)),"سطح ۱ و ۲ این معین مال فعالیت و مرکز هزینه است","OK")))))</x:f>
      </x:c>
      <x:c r="T74" s="28"/>
    </x:row>
    <x:row r="75" spans="1:20">
      <x:c r="A75" s="21">
        <x:v>3817</x:v>
      </x:c>
      <x:c r="B75" s="22" t="s">
        <x:v>52</x:v>
      </x:c>
      <x:c r="C75" s="22" t="s">
        <x:v>227</x:v>
      </x:c>
      <x:c r="D75" s="22" t="s">
        <x:v>551</x:v>
      </x:c>
      <x:c r="E75" s="22" t="s">
        <x:v>552</x:v>
      </x:c>
      <x:c r="F75" s="22" t="s">
        <x:v>228</x:v>
      </x:c>
      <x:c r="G75" s="22">
        <x:v>1</x:v>
      </x:c>
      <x:c r="H75" s="23">
        <x:v>4500000</x:v>
      </x:c>
      <x:c r="I75" s="23">
        <x:v>0</x:v>
      </x:c>
      <x:c r="J75" s="23">
        <x:f>H75-I75</x:f>
      </x:c>
      <x:c r="K75" s="22">
        <x:v>2</x:v>
      </x:c>
      <x:c r="L75" s="24" t="s">
        <x:v>550</x:v>
      </x:c>
      <x:c r="M75" s="24">
        <x:v>3816</x:v>
      </x:c>
      <x:c r="N75" s="27" t="s">
        <x:v>550</x:v>
      </x:c>
      <x:c r="O75" s="27">
        <x:v>3816</x:v>
      </x:c>
      <x:c r="P75" s="26"/>
      <x:c r="Q75" s="27">
        <x:v>1</x:v>
      </x:c>
      <x:c r="R75" s="27"/>
      <x:c r="S75" s="22">
        <x:f>IF(N75="","تکمیل نشده",IF(N75="بدون تفصیلی (ثبت روی خود معین)","OK",IF(N75="ادغام با تفصیلی دیگر",IF(O75="","کلید مقصد خالی است",IF(IFERROR(MATCH(O75*1,$A:$A,0),0)=0,"کلید مقصد در این فهرست نیست",IF(O75*1=A75,"ادغام با خودش","OK"))),IF(Q75="","سطح شناور خالی است",IF(AND(FALSE,OR(Q75=1,Q75=2)),"سطح ۱ و ۲ این معین مال فعالیت و مرکز هزینه است","OK")))))</x:f>
      </x:c>
      <x:c r="T75" s="28"/>
    </x:row>
    <x:row r="76" spans="1:20">
      <x:c r="A76" s="21">
        <x:v>553</x:v>
      </x:c>
      <x:c r="B76" s="22" t="s">
        <x:v>52</x:v>
      </x:c>
      <x:c r="C76" s="22" t="s">
        <x:v>227</x:v>
      </x:c>
      <x:c r="D76" s="22" t="s">
        <x:v>643</x:v>
      </x:c>
      <x:c r="E76" s="22" t="s">
        <x:v>228</x:v>
      </x:c>
      <x:c r="F76" s="22" t="s">
        <x:v>228</x:v>
      </x:c>
      <x:c r="G76" s="22">
        <x:v>22</x:v>
      </x:c>
      <x:c r="H76" s="23">
        <x:v>46837831</x:v>
      </x:c>
      <x:c r="I76" s="23">
        <x:v>26238345</x:v>
      </x:c>
      <x:c r="J76" s="23">
        <x:f>H76-I76</x:f>
      </x:c>
      <x:c r="K76" s="22">
        <x:v>5</x:v>
      </x:c>
      <x:c r="L76" s="24" t="s">
        <x:v>550</x:v>
      </x:c>
      <x:c r="M76" s="24">
        <x:v>523</x:v>
      </x:c>
      <x:c r="N76" s="27" t="s">
        <x:v>550</x:v>
      </x:c>
      <x:c r="O76" s="27">
        <x:v>523</x:v>
      </x:c>
      <x:c r="P76" s="26"/>
      <x:c r="Q76" s="27">
        <x:v>1</x:v>
      </x:c>
      <x:c r="R76" s="27"/>
      <x:c r="S76" s="22">
        <x:f>IF(N76="","تکمیل نشده",IF(N76="بدون تفصیلی (ثبت روی خود معین)","OK",IF(N76="ادغام با تفصیلی دیگر",IF(O76="","کلید مقصد خالی است",IF(IFERROR(MATCH(O76*1,$A:$A,0),0)=0,"کلید مقصد در این فهرست نیست",IF(O76*1=A76,"ادغام با خودش","OK"))),IF(Q76="","سطح شناور خالی است",IF(AND(FALSE,OR(Q76=1,Q76=2)),"سطح ۱ و ۲ این معین مال فعالیت و مرکز هزینه است","OK")))))</x:f>
      </x:c>
      <x:c r="T76" s="28"/>
    </x:row>
    <x:row r="77" spans="1:20">
      <x:c r="A77" s="21">
        <x:v>556</x:v>
      </x:c>
      <x:c r="B77" s="22" t="s">
        <x:v>52</x:v>
      </x:c>
      <x:c r="C77" s="22" t="s">
        <x:v>209</x:v>
      </x:c>
      <x:c r="D77" s="22" t="s">
        <x:v>644</x:v>
      </x:c>
      <x:c r="E77" s="22" t="s">
        <x:v>645</x:v>
      </x:c>
      <x:c r="F77" s="22" t="s">
        <x:v>229</x:v>
      </x:c>
      <x:c r="G77" s="22">
        <x:v>1</x:v>
      </x:c>
      <x:c r="H77" s="23">
        <x:v>0</x:v>
      </x:c>
      <x:c r="I77" s="23">
        <x:v>10000</x:v>
      </x:c>
      <x:c r="J77" s="23">
        <x:f>H77-I77</x:f>
      </x:c>
      <x:c r="K77" s="22">
        <x:v>1</x:v>
      </x:c>
      <x:c r="L77" s="24" t="s">
        <x:v>548</x:v>
      </x:c>
      <x:c r="M77" s="24"/>
      <x:c r="N77" s="27" t="s">
        <x:v>548</x:v>
      </x:c>
      <x:c r="O77" s="27"/>
      <x:c r="P77" s="26"/>
      <x:c r="Q77" s="27">
        <x:v>1</x:v>
      </x:c>
      <x:c r="R77" s="27"/>
      <x:c r="S77" s="22">
        <x:f>IF(N77="","تکمیل نشده",IF(N77="بدون تفصیلی (ثبت روی خود معین)","OK",IF(N77="ادغام با تفصیلی دیگر",IF(O77="","کلید مقصد خالی است",IF(IFERROR(MATCH(O77*1,$A:$A,0),0)=0,"کلید مقصد در این فهرست نیست",IF(O77*1=A77,"ادغام با خودش","OK"))),IF(Q77="","سطح شناور خالی است",IF(AND(FALSE,OR(Q77=1,Q77=2)),"سطح ۱ و ۲ این معین مال فعالیت و مرکز هزینه است","OK")))))</x:f>
      </x:c>
      <x:c r="T77" s="28"/>
    </x:row>
    <x:row r="78" spans="1:20">
      <x:c r="A78" s="21">
        <x:v>559</x:v>
      </x:c>
      <x:c r="B78" s="22" t="s">
        <x:v>52</x:v>
      </x:c>
      <x:c r="C78" s="22" t="s">
        <x:v>209</x:v>
      </x:c>
      <x:c r="D78" s="22" t="s">
        <x:v>646</x:v>
      </x:c>
      <x:c r="E78" s="22" t="s">
        <x:v>647</x:v>
      </x:c>
      <x:c r="F78" s="22" t="s">
        <x:v>229</x:v>
      </x:c>
      <x:c r="G78" s="22">
        <x:v>1</x:v>
      </x:c>
      <x:c r="H78" s="23">
        <x:v>0</x:v>
      </x:c>
      <x:c r="I78" s="23">
        <x:v>20</x:v>
      </x:c>
      <x:c r="J78" s="23">
        <x:f>H78-I78</x:f>
      </x:c>
      <x:c r="K78" s="22">
        <x:v>2</x:v>
      </x:c>
      <x:c r="L78" s="24" t="s">
        <x:v>548</x:v>
      </x:c>
      <x:c r="M78" s="24"/>
      <x:c r="N78" s="27" t="s">
        <x:v>548</x:v>
      </x:c>
      <x:c r="O78" s="27"/>
      <x:c r="P78" s="26"/>
      <x:c r="Q78" s="27">
        <x:v>1</x:v>
      </x:c>
      <x:c r="R78" s="27"/>
      <x:c r="S78" s="22">
        <x:f>IF(N78="","تکمیل نشده",IF(N78="بدون تفصیلی (ثبت روی خود معین)","OK",IF(N78="ادغام با تفصیلی دیگر",IF(O78="","کلید مقصد خالی است",IF(IFERROR(MATCH(O78*1,$A:$A,0),0)=0,"کلید مقصد در این فهرست نیست",IF(O78*1=A78,"ادغام با خودش","OK"))),IF(Q78="","سطح شناور خالی است",IF(AND(FALSE,OR(Q78=1,Q78=2)),"سطح ۱ و ۲ این معین مال فعالیت و مرکز هزینه است","OK")))))</x:f>
      </x:c>
      <x:c r="T78" s="28"/>
    </x:row>
    <x:row r="79" spans="1:20">
      <x:c r="A79" s="21">
        <x:v>560</x:v>
      </x:c>
      <x:c r="B79" s="22" t="s">
        <x:v>52</x:v>
      </x:c>
      <x:c r="C79" s="22" t="s">
        <x:v>209</x:v>
      </x:c>
      <x:c r="D79" s="22" t="s">
        <x:v>648</x:v>
      </x:c>
      <x:c r="E79" s="22" t="s">
        <x:v>649</x:v>
      </x:c>
      <x:c r="F79" s="22" t="s">
        <x:v>229</x:v>
      </x:c>
      <x:c r="G79" s="22">
        <x:v>3</x:v>
      </x:c>
      <x:c r="H79" s="23">
        <x:v>9820</x:v>
      </x:c>
      <x:c r="I79" s="23">
        <x:v>60000000</x:v>
      </x:c>
      <x:c r="J79" s="23">
        <x:f>H79-I79</x:f>
      </x:c>
      <x:c r="K79" s="22">
        <x:v>3</x:v>
      </x:c>
      <x:c r="L79" s="24" t="s">
        <x:v>548</x:v>
      </x:c>
      <x:c r="M79" s="24"/>
      <x:c r="N79" s="27" t="s">
        <x:v>548</x:v>
      </x:c>
      <x:c r="O79" s="27"/>
      <x:c r="P79" s="26"/>
      <x:c r="Q79" s="27">
        <x:v>1</x:v>
      </x:c>
      <x:c r="R79" s="27"/>
      <x:c r="S79" s="22">
        <x:f>IF(N79="","تکمیل نشده",IF(N79="بدون تفصیلی (ثبت روی خود معین)","OK",IF(N79="ادغام با تفصیلی دیگر",IF(O79="","کلید مقصد خالی است",IF(IFERROR(MATCH(O79*1,$A:$A,0),0)=0,"کلید مقصد در این فهرست نیست",IF(O79*1=A79,"ادغام با خودش","OK"))),IF(Q79="","سطح شناور خالی است",IF(AND(FALSE,OR(Q79=1,Q79=2)),"سطح ۱ و ۲ این معین مال فعالیت و مرکز هزینه است","OK")))))</x:f>
      </x:c>
      <x:c r="T79" s="28"/>
    </x:row>
    <x:row r="80" spans="1:20">
      <x:c r="A80" s="21">
        <x:v>561</x:v>
      </x:c>
      <x:c r="B80" s="22" t="s">
        <x:v>52</x:v>
      </x:c>
      <x:c r="C80" s="22" t="s">
        <x:v>209</x:v>
      </x:c>
      <x:c r="D80" s="22" t="s">
        <x:v>650</x:v>
      </x:c>
      <x:c r="E80" s="22" t="s">
        <x:v>651</x:v>
      </x:c>
      <x:c r="F80" s="22" t="s">
        <x:v>229</x:v>
      </x:c>
      <x:c r="G80" s="22">
        <x:v>2</x:v>
      </x:c>
      <x:c r="H80" s="23">
        <x:v>0</x:v>
      </x:c>
      <x:c r="I80" s="23">
        <x:v>110</x:v>
      </x:c>
      <x:c r="J80" s="23">
        <x:f>H80-I80</x:f>
      </x:c>
      <x:c r="K80" s="22">
        <x:v>1</x:v>
      </x:c>
      <x:c r="L80" s="24" t="s">
        <x:v>548</x:v>
      </x:c>
      <x:c r="M80" s="24"/>
      <x:c r="N80" s="27" t="s">
        <x:v>548</x:v>
      </x:c>
      <x:c r="O80" s="27"/>
      <x:c r="P80" s="26"/>
      <x:c r="Q80" s="27">
        <x:v>1</x:v>
      </x:c>
      <x:c r="R80" s="27"/>
      <x:c r="S80" s="22">
        <x:f>IF(N80="","تکمیل نشده",IF(N80="بدون تفصیلی (ثبت روی خود معین)","OK",IF(N80="ادغام با تفصیلی دیگر",IF(O80="","کلید مقصد خالی است",IF(IFERROR(MATCH(O80*1,$A:$A,0),0)=0,"کلید مقصد در این فهرست نیست",IF(O80*1=A80,"ادغام با خودش","OK"))),IF(Q80="","سطح شناور خالی است",IF(AND(FALSE,OR(Q80=1,Q80=2)),"سطح ۱ و ۲ این معین مال فعالیت و مرکز هزینه است","OK")))))</x:f>
      </x:c>
      <x:c r="T80" s="28"/>
    </x:row>
    <x:row r="81" spans="1:20">
      <x:c r="A81" s="21">
        <x:v>562</x:v>
      </x:c>
      <x:c r="B81" s="22" t="s">
        <x:v>52</x:v>
      </x:c>
      <x:c r="C81" s="22" t="s">
        <x:v>209</x:v>
      </x:c>
      <x:c r="D81" s="22" t="s">
        <x:v>652</x:v>
      </x:c>
      <x:c r="E81" s="22" t="s">
        <x:v>653</x:v>
      </x:c>
      <x:c r="F81" s="22" t="s">
        <x:v>229</x:v>
      </x:c>
      <x:c r="G81" s="22">
        <x:v>7</x:v>
      </x:c>
      <x:c r="H81" s="23">
        <x:v>229400</x:v>
      </x:c>
      <x:c r="I81" s="23">
        <x:v>1064000</x:v>
      </x:c>
      <x:c r="J81" s="23">
        <x:f>H81-I81</x:f>
      </x:c>
      <x:c r="K81" s="22">
        <x:v>3</x:v>
      </x:c>
      <x:c r="L81" s="24" t="s">
        <x:v>548</x:v>
      </x:c>
      <x:c r="M81" s="24"/>
      <x:c r="N81" s="27" t="s">
        <x:v>548</x:v>
      </x:c>
      <x:c r="O81" s="27"/>
      <x:c r="P81" s="26"/>
      <x:c r="Q81" s="27">
        <x:v>1</x:v>
      </x:c>
      <x:c r="R81" s="27"/>
      <x:c r="S81" s="22">
        <x:f>IF(N81="","تکمیل نشده",IF(N81="بدون تفصیلی (ثبت روی خود معین)","OK",IF(N81="ادغام با تفصیلی دیگر",IF(O81="","کلید مقصد خالی است",IF(IFERROR(MATCH(O81*1,$A:$A,0),0)=0,"کلید مقصد در این فهرست نیست",IF(O81*1=A81,"ادغام با خودش","OK"))),IF(Q81="","سطح شناور خالی است",IF(AND(FALSE,OR(Q81=1,Q81=2)),"سطح ۱ و ۲ این معین مال فعالیت و مرکز هزینه است","OK")))))</x:f>
      </x:c>
      <x:c r="T81" s="28"/>
    </x:row>
    <x:row r="82" spans="1:20">
      <x:c r="A82" s="21">
        <x:v>563</x:v>
      </x:c>
      <x:c r="B82" s="22" t="s">
        <x:v>52</x:v>
      </x:c>
      <x:c r="C82" s="22" t="s">
        <x:v>209</x:v>
      </x:c>
      <x:c r="D82" s="22" t="s">
        <x:v>654</x:v>
      </x:c>
      <x:c r="E82" s="22" t="s">
        <x:v>655</x:v>
      </x:c>
      <x:c r="F82" s="22" t="s">
        <x:v>229</x:v>
      </x:c>
      <x:c r="G82" s="22">
        <x:v>60</x:v>
      </x:c>
      <x:c r="H82" s="23">
        <x:v>1971048181</x:v>
      </x:c>
      <x:c r="I82" s="23">
        <x:v>1972568181</x:v>
      </x:c>
      <x:c r="J82" s="23">
        <x:f>H82-I82</x:f>
      </x:c>
      <x:c r="K82" s="22">
        <x:v>5</x:v>
      </x:c>
      <x:c r="L82" s="24" t="s">
        <x:v>548</x:v>
      </x:c>
      <x:c r="M82" s="24"/>
      <x:c r="N82" s="27" t="s">
        <x:v>548</x:v>
      </x:c>
      <x:c r="O82" s="27"/>
      <x:c r="P82" s="26"/>
      <x:c r="Q82" s="27">
        <x:v>1</x:v>
      </x:c>
      <x:c r="R82" s="27"/>
      <x:c r="S82" s="22">
        <x:f>IF(N82="","تکمیل نشده",IF(N82="بدون تفصیلی (ثبت روی خود معین)","OK",IF(N82="ادغام با تفصیلی دیگر",IF(O82="","کلید مقصد خالی است",IF(IFERROR(MATCH(O82*1,$A:$A,0),0)=0,"کلید مقصد در این فهرست نیست",IF(O82*1=A82,"ادغام با خودش","OK"))),IF(Q82="","سطح شناور خالی است",IF(AND(FALSE,OR(Q82=1,Q82=2)),"سطح ۱ و ۲ این معین مال فعالیت و مرکز هزینه است","OK")))))</x:f>
      </x:c>
      <x:c r="T82" s="28"/>
    </x:row>
    <x:row r="83" spans="1:20">
      <x:c r="A83" s="21">
        <x:v>564</x:v>
      </x:c>
      <x:c r="B83" s="22" t="s">
        <x:v>52</x:v>
      </x:c>
      <x:c r="C83" s="22" t="s">
        <x:v>209</x:v>
      </x:c>
      <x:c r="D83" s="22" t="s">
        <x:v>656</x:v>
      </x:c>
      <x:c r="E83" s="22" t="s">
        <x:v>657</x:v>
      </x:c>
      <x:c r="F83" s="22" t="s">
        <x:v>229</x:v>
      </x:c>
      <x:c r="G83" s="22">
        <x:v>2</x:v>
      </x:c>
      <x:c r="H83" s="23">
        <x:v>50000</x:v>
      </x:c>
      <x:c r="I83" s="23">
        <x:v>112893040</x:v>
      </x:c>
      <x:c r="J83" s="23">
        <x:f>H83-I83</x:f>
      </x:c>
      <x:c r="K83" s="22">
        <x:v>1</x:v>
      </x:c>
      <x:c r="L83" s="24" t="s">
        <x:v>548</x:v>
      </x:c>
      <x:c r="M83" s="24"/>
      <x:c r="N83" s="27" t="s">
        <x:v>548</x:v>
      </x:c>
      <x:c r="O83" s="27"/>
      <x:c r="P83" s="26"/>
      <x:c r="Q83" s="27">
        <x:v>1</x:v>
      </x:c>
      <x:c r="R83" s="27"/>
      <x:c r="S83" s="22">
        <x:f>IF(N83="","تکمیل نشده",IF(N83="بدون تفصیلی (ثبت روی خود معین)","OK",IF(N83="ادغام با تفصیلی دیگر",IF(O83="","کلید مقصد خالی است",IF(IFERROR(MATCH(O83*1,$A:$A,0),0)=0,"کلید مقصد در این فهرست نیست",IF(O83*1=A83,"ادغام با خودش","OK"))),IF(Q83="","سطح شناور خالی است",IF(AND(FALSE,OR(Q83=1,Q83=2)),"سطح ۱ و ۲ این معین مال فعالیت و مرکز هزینه است","OK")))))</x:f>
      </x:c>
      <x:c r="T83" s="28"/>
    </x:row>
    <x:row r="84" spans="1:20">
      <x:c r="A84" s="21">
        <x:v>576</x:v>
      </x:c>
      <x:c r="B84" s="22" t="s">
        <x:v>52</x:v>
      </x:c>
      <x:c r="C84" s="22" t="s">
        <x:v>209</x:v>
      </x:c>
      <x:c r="D84" s="22" t="s">
        <x:v>658</x:v>
      </x:c>
      <x:c r="E84" s="22" t="s">
        <x:v>659</x:v>
      </x:c>
      <x:c r="F84" s="22" t="s">
        <x:v>229</x:v>
      </x:c>
      <x:c r="G84" s="22">
        <x:v>8</x:v>
      </x:c>
      <x:c r="H84" s="23">
        <x:v>2277500</x:v>
      </x:c>
      <x:c r="I84" s="23">
        <x:v>9707500</x:v>
      </x:c>
      <x:c r="J84" s="23">
        <x:f>H84-I84</x:f>
      </x:c>
      <x:c r="K84" s="22">
        <x:v>4</x:v>
      </x:c>
      <x:c r="L84" s="24" t="s">
        <x:v>548</x:v>
      </x:c>
      <x:c r="M84" s="24"/>
      <x:c r="N84" s="27" t="s">
        <x:v>548</x:v>
      </x:c>
      <x:c r="O84" s="27"/>
      <x:c r="P84" s="26"/>
      <x:c r="Q84" s="27">
        <x:v>1</x:v>
      </x:c>
      <x:c r="R84" s="27"/>
      <x:c r="S84" s="22">
        <x:f>IF(N84="","تکمیل نشده",IF(N84="بدون تفصیلی (ثبت روی خود معین)","OK",IF(N84="ادغام با تفصیلی دیگر",IF(O84="","کلید مقصد خالی است",IF(IFERROR(MATCH(O84*1,$A:$A,0),0)=0,"کلید مقصد در این فهرست نیست",IF(O84*1=A84,"ادغام با خودش","OK"))),IF(Q84="","سطح شناور خالی است",IF(AND(FALSE,OR(Q84=1,Q84=2)),"سطح ۱ و ۲ این معین مال فعالیت و مرکز هزینه است","OK")))))</x:f>
      </x:c>
      <x:c r="T84" s="28"/>
    </x:row>
    <x:row r="85" spans="1:20">
      <x:c r="A85" s="21">
        <x:v>586</x:v>
      </x:c>
      <x:c r="B85" s="22" t="s">
        <x:v>52</x:v>
      </x:c>
      <x:c r="C85" s="22" t="s">
        <x:v>209</x:v>
      </x:c>
      <x:c r="D85" s="22" t="s">
        <x:v>660</x:v>
      </x:c>
      <x:c r="E85" s="22" t="s">
        <x:v>661</x:v>
      </x:c>
      <x:c r="F85" s="22" t="s">
        <x:v>229</x:v>
      </x:c>
      <x:c r="G85" s="22">
        <x:v>6</x:v>
      </x:c>
      <x:c r="H85" s="23">
        <x:v>72060</x:v>
      </x:c>
      <x:c r="I85" s="23">
        <x:v>360300</x:v>
      </x:c>
      <x:c r="J85" s="23">
        <x:f>H85-I85</x:f>
      </x:c>
      <x:c r="K85" s="22">
        <x:v>3</x:v>
      </x:c>
      <x:c r="L85" s="24" t="s">
        <x:v>548</x:v>
      </x:c>
      <x:c r="M85" s="24"/>
      <x:c r="N85" s="27" t="s">
        <x:v>548</x:v>
      </x:c>
      <x:c r="O85" s="27"/>
      <x:c r="P85" s="26"/>
      <x:c r="Q85" s="27">
        <x:v>1</x:v>
      </x:c>
      <x:c r="R85" s="27"/>
      <x:c r="S85" s="22">
        <x:f>IF(N85="","تکمیل نشده",IF(N85="بدون تفصیلی (ثبت روی خود معین)","OK",IF(N85="ادغام با تفصیلی دیگر",IF(O85="","کلید مقصد خالی است",IF(IFERROR(MATCH(O85*1,$A:$A,0),0)=0,"کلید مقصد در این فهرست نیست",IF(O85*1=A85,"ادغام با خودش","OK"))),IF(Q85="","سطح شناور خالی است",IF(AND(FALSE,OR(Q85=1,Q85=2)),"سطح ۱ و ۲ این معین مال فعالیت و مرکز هزینه است","OK")))))</x:f>
      </x:c>
      <x:c r="T85" s="28"/>
    </x:row>
    <x:row r="86" spans="1:20">
      <x:c r="A86" s="21">
        <x:v>587</x:v>
      </x:c>
      <x:c r="B86" s="22" t="s">
        <x:v>52</x:v>
      </x:c>
      <x:c r="C86" s="22" t="s">
        <x:v>209</x:v>
      </x:c>
      <x:c r="D86" s="22" t="s">
        <x:v>662</x:v>
      </x:c>
      <x:c r="E86" s="22" t="s">
        <x:v>663</x:v>
      </x:c>
      <x:c r="F86" s="22" t="s">
        <x:v>229</x:v>
      </x:c>
      <x:c r="G86" s="22">
        <x:v>6</x:v>
      </x:c>
      <x:c r="H86" s="23">
        <x:v>55404</x:v>
      </x:c>
      <x:c r="I86" s="23">
        <x:v>277020</x:v>
      </x:c>
      <x:c r="J86" s="23">
        <x:f>H86-I86</x:f>
      </x:c>
      <x:c r="K86" s="22">
        <x:v>3</x:v>
      </x:c>
      <x:c r="L86" s="24" t="s">
        <x:v>548</x:v>
      </x:c>
      <x:c r="M86" s="24"/>
      <x:c r="N86" s="27" t="s">
        <x:v>548</x:v>
      </x:c>
      <x:c r="O86" s="27"/>
      <x:c r="P86" s="26"/>
      <x:c r="Q86" s="27">
        <x:v>1</x:v>
      </x:c>
      <x:c r="R86" s="27"/>
      <x:c r="S86" s="22">
        <x:f>IF(N86="","تکمیل نشده",IF(N86="بدون تفصیلی (ثبت روی خود معین)","OK",IF(N86="ادغام با تفصیلی دیگر",IF(O86="","کلید مقصد خالی است",IF(IFERROR(MATCH(O86*1,$A:$A,0),0)=0,"کلید مقصد در این فهرست نیست",IF(O86*1=A86,"ادغام با خودش","OK"))),IF(Q86="","سطح شناور خالی است",IF(AND(FALSE,OR(Q86=1,Q86=2)),"سطح ۱ و ۲ این معین مال فعالیت و مرکز هزینه است","OK")))))</x:f>
      </x:c>
      <x:c r="T86" s="28"/>
    </x:row>
    <x:row r="87" spans="1:20">
      <x:c r="A87" s="21">
        <x:v>588</x:v>
      </x:c>
      <x:c r="B87" s="22" t="s">
        <x:v>52</x:v>
      </x:c>
      <x:c r="C87" s="22" t="s">
        <x:v>209</x:v>
      </x:c>
      <x:c r="D87" s="22" t="s">
        <x:v>664</x:v>
      </x:c>
      <x:c r="E87" s="22" t="s">
        <x:v>665</x:v>
      </x:c>
      <x:c r="F87" s="22" t="s">
        <x:v>229</x:v>
      </x:c>
      <x:c r="G87" s="22">
        <x:v>7</x:v>
      </x:c>
      <x:c r="H87" s="23">
        <x:v>504340</x:v>
      </x:c>
      <x:c r="I87" s="23">
        <x:v>986700</x:v>
      </x:c>
      <x:c r="J87" s="23">
        <x:f>H87-I87</x:f>
      </x:c>
      <x:c r="K87" s="22">
        <x:v>3</x:v>
      </x:c>
      <x:c r="L87" s="24" t="s">
        <x:v>548</x:v>
      </x:c>
      <x:c r="M87" s="24"/>
      <x:c r="N87" s="27" t="s">
        <x:v>548</x:v>
      </x:c>
      <x:c r="O87" s="27"/>
      <x:c r="P87" s="26"/>
      <x:c r="Q87" s="27">
        <x:v>1</x:v>
      </x:c>
      <x:c r="R87" s="27"/>
      <x:c r="S87" s="22">
        <x:f>IF(N87="","تکمیل نشده",IF(N87="بدون تفصیلی (ثبت روی خود معین)","OK",IF(N87="ادغام با تفصیلی دیگر",IF(O87="","کلید مقصد خالی است",IF(IFERROR(MATCH(O87*1,$A:$A,0),0)=0,"کلید مقصد در این فهرست نیست",IF(O87*1=A87,"ادغام با خودش","OK"))),IF(Q87="","سطح شناور خالی است",IF(AND(FALSE,OR(Q87=1,Q87=2)),"سطح ۱ و ۲ این معین مال فعالیت و مرکز هزینه است","OK")))))</x:f>
      </x:c>
      <x:c r="T87" s="28"/>
    </x:row>
    <x:row r="88" spans="1:20">
      <x:c r="A88" s="21">
        <x:v>3772</x:v>
      </x:c>
      <x:c r="B88" s="22" t="s">
        <x:v>52</x:v>
      </x:c>
      <x:c r="C88" s="22" t="s">
        <x:v>209</x:v>
      </x:c>
      <x:c r="D88" s="22" t="s">
        <x:v>666</x:v>
      </x:c>
      <x:c r="E88" s="22" t="s">
        <x:v>667</x:v>
      </x:c>
      <x:c r="F88" s="22" t="s">
        <x:v>229</x:v>
      </x:c>
      <x:c r="G88" s="22">
        <x:v>3</x:v>
      </x:c>
      <x:c r="H88" s="23">
        <x:v>13125020</x:v>
      </x:c>
      <x:c r="I88" s="23">
        <x:v>2918000</x:v>
      </x:c>
      <x:c r="J88" s="23">
        <x:f>H88-I88</x:f>
      </x:c>
      <x:c r="K88" s="22">
        <x:v>3</x:v>
      </x:c>
      <x:c r="L88" s="24" t="s">
        <x:v>548</x:v>
      </x:c>
      <x:c r="M88" s="24"/>
      <x:c r="N88" s="27" t="s">
        <x:v>548</x:v>
      </x:c>
      <x:c r="O88" s="27"/>
      <x:c r="P88" s="26"/>
      <x:c r="Q88" s="27">
        <x:v>1</x:v>
      </x:c>
      <x:c r="R88" s="27"/>
      <x:c r="S88" s="22">
        <x:f>IF(N88="","تکمیل نشده",IF(N88="بدون تفصیلی (ثبت روی خود معین)","OK",IF(N88="ادغام با تفصیلی دیگر",IF(O88="","کلید مقصد خالی است",IF(IFERROR(MATCH(O88*1,$A:$A,0),0)=0,"کلید مقصد در این فهرست نیست",IF(O88*1=A88,"ادغام با خودش","OK"))),IF(Q88="","سطح شناور خالی است",IF(AND(FALSE,OR(Q88=1,Q88=2)),"سطح ۱ و ۲ این معین مال فعالیت و مرکز هزینه است","OK")))))</x:f>
      </x:c>
      <x:c r="T88" s="28"/>
    </x:row>
    <x:row r="89" spans="1:20">
      <x:c r="A89" s="21">
        <x:v>3842</x:v>
      </x:c>
      <x:c r="B89" s="22" t="s">
        <x:v>52</x:v>
      </x:c>
      <x:c r="C89" s="22" t="s">
        <x:v>209</x:v>
      </x:c>
      <x:c r="D89" s="22" t="s">
        <x:v>668</x:v>
      </x:c>
      <x:c r="E89" s="22" t="s">
        <x:v>669</x:v>
      </x:c>
      <x:c r="F89" s="22" t="s">
        <x:v>229</x:v>
      </x:c>
      <x:c r="G89" s="22">
        <x:v>2</x:v>
      </x:c>
      <x:c r="H89" s="23">
        <x:v>4030000</x:v>
      </x:c>
      <x:c r="I89" s="23">
        <x:v>4030000</x:v>
      </x:c>
      <x:c r="J89" s="23">
        <x:f>H89-I89</x:f>
      </x:c>
      <x:c r="K89" s="22">
        <x:v>3</x:v>
      </x:c>
      <x:c r="L89" s="24" t="s">
        <x:v>548</x:v>
      </x:c>
      <x:c r="M89" s="24"/>
      <x:c r="N89" s="27" t="s">
        <x:v>548</x:v>
      </x:c>
      <x:c r="O89" s="27"/>
      <x:c r="P89" s="26"/>
      <x:c r="Q89" s="27">
        <x:v>1</x:v>
      </x:c>
      <x:c r="R89" s="27"/>
      <x:c r="S89" s="22">
        <x:f>IF(N89="","تکمیل نشده",IF(N89="بدون تفصیلی (ثبت روی خود معین)","OK",IF(N89="ادغام با تفصیلی دیگر",IF(O89="","کلید مقصد خالی است",IF(IFERROR(MATCH(O89*1,$A:$A,0),0)=0,"کلید مقصد در این فهرست نیست",IF(O89*1=A89,"ادغام با خودش","OK"))),IF(Q89="","سطح شناور خالی است",IF(AND(FALSE,OR(Q89=1,Q89=2)),"سطح ۱ و ۲ این معین مال فعالیت و مرکز هزینه است","OK")))))</x:f>
      </x:c>
      <x:c r="T89" s="28"/>
    </x:row>
    <x:row r="90" spans="1:20">
      <x:c r="A90" s="21">
        <x:v>3866</x:v>
      </x:c>
      <x:c r="B90" s="22" t="s">
        <x:v>52</x:v>
      </x:c>
      <x:c r="C90" s="22" t="s">
        <x:v>209</x:v>
      </x:c>
      <x:c r="D90" s="22" t="s">
        <x:v>670</x:v>
      </x:c>
      <x:c r="E90" s="22" t="s">
        <x:v>671</x:v>
      </x:c>
      <x:c r="F90" s="22" t="s">
        <x:v>229</x:v>
      </x:c>
      <x:c r="G90" s="22">
        <x:v>1</x:v>
      </x:c>
      <x:c r="H90" s="23">
        <x:v>15000000</x:v>
      </x:c>
      <x:c r="I90" s="23">
        <x:v>0</x:v>
      </x:c>
      <x:c r="J90" s="23">
        <x:f>H90-I90</x:f>
      </x:c>
      <x:c r="K90" s="22">
        <x:v>1</x:v>
      </x:c>
      <x:c r="L90" s="24" t="s">
        <x:v>548</x:v>
      </x:c>
      <x:c r="M90" s="24"/>
      <x:c r="N90" s="27" t="s">
        <x:v>548</x:v>
      </x:c>
      <x:c r="O90" s="27"/>
      <x:c r="P90" s="26"/>
      <x:c r="Q90" s="27">
        <x:v>1</x:v>
      </x:c>
      <x:c r="R90" s="27"/>
      <x:c r="S90" s="22">
        <x:f>IF(N90="","تکمیل نشده",IF(N90="بدون تفصیلی (ثبت روی خود معین)","OK",IF(N90="ادغام با تفصیلی دیگر",IF(O90="","کلید مقصد خالی است",IF(IFERROR(MATCH(O90*1,$A:$A,0),0)=0,"کلید مقصد در این فهرست نیست",IF(O90*1=A90,"ادغام با خودش","OK"))),IF(Q90="","سطح شناور خالی است",IF(AND(FALSE,OR(Q90=1,Q90=2)),"سطح ۱ و ۲ این معین مال فعالیت و مرکز هزینه است","OK")))))</x:f>
      </x:c>
      <x:c r="T90" s="28"/>
    </x:row>
    <x:row r="91" spans="1:20">
      <x:c r="A91" s="21">
        <x:v>3867</x:v>
      </x:c>
      <x:c r="B91" s="22" t="s">
        <x:v>52</x:v>
      </x:c>
      <x:c r="C91" s="22" t="s">
        <x:v>209</x:v>
      </x:c>
      <x:c r="D91" s="22" t="s">
        <x:v>672</x:v>
      </x:c>
      <x:c r="E91" s="22" t="s">
        <x:v>673</x:v>
      </x:c>
      <x:c r="F91" s="22" t="s">
        <x:v>229</x:v>
      </x:c>
      <x:c r="G91" s="22">
        <x:v>1</x:v>
      </x:c>
      <x:c r="H91" s="23">
        <x:v>45000000</x:v>
      </x:c>
      <x:c r="I91" s="23">
        <x:v>0</x:v>
      </x:c>
      <x:c r="J91" s="23">
        <x:f>H91-I91</x:f>
      </x:c>
      <x:c r="K91" s="22">
        <x:v>1</x:v>
      </x:c>
      <x:c r="L91" s="24" t="s">
        <x:v>548</x:v>
      </x:c>
      <x:c r="M91" s="24"/>
      <x:c r="N91" s="27" t="s">
        <x:v>548</x:v>
      </x:c>
      <x:c r="O91" s="27"/>
      <x:c r="P91" s="26"/>
      <x:c r="Q91" s="27">
        <x:v>1</x:v>
      </x:c>
      <x:c r="R91" s="27"/>
      <x:c r="S91" s="22">
        <x:f>IF(N91="","تکمیل نشده",IF(N91="بدون تفصیلی (ثبت روی خود معین)","OK",IF(N91="ادغام با تفصیلی دیگر",IF(O91="","کلید مقصد خالی است",IF(IFERROR(MATCH(O91*1,$A:$A,0),0)=0,"کلید مقصد در این فهرست نیست",IF(O91*1=A91,"ادغام با خودش","OK"))),IF(Q91="","سطح شناور خالی است",IF(AND(FALSE,OR(Q91=1,Q91=2)),"سطح ۱ و ۲ این معین مال فعالیت و مرکز هزینه است","OK")))))</x:f>
      </x:c>
      <x:c r="T91" s="28"/>
    </x:row>
    <x:row r="92" spans="1:20">
      <x:c r="A92" s="21">
        <x:v>3868</x:v>
      </x:c>
      <x:c r="B92" s="22" t="s">
        <x:v>52</x:v>
      </x:c>
      <x:c r="C92" s="22" t="s">
        <x:v>209</x:v>
      </x:c>
      <x:c r="D92" s="22" t="s">
        <x:v>674</x:v>
      </x:c>
      <x:c r="E92" s="22" t="s">
        <x:v>675</x:v>
      </x:c>
      <x:c r="F92" s="22" t="s">
        <x:v>229</x:v>
      </x:c>
      <x:c r="G92" s="22">
        <x:v>1</x:v>
      </x:c>
      <x:c r="H92" s="23">
        <x:v>15000000</x:v>
      </x:c>
      <x:c r="I92" s="23">
        <x:v>0</x:v>
      </x:c>
      <x:c r="J92" s="23">
        <x:f>H92-I92</x:f>
      </x:c>
      <x:c r="K92" s="22">
        <x:v>2</x:v>
      </x:c>
      <x:c r="L92" s="24" t="s">
        <x:v>548</x:v>
      </x:c>
      <x:c r="M92" s="24"/>
      <x:c r="N92" s="27" t="s">
        <x:v>548</x:v>
      </x:c>
      <x:c r="O92" s="27"/>
      <x:c r="P92" s="26"/>
      <x:c r="Q92" s="27">
        <x:v>1</x:v>
      </x:c>
      <x:c r="R92" s="27"/>
      <x:c r="S92" s="22">
        <x:f>IF(N92="","تکمیل نشده",IF(N92="بدون تفصیلی (ثبت روی خود معین)","OK",IF(N92="ادغام با تفصیلی دیگر",IF(O92="","کلید مقصد خالی است",IF(IFERROR(MATCH(O92*1,$A:$A,0),0)=0,"کلید مقصد در این فهرست نیست",IF(O92*1=A92,"ادغام با خودش","OK"))),IF(Q92="","سطح شناور خالی است",IF(AND(FALSE,OR(Q92=1,Q92=2)),"سطح ۱ و ۲ این معین مال فعالیت و مرکز هزینه است","OK")))))</x:f>
      </x:c>
      <x:c r="T92" s="28"/>
    </x:row>
    <x:row r="93" spans="1:20">
      <x:c r="A93" s="21">
        <x:v>633</x:v>
      </x:c>
      <x:c r="B93" s="22" t="s">
        <x:v>52</x:v>
      </x:c>
      <x:c r="C93" s="22" t="s">
        <x:v>209</x:v>
      </x:c>
      <x:c r="D93" s="22" t="s">
        <x:v>546</x:v>
      </x:c>
      <x:c r="E93" s="22" t="s">
        <x:v>676</x:v>
      </x:c>
      <x:c r="F93" s="22" t="s">
        <x:v>229</x:v>
      </x:c>
      <x:c r="G93" s="22">
        <x:v>1</x:v>
      </x:c>
      <x:c r="H93" s="23">
        <x:v>20</x:v>
      </x:c>
      <x:c r="I93" s="23">
        <x:v>0</x:v>
      </x:c>
      <x:c r="J93" s="23">
        <x:f>H93-I93</x:f>
      </x:c>
      <x:c r="K93" s="22">
        <x:v>1</x:v>
      </x:c>
      <x:c r="L93" s="24" t="s">
        <x:v>548</x:v>
      </x:c>
      <x:c r="M93" s="24"/>
      <x:c r="N93" s="27" t="s">
        <x:v>548</x:v>
      </x:c>
      <x:c r="O93" s="27"/>
      <x:c r="P93" s="26"/>
      <x:c r="Q93" s="27">
        <x:v>1</x:v>
      </x:c>
      <x:c r="R93" s="27"/>
      <x:c r="S93" s="22">
        <x:f>IF(N93="","تکمیل نشده",IF(N93="بدون تفصیلی (ثبت روی خود معین)","OK",IF(N93="ادغام با تفصیلی دیگر",IF(O93="","کلید مقصد خالی است",IF(IFERROR(MATCH(O93*1,$A:$A,0),0)=0,"کلید مقصد در این فهرست نیست",IF(O93*1=A93,"ادغام با خودش","OK"))),IF(Q93="","سطح شناور خالی است",IF(AND(FALSE,OR(Q93=1,Q93=2)),"سطح ۱ و ۲ این معین مال فعالیت و مرکز هزینه است","OK")))))</x:f>
      </x:c>
      <x:c r="T93" s="28"/>
    </x:row>
    <x:row r="94" spans="1:20">
      <x:c r="A94" s="21">
        <x:v>653</x:v>
      </x:c>
      <x:c r="B94" s="22" t="s">
        <x:v>52</x:v>
      </x:c>
      <x:c r="C94" s="22" t="s">
        <x:v>209</x:v>
      </x:c>
      <x:c r="D94" s="22" t="s">
        <x:v>677</x:v>
      </x:c>
      <x:c r="E94" s="22" t="s">
        <x:v>678</x:v>
      </x:c>
      <x:c r="F94" s="22" t="s">
        <x:v>229</x:v>
      </x:c>
      <x:c r="G94" s="22">
        <x:v>3</x:v>
      </x:c>
      <x:c r="H94" s="23">
        <x:v>40</x:v>
      </x:c>
      <x:c r="I94" s="23">
        <x:v>0</x:v>
      </x:c>
      <x:c r="J94" s="23">
        <x:f>H94-I94</x:f>
      </x:c>
      <x:c r="K94" s="22">
        <x:v>1</x:v>
      </x:c>
      <x:c r="L94" s="24" t="s">
        <x:v>548</x:v>
      </x:c>
      <x:c r="M94" s="24"/>
      <x:c r="N94" s="27" t="s">
        <x:v>548</x:v>
      </x:c>
      <x:c r="O94" s="27"/>
      <x:c r="P94" s="26"/>
      <x:c r="Q94" s="27">
        <x:v>1</x:v>
      </x:c>
      <x:c r="R94" s="27"/>
      <x:c r="S94" s="22">
        <x:f>IF(N94="","تکمیل نشده",IF(N94="بدون تفصیلی (ثبت روی خود معین)","OK",IF(N94="ادغام با تفصیلی دیگر",IF(O94="","کلید مقصد خالی است",IF(IFERROR(MATCH(O94*1,$A:$A,0),0)=0,"کلید مقصد در این فهرست نیست",IF(O94*1=A94,"ادغام با خودش","OK"))),IF(Q94="","سطح شناور خالی است",IF(AND(FALSE,OR(Q94=1,Q94=2)),"سطح ۱ و ۲ این معین مال فعالیت و مرکز هزینه است","OK")))))</x:f>
      </x:c>
      <x:c r="T94" s="28"/>
    </x:row>
    <x:row r="95" spans="1:20">
      <x:c r="A95" s="21">
        <x:v>657</x:v>
      </x:c>
      <x:c r="B95" s="22" t="s">
        <x:v>52</x:v>
      </x:c>
      <x:c r="C95" s="22" t="s">
        <x:v>209</x:v>
      </x:c>
      <x:c r="D95" s="22" t="s">
        <x:v>679</x:v>
      </x:c>
      <x:c r="E95" s="22" t="s">
        <x:v>680</x:v>
      </x:c>
      <x:c r="F95" s="22" t="s">
        <x:v>229</x:v>
      </x:c>
      <x:c r="G95" s="22">
        <x:v>77</x:v>
      </x:c>
      <x:c r="H95" s="23">
        <x:v>1226670938</x:v>
      </x:c>
      <x:c r="I95" s="23">
        <x:v>1277970090</x:v>
      </x:c>
      <x:c r="J95" s="23">
        <x:f>H95-I95</x:f>
      </x:c>
      <x:c r="K95" s="22">
        <x:v>2</x:v>
      </x:c>
      <x:c r="L95" s="24" t="s">
        <x:v>548</x:v>
      </x:c>
      <x:c r="M95" s="24"/>
      <x:c r="N95" s="27" t="s">
        <x:v>548</x:v>
      </x:c>
      <x:c r="O95" s="27"/>
      <x:c r="P95" s="26"/>
      <x:c r="Q95" s="27">
        <x:v>1</x:v>
      </x:c>
      <x:c r="R95" s="27"/>
      <x:c r="S95" s="22">
        <x:f>IF(N95="","تکمیل نشده",IF(N95="بدون تفصیلی (ثبت روی خود معین)","OK",IF(N95="ادغام با تفصیلی دیگر",IF(O95="","کلید مقصد خالی است",IF(IFERROR(MATCH(O95*1,$A:$A,0),0)=0,"کلید مقصد در این فهرست نیست",IF(O95*1=A95,"ادغام با خودش","OK"))),IF(Q95="","سطح شناور خالی است",IF(AND(FALSE,OR(Q95=1,Q95=2)),"سطح ۱ و ۲ این معین مال فعالیت و مرکز هزینه است","OK")))))</x:f>
      </x:c>
      <x:c r="T95" s="28"/>
    </x:row>
    <x:row r="96" spans="1:20">
      <x:c r="A96" s="21">
        <x:v>664</x:v>
      </x:c>
      <x:c r="B96" s="22" t="s">
        <x:v>52</x:v>
      </x:c>
      <x:c r="C96" s="22" t="s">
        <x:v>209</x:v>
      </x:c>
      <x:c r="D96" s="22" t="s">
        <x:v>681</x:v>
      </x:c>
      <x:c r="E96" s="22" t="s">
        <x:v>682</x:v>
      </x:c>
      <x:c r="F96" s="22" t="s">
        <x:v>229</x:v>
      </x:c>
      <x:c r="G96" s="22">
        <x:v>6</x:v>
      </x:c>
      <x:c r="H96" s="23">
        <x:v>209953</x:v>
      </x:c>
      <x:c r="I96" s="23">
        <x:v>1049765</x:v>
      </x:c>
      <x:c r="J96" s="23">
        <x:f>H96-I96</x:f>
      </x:c>
      <x:c r="K96" s="22">
        <x:v>3</x:v>
      </x:c>
      <x:c r="L96" s="24" t="s">
        <x:v>548</x:v>
      </x:c>
      <x:c r="M96" s="24"/>
      <x:c r="N96" s="27" t="s">
        <x:v>548</x:v>
      </x:c>
      <x:c r="O96" s="27"/>
      <x:c r="P96" s="26"/>
      <x:c r="Q96" s="27">
        <x:v>1</x:v>
      </x:c>
      <x:c r="R96" s="27"/>
      <x:c r="S96" s="22">
        <x:f>IF(N96="","تکمیل نشده",IF(N96="بدون تفصیلی (ثبت روی خود معین)","OK",IF(N96="ادغام با تفصیلی دیگر",IF(O96="","کلید مقصد خالی است",IF(IFERROR(MATCH(O96*1,$A:$A,0),0)=0,"کلید مقصد در این فهرست نیست",IF(O96*1=A96,"ادغام با خودش","OK"))),IF(Q96="","سطح شناور خالی است",IF(AND(FALSE,OR(Q96=1,Q96=2)),"سطح ۱ و ۲ این معین مال فعالیت و مرکز هزینه است","OK")))))</x:f>
      </x:c>
      <x:c r="T96" s="28"/>
    </x:row>
    <x:row r="97" spans="1:20">
      <x:c r="A97" s="21">
        <x:v>3818</x:v>
      </x:c>
      <x:c r="B97" s="22" t="s">
        <x:v>52</x:v>
      </x:c>
      <x:c r="C97" s="22" t="s">
        <x:v>209</x:v>
      </x:c>
      <x:c r="D97" s="22" t="s">
        <x:v>683</x:v>
      </x:c>
      <x:c r="E97" s="22" t="s">
        <x:v>684</x:v>
      </x:c>
      <x:c r="F97" s="22" t="s">
        <x:v>229</x:v>
      </x:c>
      <x:c r="G97" s="22">
        <x:v>2</x:v>
      </x:c>
      <x:c r="H97" s="23">
        <x:v>20146000</x:v>
      </x:c>
      <x:c r="I97" s="23">
        <x:v>2878000</x:v>
      </x:c>
      <x:c r="J97" s="23">
        <x:f>H97-I97</x:f>
      </x:c>
      <x:c r="K97" s="22">
        <x:v>3</x:v>
      </x:c>
      <x:c r="L97" s="24" t="s">
        <x:v>548</x:v>
      </x:c>
      <x:c r="M97" s="24"/>
      <x:c r="N97" s="27" t="s">
        <x:v>548</x:v>
      </x:c>
      <x:c r="O97" s="27"/>
      <x:c r="P97" s="26"/>
      <x:c r="Q97" s="27">
        <x:v>1</x:v>
      </x:c>
      <x:c r="R97" s="27"/>
      <x:c r="S97" s="22">
        <x:f>IF(N97="","تکمیل نشده",IF(N97="بدون تفصیلی (ثبت روی خود معین)","OK",IF(N97="ادغام با تفصیلی دیگر",IF(O97="","کلید مقصد خالی است",IF(IFERROR(MATCH(O97*1,$A:$A,0),0)=0,"کلید مقصد در این فهرست نیست",IF(O97*1=A97,"ادغام با خودش","OK"))),IF(Q97="","سطح شناور خالی است",IF(AND(FALSE,OR(Q97=1,Q97=2)),"سطح ۱ و ۲ این معین مال فعالیت و مرکز هزینه است","OK")))))</x:f>
      </x:c>
      <x:c r="T97" s="28"/>
    </x:row>
    <x:row r="98" spans="1:20">
      <x:c r="A98" s="21">
        <x:v>3813</x:v>
      </x:c>
      <x:c r="B98" s="22" t="s">
        <x:v>52</x:v>
      </x:c>
      <x:c r="C98" s="22" t="s">
        <x:v>209</x:v>
      </x:c>
      <x:c r="D98" s="22" t="s">
        <x:v>685</x:v>
      </x:c>
      <x:c r="E98" s="22" t="s">
        <x:v>341</x:v>
      </x:c>
      <x:c r="F98" s="22" t="s">
        <x:v>229</x:v>
      </x:c>
      <x:c r="G98" s="22">
        <x:v>2</x:v>
      </x:c>
      <x:c r="H98" s="23">
        <x:v>1853000</x:v>
      </x:c>
      <x:c r="I98" s="23">
        <x:v>1853000</x:v>
      </x:c>
      <x:c r="J98" s="23">
        <x:f>H98-I98</x:f>
      </x:c>
      <x:c r="K98" s="22">
        <x:v>2</x:v>
      </x:c>
      <x:c r="L98" s="24" t="s">
        <x:v>548</x:v>
      </x:c>
      <x:c r="M98" s="24"/>
      <x:c r="N98" s="27" t="s">
        <x:v>548</x:v>
      </x:c>
      <x:c r="O98" s="27"/>
      <x:c r="P98" s="26"/>
      <x:c r="Q98" s="27">
        <x:v>1</x:v>
      </x:c>
      <x:c r="R98" s="27"/>
      <x:c r="S98" s="22">
        <x:f>IF(N98="","تکمیل نشده",IF(N98="بدون تفصیلی (ثبت روی خود معین)","OK",IF(N98="ادغام با تفصیلی دیگر",IF(O98="","کلید مقصد خالی است",IF(IFERROR(MATCH(O98*1,$A:$A,0),0)=0,"کلید مقصد در این فهرست نیست",IF(O98*1=A98,"ادغام با خودش","OK"))),IF(Q98="","سطح شناور خالی است",IF(AND(FALSE,OR(Q98=1,Q98=2)),"سطح ۱ و ۲ این معین مال فعالیت و مرکز هزینه است","OK")))))</x:f>
      </x:c>
      <x:c r="T98" s="28"/>
    </x:row>
    <x:row r="99" spans="1:20">
      <x:c r="A99" s="21">
        <x:v>1196</x:v>
      </x:c>
      <x:c r="B99" s="22" t="s">
        <x:v>52</x:v>
      </x:c>
      <x:c r="C99" s="22" t="s">
        <x:v>89</x:v>
      </x:c>
      <x:c r="D99" s="22" t="s">
        <x:v>686</x:v>
      </x:c>
      <x:c r="E99" s="22" t="s">
        <x:v>230</x:v>
      </x:c>
      <x:c r="F99" s="22" t="s">
        <x:v>230</x:v>
      </x:c>
      <x:c r="G99" s="22">
        <x:v>15</x:v>
      </x:c>
      <x:c r="H99" s="23">
        <x:v>76649376</x:v>
      </x:c>
      <x:c r="I99" s="23">
        <x:v>83036824</x:v>
      </x:c>
      <x:c r="J99" s="23">
        <x:f>H99-I99</x:f>
      </x:c>
      <x:c r="K99" s="22">
        <x:v>1</x:v>
      </x:c>
      <x:c r="L99" s="24" t="s">
        <x:v>548</x:v>
      </x:c>
      <x:c r="M99" s="24"/>
      <x:c r="N99" s="27" t="s">
        <x:v>548</x:v>
      </x:c>
      <x:c r="O99" s="27"/>
      <x:c r="P99" s="26"/>
      <x:c r="Q99" s="27">
        <x:v>1</x:v>
      </x:c>
      <x:c r="R99" s="27"/>
      <x:c r="S99" s="22">
        <x:f>IF(N99="","تکمیل نشده",IF(N99="بدون تفصیلی (ثبت روی خود معین)","OK",IF(N99="ادغام با تفصیلی دیگر",IF(O99="","کلید مقصد خالی است",IF(IFERROR(MATCH(O99*1,$A:$A,0),0)=0,"کلید مقصد در این فهرست نیست",IF(O99*1=A99,"ادغام با خودش","OK"))),IF(Q99="","سطح شناور خالی است",IF(AND(FALSE,OR(Q99=1,Q99=2)),"سطح ۱ و ۲ این معین مال فعالیت و مرکز هزینه است","OK")))))</x:f>
      </x:c>
      <x:c r="T99" s="28"/>
    </x:row>
    <x:row r="100" spans="1:20">
      <x:c r="A100" s="21">
        <x:v>1197</x:v>
      </x:c>
      <x:c r="B100" s="22" t="s">
        <x:v>52</x:v>
      </x:c>
      <x:c r="C100" s="22" t="s">
        <x:v>89</x:v>
      </x:c>
      <x:c r="D100" s="22" t="s">
        <x:v>687</x:v>
      </x:c>
      <x:c r="E100" s="22" t="s">
        <x:v>688</x:v>
      </x:c>
      <x:c r="F100" s="22" t="s">
        <x:v>230</x:v>
      </x:c>
      <x:c r="G100" s="22">
        <x:v>15</x:v>
      </x:c>
      <x:c r="H100" s="23">
        <x:v>218998213</x:v>
      </x:c>
      <x:c r="I100" s="23">
        <x:v>237248064</x:v>
      </x:c>
      <x:c r="J100" s="23">
        <x:f>H100-I100</x:f>
      </x:c>
      <x:c r="K100" s="22">
        <x:v>1</x:v>
      </x:c>
      <x:c r="L100" s="24" t="s">
        <x:v>548</x:v>
      </x:c>
      <x:c r="M100" s="24"/>
      <x:c r="N100" s="27" t="s">
        <x:v>548</x:v>
      </x:c>
      <x:c r="O100" s="27"/>
      <x:c r="P100" s="26"/>
      <x:c r="Q100" s="27">
        <x:v>1</x:v>
      </x:c>
      <x:c r="R100" s="27"/>
      <x:c r="S100" s="22">
        <x:f>IF(N100="","تکمیل نشده",IF(N100="بدون تفصیلی (ثبت روی خود معین)","OK",IF(N100="ادغام با تفصیلی دیگر",IF(O100="","کلید مقصد خالی است",IF(IFERROR(MATCH(O100*1,$A:$A,0),0)=0,"کلید مقصد در این فهرست نیست",IF(O100*1=A100,"ادغام با خودش","OK"))),IF(Q100="","سطح شناور خالی است",IF(AND(FALSE,OR(Q100=1,Q100=2)),"سطح ۱ و ۲ این معین مال فعالیت و مرکز هزینه است","OK")))))</x:f>
      </x:c>
      <x:c r="T100" s="28"/>
    </x:row>
    <x:row r="101" spans="1:20">
      <x:c r="A101" s="21">
        <x:v>1199</x:v>
      </x:c>
      <x:c r="B101" s="22" t="s">
        <x:v>52</x:v>
      </x:c>
      <x:c r="C101" s="22" t="s">
        <x:v>89</x:v>
      </x:c>
      <x:c r="D101" s="22" t="s">
        <x:v>662</x:v>
      </x:c>
      <x:c r="E101" s="22" t="s">
        <x:v>689</x:v>
      </x:c>
      <x:c r="F101" s="22" t="s">
        <x:v>230</x:v>
      </x:c>
      <x:c r="G101" s="22">
        <x:v>2</x:v>
      </x:c>
      <x:c r="H101" s="23">
        <x:v>225455748</x:v>
      </x:c>
      <x:c r="I101" s="23">
        <x:v>225455748</x:v>
      </x:c>
      <x:c r="J101" s="23">
        <x:f>H101-I101</x:f>
      </x:c>
      <x:c r="K101" s="22">
        <x:v>1</x:v>
      </x:c>
      <x:c r="L101" s="24" t="s">
        <x:v>548</x:v>
      </x:c>
      <x:c r="M101" s="24"/>
      <x:c r="N101" s="27" t="s">
        <x:v>548</x:v>
      </x:c>
      <x:c r="O101" s="27"/>
      <x:c r="P101" s="26"/>
      <x:c r="Q101" s="27">
        <x:v>1</x:v>
      </x:c>
      <x:c r="R101" s="27"/>
      <x:c r="S101" s="22">
        <x:f>IF(N101="","تکمیل نشده",IF(N101="بدون تفصیلی (ثبت روی خود معین)","OK",IF(N101="ادغام با تفصیلی دیگر",IF(O101="","کلید مقصد خالی است",IF(IFERROR(MATCH(O101*1,$A:$A,0),0)=0,"کلید مقصد در این فهرست نیست",IF(O101*1=A101,"ادغام با خودش","OK"))),IF(Q101="","سطح شناور خالی است",IF(AND(FALSE,OR(Q101=1,Q101=2)),"سطح ۱ و ۲ این معین مال فعالیت و مرکز هزینه است","OK")))))</x:f>
      </x:c>
      <x:c r="T101" s="28"/>
    </x:row>
    <x:row r="102" spans="1:20">
      <x:c r="A102" s="21">
        <x:v>1200</x:v>
      </x:c>
      <x:c r="B102" s="22" t="s">
        <x:v>52</x:v>
      </x:c>
      <x:c r="C102" s="22" t="s">
        <x:v>89</x:v>
      </x:c>
      <x:c r="D102" s="22" t="s">
        <x:v>690</x:v>
      </x:c>
      <x:c r="E102" s="22" t="s">
        <x:v>691</x:v>
      </x:c>
      <x:c r="F102" s="22" t="s">
        <x:v>230</x:v>
      </x:c>
      <x:c r="G102" s="22">
        <x:v>4</x:v>
      </x:c>
      <x:c r="H102" s="23">
        <x:v>30119206</x:v>
      </x:c>
      <x:c r="I102" s="23">
        <x:v>30119206</x:v>
      </x:c>
      <x:c r="J102" s="23">
        <x:f>H102-I102</x:f>
      </x:c>
      <x:c r="K102" s="22">
        <x:v>1</x:v>
      </x:c>
      <x:c r="L102" s="24" t="s">
        <x:v>548</x:v>
      </x:c>
      <x:c r="M102" s="24"/>
      <x:c r="N102" s="27" t="s">
        <x:v>548</x:v>
      </x:c>
      <x:c r="O102" s="27"/>
      <x:c r="P102" s="26"/>
      <x:c r="Q102" s="27">
        <x:v>1</x:v>
      </x:c>
      <x:c r="R102" s="27"/>
      <x:c r="S102" s="22">
        <x:f>IF(N102="","تکمیل نشده",IF(N102="بدون تفصیلی (ثبت روی خود معین)","OK",IF(N102="ادغام با تفصیلی دیگر",IF(O102="","کلید مقصد خالی است",IF(IFERROR(MATCH(O102*1,$A:$A,0),0)=0,"کلید مقصد در این فهرست نیست",IF(O102*1=A102,"ادغام با خودش","OK"))),IF(Q102="","سطح شناور خالی است",IF(AND(FALSE,OR(Q102=1,Q102=2)),"سطح ۱ و ۲ این معین مال فعالیت و مرکز هزینه است","OK")))))</x:f>
      </x:c>
      <x:c r="T102" s="28"/>
    </x:row>
    <x:row r="103" spans="1:20">
      <x:c r="A103" s="21">
        <x:v>1201</x:v>
      </x:c>
      <x:c r="B103" s="22" t="s">
        <x:v>52</x:v>
      </x:c>
      <x:c r="C103" s="22" t="s">
        <x:v>89</x:v>
      </x:c>
      <x:c r="D103" s="22" t="s">
        <x:v>692</x:v>
      </x:c>
      <x:c r="E103" s="22" t="s">
        <x:v>693</x:v>
      </x:c>
      <x:c r="F103" s="22" t="s">
        <x:v>230</x:v>
      </x:c>
      <x:c r="G103" s="22">
        <x:v>4</x:v>
      </x:c>
      <x:c r="H103" s="23">
        <x:v>86054873</x:v>
      </x:c>
      <x:c r="I103" s="23">
        <x:v>86054873</x:v>
      </x:c>
      <x:c r="J103" s="23">
        <x:f>H103-I103</x:f>
      </x:c>
      <x:c r="K103" s="22">
        <x:v>1</x:v>
      </x:c>
      <x:c r="L103" s="24" t="s">
        <x:v>548</x:v>
      </x:c>
      <x:c r="M103" s="24"/>
      <x:c r="N103" s="27" t="s">
        <x:v>548</x:v>
      </x:c>
      <x:c r="O103" s="27"/>
      <x:c r="P103" s="26"/>
      <x:c r="Q103" s="27">
        <x:v>1</x:v>
      </x:c>
      <x:c r="R103" s="27"/>
      <x:c r="S103" s="22">
        <x:f>IF(N103="","تکمیل نشده",IF(N103="بدون تفصیلی (ثبت روی خود معین)","OK",IF(N103="ادغام با تفصیلی دیگر",IF(O103="","کلید مقصد خالی است",IF(IFERROR(MATCH(O103*1,$A:$A,0),0)=0,"کلید مقصد در این فهرست نیست",IF(O103*1=A103,"ادغام با خودش","OK"))),IF(Q103="","سطح شناور خالی است",IF(AND(FALSE,OR(Q103=1,Q103=2)),"سطح ۱ و ۲ این معین مال فعالیت و مرکز هزینه است","OK")))))</x:f>
      </x:c>
      <x:c r="T103" s="28"/>
    </x:row>
    <x:row r="104" spans="1:20">
      <x:c r="A104" s="21">
        <x:v>1205</x:v>
      </x:c>
      <x:c r="B104" s="22" t="s">
        <x:v>52</x:v>
      </x:c>
      <x:c r="C104" s="22" t="s">
        <x:v>104</x:v>
      </x:c>
      <x:c r="D104" s="22" t="s">
        <x:v>644</x:v>
      </x:c>
      <x:c r="E104" s="22" t="s">
        <x:v>694</x:v>
      </x:c>
      <x:c r="F104" s="22" t="s">
        <x:v>231</x:v>
      </x:c>
      <x:c r="G104" s="22">
        <x:v>6</x:v>
      </x:c>
      <x:c r="H104" s="23">
        <x:v>249120</x:v>
      </x:c>
      <x:c r="I104" s="23">
        <x:v>1245600</x:v>
      </x:c>
      <x:c r="J104" s="23">
        <x:f>H104-I104</x:f>
      </x:c>
      <x:c r="K104" s="22">
        <x:v>1</x:v>
      </x:c>
      <x:c r="L104" s="24" t="s">
        <x:v>548</x:v>
      </x:c>
      <x:c r="M104" s="24"/>
      <x:c r="N104" s="27" t="s">
        <x:v>548</x:v>
      </x:c>
      <x:c r="O104" s="27"/>
      <x:c r="P104" s="26"/>
      <x:c r="Q104" s="27">
        <x:v>1</x:v>
      </x:c>
      <x:c r="R104" s="27"/>
      <x:c r="S104" s="22">
        <x:f>IF(N104="","تکمیل نشده",IF(N104="بدون تفصیلی (ثبت روی خود معین)","OK",IF(N104="ادغام با تفصیلی دیگر",IF(O104="","کلید مقصد خالی است",IF(IFERROR(MATCH(O104*1,$A:$A,0),0)=0,"کلید مقصد در این فهرست نیست",IF(O104*1=A104,"ادغام با خودش","OK"))),IF(Q104="","سطح شناور خالی است",IF(AND(FALSE,OR(Q104=1,Q104=2)),"سطح ۱ و ۲ این معین مال فعالیت و مرکز هزینه است","OK")))))</x:f>
      </x:c>
      <x:c r="T104" s="28"/>
    </x:row>
    <x:row r="105" spans="1:20">
      <x:c r="A105" s="21">
        <x:v>11102</x:v>
      </x:c>
      <x:c r="B105" s="22" t="s">
        <x:v>52</x:v>
      </x:c>
      <x:c r="C105" s="22" t="s">
        <x:v>162</x:v>
      </x:c>
      <x:c r="D105" s="22" t="s">
        <x:v>544</x:v>
      </x:c>
      <x:c r="E105" s="22" t="s">
        <x:v>232</x:v>
      </x:c>
      <x:c r="F105" s="22" t="s">
        <x:v>232</x:v>
      </x:c>
      <x:c r="G105" s="22">
        <x:v>300</x:v>
      </x:c>
      <x:c r="H105" s="23">
        <x:v>32948310413</x:v>
      </x:c>
      <x:c r="I105" s="23">
        <x:v>0</x:v>
      </x:c>
      <x:c r="J105" s="23">
        <x:f>H105-I105</x:f>
      </x:c>
      <x:c r="K105" s="22">
        <x:v>1</x:v>
      </x:c>
      <x:c r="L105" s="24" t="s">
        <x:v>545</x:v>
      </x:c>
      <x:c r="M105" s="24"/>
      <x:c r="N105" s="27" t="s">
        <x:v>545</x:v>
      </x:c>
      <x:c r="O105" s="27"/>
      <x:c r="P105" s="26"/>
      <x:c r="Q105" s="27"/>
      <x:c r="R105" s="27"/>
      <x:c r="S105" s="22">
        <x:f>IF(N105="","تکمیل نشده",IF(N105="بدون تفصیلی (ثبت روی خود معین)","OK",IF(N105="ادغام با تفصیلی دیگر",IF(O105="","کلید مقصد خالی است",IF(IFERROR(MATCH(O105*1,$A:$A,0),0)=0,"کلید مقصد در این فهرست نیست",IF(O105*1=A105,"ادغام با خودش","OK"))),IF(Q105="","سطح شناور خالی است",IF(AND(FALSE,OR(Q105=1,Q105=2)),"سطح ۱ و ۲ این معین مال فعالیت و مرکز هزینه است","OK")))))</x:f>
      </x:c>
      <x:c r="T105" s="28"/>
    </x:row>
    <x:row r="106" spans="1:20">
      <x:c r="A106" s="21">
        <x:v>1220</x:v>
      </x:c>
      <x:c r="B106" s="22" t="s">
        <x:v>59</x:v>
      </x:c>
      <x:c r="C106" s="22" t="s">
        <x:v>202</x:v>
      </x:c>
      <x:c r="D106" s="22" t="s">
        <x:v>553</x:v>
      </x:c>
      <x:c r="E106" s="22" t="s">
        <x:v>655</x:v>
      </x:c>
      <x:c r="F106" s="22" t="s">
        <x:v>233</x:v>
      </x:c>
      <x:c r="G106" s="22">
        <x:v>23</x:v>
      </x:c>
      <x:c r="H106" s="23">
        <x:v>500000000</x:v>
      </x:c>
      <x:c r="I106" s="23">
        <x:v>550000000</x:v>
      </x:c>
      <x:c r="J106" s="23">
        <x:f>H106-I106</x:f>
      </x:c>
      <x:c r="K106" s="22">
        <x:v>5</x:v>
      </x:c>
      <x:c r="L106" s="24" t="s">
        <x:v>550</x:v>
      </x:c>
      <x:c r="M106" s="24">
        <x:v>563</x:v>
      </x:c>
      <x:c r="N106" s="27" t="s">
        <x:v>550</x:v>
      </x:c>
      <x:c r="O106" s="27">
        <x:v>563</x:v>
      </x:c>
      <x:c r="P106" s="26"/>
      <x:c r="Q106" s="27">
        <x:v>1</x:v>
      </x:c>
      <x:c r="R106" s="27"/>
      <x:c r="S106" s="22">
        <x:f>IF(N106="","تکمیل نشده",IF(N106="بدون تفصیلی (ثبت روی خود معین)","OK",IF(N106="ادغام با تفصیلی دیگر",IF(O106="","کلید مقصد خالی است",IF(IFERROR(MATCH(O106*1,$A:$A,0),0)=0,"کلید مقصد در این فهرست نیست",IF(O106*1=A106,"ادغام با خودش","OK"))),IF(Q106="","سطح شناور خالی است",IF(AND(FALSE,OR(Q106=1,Q106=2)),"سطح ۱ و ۲ این معین مال فعالیت و مرکز هزینه است","OK")))))</x:f>
      </x:c>
      <x:c r="T106" s="28"/>
    </x:row>
    <x:row r="107" spans="1:20">
      <x:c r="A107" s="21">
        <x:v>1235</x:v>
      </x:c>
      <x:c r="B107" s="22" t="s">
        <x:v>63</x:v>
      </x:c>
      <x:c r="C107" s="22" t="s">
        <x:v>14</x:v>
      </x:c>
      <x:c r="D107" s="22" t="s">
        <x:v>695</x:v>
      </x:c>
      <x:c r="E107" s="22" t="s">
        <x:v>696</x:v>
      </x:c>
      <x:c r="F107" s="22" t="s">
        <x:v>234</x:v>
      </x:c>
      <x:c r="G107" s="22">
        <x:v>433</x:v>
      </x:c>
      <x:c r="H107" s="23">
        <x:v>1403809200</x:v>
      </x:c>
      <x:c r="I107" s="23">
        <x:v>1403809200</x:v>
      </x:c>
      <x:c r="J107" s="23">
        <x:f>H107-I107</x:f>
      </x:c>
      <x:c r="K107" s="22">
        <x:v>1</x:v>
      </x:c>
      <x:c r="L107" s="24" t="s">
        <x:v>548</x:v>
      </x:c>
      <x:c r="M107" s="24"/>
      <x:c r="N107" s="27" t="s">
        <x:v>548</x:v>
      </x:c>
      <x:c r="O107" s="27"/>
      <x:c r="P107" s="26"/>
      <x:c r="Q107" s="27">
        <x:v>3</x:v>
      </x:c>
      <x:c r="R107" s="27"/>
      <x:c r="S107" s="22">
        <x:f>IF(N107="","تکمیل نشده",IF(N107="بدون تفصیلی (ثبت روی خود معین)","OK",IF(N107="ادغام با تفصیلی دیگر",IF(O107="","کلید مقصد خالی است",IF(IFERROR(MATCH(O107*1,$A:$A,0),0)=0,"کلید مقصد در این فهرست نیست",IF(O107*1=A107,"ادغام با خودش","OK"))),IF(Q107="","سطح شناور خالی است",IF(AND(TRUE,OR(Q107=1,Q107=2)),"سطح ۱ و ۲ این معین مال فعالیت و مرکز هزینه است","OK")))))</x:f>
      </x:c>
      <x:c r="T107" s="28"/>
    </x:row>
    <x:row r="108" spans="1:20">
      <x:c r="A108" s="21">
        <x:v>1240</x:v>
      </x:c>
      <x:c r="B108" s="22" t="s">
        <x:v>63</x:v>
      </x:c>
      <x:c r="C108" s="22" t="s">
        <x:v>197</x:v>
      </x:c>
      <x:c r="D108" s="22" t="s">
        <x:v>695</x:v>
      </x:c>
      <x:c r="E108" s="22" t="s">
        <x:v>697</x:v>
      </x:c>
      <x:c r="F108" s="22" t="s">
        <x:v>235</x:v>
      </x:c>
      <x:c r="G108" s="22">
        <x:v>632</x:v>
      </x:c>
      <x:c r="H108" s="23">
        <x:v>156791549953</x:v>
      </x:c>
      <x:c r="I108" s="23">
        <x:v>168772213423</x:v>
      </x:c>
      <x:c r="J108" s="23">
        <x:f>H108-I108</x:f>
      </x:c>
      <x:c r="K108" s="22">
        <x:v>1</x:v>
      </x:c>
      <x:c r="L108" s="24" t="s">
        <x:v>548</x:v>
      </x:c>
      <x:c r="M108" s="24"/>
      <x:c r="N108" s="27" t="s">
        <x:v>548</x:v>
      </x:c>
      <x:c r="O108" s="27"/>
      <x:c r="P108" s="26"/>
      <x:c r="Q108" s="27">
        <x:v>3</x:v>
      </x:c>
      <x:c r="R108" s="27"/>
      <x:c r="S108" s="22">
        <x:f>IF(N108="","تکمیل نشده",IF(N108="بدون تفصیلی (ثبت روی خود معین)","OK",IF(N108="ادغام با تفصیلی دیگر",IF(O108="","کلید مقصد خالی است",IF(IFERROR(MATCH(O108*1,$A:$A,0),0)=0,"کلید مقصد در این فهرست نیست",IF(O108*1=A108,"ادغام با خودش","OK"))),IF(Q108="","سطح شناور خالی است",IF(AND(TRUE,OR(Q108=1,Q108=2)),"سطح ۱ و ۲ این معین مال فعالیت و مرکز هزینه است","OK")))))</x:f>
      </x:c>
      <x:c r="T108" s="28"/>
    </x:row>
    <x:row r="109" spans="1:20">
      <x:c r="A109" s="21">
        <x:v>3777</x:v>
      </x:c>
      <x:c r="B109" s="22" t="s">
        <x:v>63</x:v>
      </x:c>
      <x:c r="C109" s="22" t="s">
        <x:v>200</x:v>
      </x:c>
      <x:c r="D109" s="22" t="s">
        <x:v>698</x:v>
      </x:c>
      <x:c r="E109" s="22" t="s">
        <x:v>236</x:v>
      </x:c>
      <x:c r="F109" s="22" t="s">
        <x:v>236</x:v>
      </x:c>
      <x:c r="G109" s="22">
        <x:v>6</x:v>
      </x:c>
      <x:c r="H109" s="23">
        <x:v>260000000</x:v>
      </x:c>
      <x:c r="I109" s="23">
        <x:v>252961890</x:v>
      </x:c>
      <x:c r="J109" s="23">
        <x:f>H109-I109</x:f>
      </x:c>
      <x:c r="K109" s="22">
        <x:v>1</x:v>
      </x:c>
      <x:c r="L109" s="24" t="s">
        <x:v>548</x:v>
      </x:c>
      <x:c r="M109" s="24"/>
      <x:c r="N109" s="27" t="s">
        <x:v>548</x:v>
      </x:c>
      <x:c r="O109" s="27"/>
      <x:c r="P109" s="26"/>
      <x:c r="Q109" s="27">
        <x:v>1</x:v>
      </x:c>
      <x:c r="R109" s="27"/>
      <x:c r="S109" s="22">
        <x:f>IF(N109="","تکمیل نشده",IF(N109="بدون تفصیلی (ثبت روی خود معین)","OK",IF(N109="ادغام با تفصیلی دیگر",IF(O109="","کلید مقصد خالی است",IF(IFERROR(MATCH(O109*1,$A:$A,0),0)=0,"کلید مقصد در این فهرست نیست",IF(O109*1=A109,"ادغام با خودش","OK"))),IF(Q109="","سطح شناور خالی است",IF(AND(FALSE,OR(Q109=1,Q109=2)),"سطح ۱ و ۲ این معین مال فعالیت و مرکز هزینه است","OK")))))</x:f>
      </x:c>
      <x:c r="T109" s="28"/>
    </x:row>
    <x:row r="110" spans="1:20">
      <x:c r="A110" s="21">
        <x:v>1255</x:v>
      </x:c>
      <x:c r="B110" s="22" t="s">
        <x:v>70</x:v>
      </x:c>
      <x:c r="C110" s="22" t="s">
        <x:v>237</x:v>
      </x:c>
      <x:c r="D110" s="22" t="s">
        <x:v>644</x:v>
      </x:c>
      <x:c r="E110" s="22" t="s">
        <x:v>699</x:v>
      </x:c>
      <x:c r="F110" s="22" t="s">
        <x:v>238</x:v>
      </x:c>
      <x:c r="G110" s="22">
        <x:v>56</x:v>
      </x:c>
      <x:c r="H110" s="23">
        <x:v>8930821268</x:v>
      </x:c>
      <x:c r="I110" s="23">
        <x:v>8189750143</x:v>
      </x:c>
      <x:c r="J110" s="23">
        <x:f>H110-I110</x:f>
      </x:c>
      <x:c r="K110" s="22">
        <x:v>1</x:v>
      </x:c>
      <x:c r="L110" s="24" t="s">
        <x:v>548</x:v>
      </x:c>
      <x:c r="M110" s="24"/>
      <x:c r="N110" s="27" t="s">
        <x:v>548</x:v>
      </x:c>
      <x:c r="O110" s="27"/>
      <x:c r="P110" s="26"/>
      <x:c r="Q110" s="27">
        <x:v>1</x:v>
      </x:c>
      <x:c r="R110" s="27"/>
      <x:c r="S110" s="22">
        <x:f>IF(N110="","تکمیل نشده",IF(N110="بدون تفصیلی (ثبت روی خود معین)","OK",IF(N110="ادغام با تفصیلی دیگر",IF(O110="","کلید مقصد خالی است",IF(IFERROR(MATCH(O110*1,$A:$A,0),0)=0,"کلید مقصد در این فهرست نیست",IF(O110*1=A110,"ادغام با خودش","OK"))),IF(Q110="","سطح شناور خالی است",IF(AND(FALSE,OR(Q110=1,Q110=2)),"سطح ۱ و ۲ این معین مال فعالیت و مرکز هزینه است","OK")))))</x:f>
      </x:c>
      <x:c r="T110" s="28"/>
    </x:row>
    <x:row r="111" spans="1:20">
      <x:c r="A111" s="21">
        <x:v>1265</x:v>
      </x:c>
      <x:c r="B111" s="22" t="s">
        <x:v>70</x:v>
      </x:c>
      <x:c r="C111" s="22" t="s">
        <x:v>239</x:v>
      </x:c>
      <x:c r="D111" s="22" t="s">
        <x:v>644</x:v>
      </x:c>
      <x:c r="E111" s="22" t="s">
        <x:v>700</x:v>
      </x:c>
      <x:c r="F111" s="22" t="s">
        <x:v>240</x:v>
      </x:c>
      <x:c r="G111" s="22">
        <x:v>38</x:v>
      </x:c>
      <x:c r="H111" s="23">
        <x:v>9908144083</x:v>
      </x:c>
      <x:c r="I111" s="23">
        <x:v>9161700930</x:v>
      </x:c>
      <x:c r="J111" s="23">
        <x:f>H111-I111</x:f>
      </x:c>
      <x:c r="K111" s="22">
        <x:v>1</x:v>
      </x:c>
      <x:c r="L111" s="24" t="s">
        <x:v>548</x:v>
      </x:c>
      <x:c r="M111" s="24"/>
      <x:c r="N111" s="27" t="s">
        <x:v>548</x:v>
      </x:c>
      <x:c r="O111" s="27"/>
      <x:c r="P111" s="26"/>
      <x:c r="Q111" s="27">
        <x:v>1</x:v>
      </x:c>
      <x:c r="R111" s="27"/>
      <x:c r="S111" s="22">
        <x:f>IF(N111="","تکمیل نشده",IF(N111="بدون تفصیلی (ثبت روی خود معین)","OK",IF(N111="ادغام با تفصیلی دیگر",IF(O111="","کلید مقصد خالی است",IF(IFERROR(MATCH(O111*1,$A:$A,0),0)=0,"کلید مقصد در این فهرست نیست",IF(O111*1=A111,"ادغام با خودش","OK"))),IF(Q111="","سطح شناور خالی است",IF(AND(FALSE,OR(Q111=1,Q111=2)),"سطح ۱ و ۲ این معین مال فعالیت و مرکز هزینه است","OK")))))</x:f>
      </x:c>
      <x:c r="T111" s="28"/>
    </x:row>
    <x:row r="112" spans="1:20">
      <x:c r="A112" s="21">
        <x:v>1353</x:v>
      </x:c>
      <x:c r="B112" s="22" t="s">
        <x:v>70</x:v>
      </x:c>
      <x:c r="C112" s="22" t="s">
        <x:v>202</x:v>
      </x:c>
      <x:c r="D112" s="22" t="s">
        <x:v>644</x:v>
      </x:c>
      <x:c r="E112" s="22" t="s">
        <x:v>241</x:v>
      </x:c>
      <x:c r="F112" s="22" t="s">
        <x:v>241</x:v>
      </x:c>
      <x:c r="G112" s="22">
        <x:v>50</x:v>
      </x:c>
      <x:c r="H112" s="23">
        <x:v>747293450</x:v>
      </x:c>
      <x:c r="I112" s="23">
        <x:v>657246050</x:v>
      </x:c>
      <x:c r="J112" s="23">
        <x:f>H112-I112</x:f>
      </x:c>
      <x:c r="K112" s="22">
        <x:v>1</x:v>
      </x:c>
      <x:c r="L112" s="24" t="s">
        <x:v>548</x:v>
      </x:c>
      <x:c r="M112" s="24"/>
      <x:c r="N112" s="27" t="s">
        <x:v>548</x:v>
      </x:c>
      <x:c r="O112" s="27"/>
      <x:c r="P112" s="26"/>
      <x:c r="Q112" s="27">
        <x:v>1</x:v>
      </x:c>
      <x:c r="R112" s="27"/>
      <x:c r="S112" s="22">
        <x:f>IF(N112="","تکمیل نشده",IF(N112="بدون تفصیلی (ثبت روی خود معین)","OK",IF(N112="ادغام با تفصیلی دیگر",IF(O112="","کلید مقصد خالی است",IF(IFERROR(MATCH(O112*1,$A:$A,0),0)=0,"کلید مقصد در این فهرست نیست",IF(O112*1=A112,"ادغام با خودش","OK"))),IF(Q112="","سطح شناور خالی است",IF(AND(FALSE,OR(Q112=1,Q112=2)),"سطح ۱ و ۲ این معین مال فعالیت و مرکز هزینه است","OK")))))</x:f>
      </x:c>
      <x:c r="T112" s="28"/>
    </x:row>
    <x:row r="113" spans="1:20">
      <x:c r="A113" s="21">
        <x:v>1356</x:v>
      </x:c>
      <x:c r="B113" s="22" t="s">
        <x:v>70</x:v>
      </x:c>
      <x:c r="C113" s="22" t="s">
        <x:v>18</x:v>
      </x:c>
      <x:c r="D113" s="22" t="s">
        <x:v>644</x:v>
      </x:c>
      <x:c r="E113" s="22" t="s">
        <x:v>701</x:v>
      </x:c>
      <x:c r="F113" s="22" t="s">
        <x:v>242</x:v>
      </x:c>
      <x:c r="G113" s="22">
        <x:v>42</x:v>
      </x:c>
      <x:c r="H113" s="23">
        <x:v>3644821751</x:v>
      </x:c>
      <x:c r="I113" s="23">
        <x:v>3360612779</x:v>
      </x:c>
      <x:c r="J113" s="23">
        <x:f>H113-I113</x:f>
      </x:c>
      <x:c r="K113" s="22">
        <x:v>1</x:v>
      </x:c>
      <x:c r="L113" s="24" t="s">
        <x:v>548</x:v>
      </x:c>
      <x:c r="M113" s="24"/>
      <x:c r="N113" s="27" t="s">
        <x:v>548</x:v>
      </x:c>
      <x:c r="O113" s="27"/>
      <x:c r="P113" s="26"/>
      <x:c r="Q113" s="27">
        <x:v>1</x:v>
      </x:c>
      <x:c r="R113" s="27"/>
      <x:c r="S113" s="22">
        <x:f>IF(N113="","تکمیل نشده",IF(N113="بدون تفصیلی (ثبت روی خود معین)","OK",IF(N113="ادغام با تفصیلی دیگر",IF(O113="","کلید مقصد خالی است",IF(IFERROR(MATCH(O113*1,$A:$A,0),0)=0,"کلید مقصد در این فهرست نیست",IF(O113*1=A113,"ادغام با خودش","OK"))),IF(Q113="","سطح شناور خالی است",IF(AND(FALSE,OR(Q113=1,Q113=2)),"سطح ۱ و ۲ این معین مال فعالیت و مرکز هزینه است","OK")))))</x:f>
      </x:c>
      <x:c r="T113" s="28"/>
    </x:row>
    <x:row r="114" spans="1:20">
      <x:c r="A114" s="21">
        <x:v>1361</x:v>
      </x:c>
      <x:c r="B114" s="22" t="s">
        <x:v>70</x:v>
      </x:c>
      <x:c r="C114" s="22" t="s">
        <x:v>24</x:v>
      </x:c>
      <x:c r="D114" s="22" t="s">
        <x:v>644</x:v>
      </x:c>
      <x:c r="E114" s="22" t="s">
        <x:v>702</x:v>
      </x:c>
      <x:c r="F114" s="22" t="s">
        <x:v>243</x:v>
      </x:c>
      <x:c r="G114" s="22">
        <x:v>4</x:v>
      </x:c>
      <x:c r="H114" s="23">
        <x:v>9138576</x:v>
      </x:c>
      <x:c r="I114" s="23">
        <x:v>9138576</x:v>
      </x:c>
      <x:c r="J114" s="23">
        <x:f>H114-I114</x:f>
      </x:c>
      <x:c r="K114" s="22">
        <x:v>1</x:v>
      </x:c>
      <x:c r="L114" s="24" t="s">
        <x:v>548</x:v>
      </x:c>
      <x:c r="M114" s="24"/>
      <x:c r="N114" s="27" t="s">
        <x:v>548</x:v>
      </x:c>
      <x:c r="O114" s="27"/>
      <x:c r="P114" s="26"/>
      <x:c r="Q114" s="27">
        <x:v>1</x:v>
      </x:c>
      <x:c r="R114" s="27"/>
      <x:c r="S114" s="22">
        <x:f>IF(N114="","تکمیل نشده",IF(N114="بدون تفصیلی (ثبت روی خود معین)","OK",IF(N114="ادغام با تفصیلی دیگر",IF(O114="","کلید مقصد خالی است",IF(IFERROR(MATCH(O114*1,$A:$A,0),0)=0,"کلید مقصد در این فهرست نیست",IF(O114*1=A114,"ادغام با خودش","OK"))),IF(Q114="","سطح شناور خالی است",IF(AND(FALSE,OR(Q114=1,Q114=2)),"سطح ۱ و ۲ این معین مال فعالیت و مرکز هزینه است","OK")))))</x:f>
      </x:c>
      <x:c r="T114" s="28"/>
    </x:row>
    <x:row r="115" spans="1:20">
      <x:c r="A115" s="21">
        <x:v>1364</x:v>
      </x:c>
      <x:c r="B115" s="22" t="s">
        <x:v>70</x:v>
      </x:c>
      <x:c r="C115" s="22" t="s">
        <x:v>27</x:v>
      </x:c>
      <x:c r="D115" s="22" t="s">
        <x:v>644</x:v>
      </x:c>
      <x:c r="E115" s="22" t="s">
        <x:v>703</x:v>
      </x:c>
      <x:c r="F115" s="22" t="s">
        <x:v>244</x:v>
      </x:c>
      <x:c r="G115" s="22">
        <x:v>57</x:v>
      </x:c>
      <x:c r="H115" s="23">
        <x:v>2168275824</x:v>
      </x:c>
      <x:c r="I115" s="23">
        <x:v>2139409824</x:v>
      </x:c>
      <x:c r="J115" s="23">
        <x:f>H115-I115</x:f>
      </x:c>
      <x:c r="K115" s="22">
        <x:v>1</x:v>
      </x:c>
      <x:c r="L115" s="24" t="s">
        <x:v>548</x:v>
      </x:c>
      <x:c r="M115" s="24"/>
      <x:c r="N115" s="27" t="s">
        <x:v>548</x:v>
      </x:c>
      <x:c r="O115" s="27"/>
      <x:c r="P115" s="26"/>
      <x:c r="Q115" s="27">
        <x:v>1</x:v>
      </x:c>
      <x:c r="R115" s="27"/>
      <x:c r="S115" s="22">
        <x:f>IF(N115="","تکمیل نشده",IF(N115="بدون تفصیلی (ثبت روی خود معین)","OK",IF(N115="ادغام با تفصیلی دیگر",IF(O115="","کلید مقصد خالی است",IF(IFERROR(MATCH(O115*1,$A:$A,0),0)=0,"کلید مقصد در این فهرست نیست",IF(O115*1=A115,"ادغام با خودش","OK"))),IF(Q115="","سطح شناور خالی است",IF(AND(FALSE,OR(Q115=1,Q115=2)),"سطح ۱ و ۲ این معین مال فعالیت و مرکز هزینه است","OK")))))</x:f>
      </x:c>
      <x:c r="T115" s="28"/>
    </x:row>
    <x:row r="116" spans="1:20">
      <x:c r="A116" s="21">
        <x:v>1373</x:v>
      </x:c>
      <x:c r="B116" s="22" t="s">
        <x:v>70</x:v>
      </x:c>
      <x:c r="C116" s="22" t="s">
        <x:v>245</x:v>
      </x:c>
      <x:c r="D116" s="22" t="s">
        <x:v>553</x:v>
      </x:c>
      <x:c r="E116" s="22" t="s">
        <x:v>704</x:v>
      </x:c>
      <x:c r="F116" s="22" t="s">
        <x:v>246</x:v>
      </x:c>
      <x:c r="G116" s="22">
        <x:v>6</x:v>
      </x:c>
      <x:c r="H116" s="23">
        <x:v>4140000</x:v>
      </x:c>
      <x:c r="I116" s="23">
        <x:v>1150000</x:v>
      </x:c>
      <x:c r="J116" s="23">
        <x:f>H116-I116</x:f>
      </x:c>
      <x:c r="K116" s="22">
        <x:v>2</x:v>
      </x:c>
      <x:c r="L116" s="24" t="s">
        <x:v>548</x:v>
      </x:c>
      <x:c r="M116" s="24"/>
      <x:c r="N116" s="27" t="s">
        <x:v>548</x:v>
      </x:c>
      <x:c r="O116" s="27"/>
      <x:c r="P116" s="26"/>
      <x:c r="Q116" s="27">
        <x:v>1</x:v>
      </x:c>
      <x:c r="R116" s="27"/>
      <x:c r="S116" s="22">
        <x:f>IF(N116="","تکمیل نشده",IF(N116="بدون تفصیلی (ثبت روی خود معین)","OK",IF(N116="ادغام با تفصیلی دیگر",IF(O116="","کلید مقصد خالی است",IF(IFERROR(MATCH(O116*1,$A:$A,0),0)=0,"کلید مقصد در این فهرست نیست",IF(O116*1=A116,"ادغام با خودش","OK"))),IF(Q116="","سطح شناور خالی است",IF(AND(FALSE,OR(Q116=1,Q116=2)),"سطح ۱ و ۲ این معین مال فعالیت و مرکز هزینه است","OK")))))</x:f>
      </x:c>
      <x:c r="T116" s="28"/>
    </x:row>
    <x:row r="117" spans="1:20">
      <x:c r="A117" s="21">
        <x:v>1374</x:v>
      </x:c>
      <x:c r="B117" s="22" t="s">
        <x:v>70</x:v>
      </x:c>
      <x:c r="C117" s="22" t="s">
        <x:v>245</x:v>
      </x:c>
      <x:c r="D117" s="22" t="s">
        <x:v>705</x:v>
      </x:c>
      <x:c r="E117" s="22" t="s">
        <x:v>706</x:v>
      </x:c>
      <x:c r="F117" s="22" t="s">
        <x:v>246</x:v>
      </x:c>
      <x:c r="G117" s="22">
        <x:v>5</x:v>
      </x:c>
      <x:c r="H117" s="23">
        <x:v>25102000</x:v>
      </x:c>
      <x:c r="I117" s="23">
        <x:v>6275500</x:v>
      </x:c>
      <x:c r="J117" s="23">
        <x:f>H117-I117</x:f>
      </x:c>
      <x:c r="K117" s="22">
        <x:v>2</x:v>
      </x:c>
      <x:c r="L117" s="24" t="s">
        <x:v>548</x:v>
      </x:c>
      <x:c r="M117" s="24"/>
      <x:c r="N117" s="27" t="s">
        <x:v>548</x:v>
      </x:c>
      <x:c r="O117" s="27"/>
      <x:c r="P117" s="26"/>
      <x:c r="Q117" s="27">
        <x:v>1</x:v>
      </x:c>
      <x:c r="R117" s="27"/>
      <x:c r="S117" s="22">
        <x:f>IF(N117="","تکمیل نشده",IF(N117="بدون تفصیلی (ثبت روی خود معین)","OK",IF(N117="ادغام با تفصیلی دیگر",IF(O117="","کلید مقصد خالی است",IF(IFERROR(MATCH(O117*1,$A:$A,0),0)=0,"کلید مقصد در این فهرست نیست",IF(O117*1=A117,"ادغام با خودش","OK"))),IF(Q117="","سطح شناور خالی است",IF(AND(FALSE,OR(Q117=1,Q117=2)),"سطح ۱ و ۲ این معین مال فعالیت و مرکز هزینه است","OK")))))</x:f>
      </x:c>
      <x:c r="T117" s="28"/>
    </x:row>
    <x:row r="118" spans="1:20">
      <x:c r="A118" s="21">
        <x:v>1377</x:v>
      </x:c>
      <x:c r="B118" s="22" t="s">
        <x:v>70</x:v>
      </x:c>
      <x:c r="C118" s="22" t="s">
        <x:v>245</x:v>
      </x:c>
      <x:c r="D118" s="22" t="s">
        <x:v>650</x:v>
      </x:c>
      <x:c r="E118" s="22" t="s">
        <x:v>707</x:v>
      </x:c>
      <x:c r="F118" s="22" t="s">
        <x:v>246</x:v>
      </x:c>
      <x:c r="G118" s="22">
        <x:v>19</x:v>
      </x:c>
      <x:c r="H118" s="23">
        <x:v>100627500</x:v>
      </x:c>
      <x:c r="I118" s="23">
        <x:v>56545500</x:v>
      </x:c>
      <x:c r="J118" s="23">
        <x:f>H118-I118</x:f>
      </x:c>
      <x:c r="K118" s="22">
        <x:v>2</x:v>
      </x:c>
      <x:c r="L118" s="24" t="s">
        <x:v>548</x:v>
      </x:c>
      <x:c r="M118" s="24"/>
      <x:c r="N118" s="27" t="s">
        <x:v>548</x:v>
      </x:c>
      <x:c r="O118" s="27"/>
      <x:c r="P118" s="26"/>
      <x:c r="Q118" s="27">
        <x:v>1</x:v>
      </x:c>
      <x:c r="R118" s="27"/>
      <x:c r="S118" s="22">
        <x:f>IF(N118="","تکمیل نشده",IF(N118="بدون تفصیلی (ثبت روی خود معین)","OK",IF(N118="ادغام با تفصیلی دیگر",IF(O118="","کلید مقصد خالی است",IF(IFERROR(MATCH(O118*1,$A:$A,0),0)=0,"کلید مقصد در این فهرست نیست",IF(O118*1=A118,"ادغام با خودش","OK"))),IF(Q118="","سطح شناور خالی است",IF(AND(FALSE,OR(Q118=1,Q118=2)),"سطح ۱ و ۲ این معین مال فعالیت و مرکز هزینه است","OK")))))</x:f>
      </x:c>
      <x:c r="T118" s="28"/>
    </x:row>
    <x:row r="119" spans="1:20">
      <x:c r="A119" s="21">
        <x:v>3840</x:v>
      </x:c>
      <x:c r="B119" s="22" t="s">
        <x:v>70</x:v>
      </x:c>
      <x:c r="C119" s="22" t="s">
        <x:v>245</x:v>
      </x:c>
      <x:c r="D119" s="22" t="s">
        <x:v>652</x:v>
      </x:c>
      <x:c r="E119" s="22" t="s">
        <x:v>708</x:v>
      </x:c>
      <x:c r="F119" s="22" t="s">
        <x:v>246</x:v>
      </x:c>
      <x:c r="G119" s="22">
        <x:v>1</x:v>
      </x:c>
      <x:c r="H119" s="23">
        <x:v>0</x:v>
      </x:c>
      <x:c r="I119" s="23">
        <x:v>65500000</x:v>
      </x:c>
      <x:c r="J119" s="23">
        <x:f>H119-I119</x:f>
      </x:c>
      <x:c r="K119" s="22">
        <x:v>2</x:v>
      </x:c>
      <x:c r="L119" s="24" t="s">
        <x:v>548</x:v>
      </x:c>
      <x:c r="M119" s="24"/>
      <x:c r="N119" s="27" t="s">
        <x:v>548</x:v>
      </x:c>
      <x:c r="O119" s="27"/>
      <x:c r="P119" s="26"/>
      <x:c r="Q119" s="27">
        <x:v>1</x:v>
      </x:c>
      <x:c r="R119" s="27"/>
      <x:c r="S119" s="22">
        <x:f>IF(N119="","تکمیل نشده",IF(N119="بدون تفصیلی (ثبت روی خود معین)","OK",IF(N119="ادغام با تفصیلی دیگر",IF(O119="","کلید مقصد خالی است",IF(IFERROR(MATCH(O119*1,$A:$A,0),0)=0,"کلید مقصد در این فهرست نیست",IF(O119*1=A119,"ادغام با خودش","OK"))),IF(Q119="","سطح شناور خالی است",IF(AND(FALSE,OR(Q119=1,Q119=2)),"سطح ۱ و ۲ این معین مال فعالیت و مرکز هزینه است","OK")))))</x:f>
      </x:c>
      <x:c r="T119" s="28"/>
    </x:row>
    <x:row r="120" spans="1:20">
      <x:c r="A120" s="21">
        <x:v>3844</x:v>
      </x:c>
      <x:c r="B120" s="22" t="s">
        <x:v>70</x:v>
      </x:c>
      <x:c r="C120" s="22" t="s">
        <x:v>245</x:v>
      </x:c>
      <x:c r="D120" s="22" t="s">
        <x:v>654</x:v>
      </x:c>
      <x:c r="E120" s="22" t="s">
        <x:v>709</x:v>
      </x:c>
      <x:c r="F120" s="22" t="s">
        <x:v>246</x:v>
      </x:c>
      <x:c r="G120" s="22">
        <x:v>1</x:v>
      </x:c>
      <x:c r="H120" s="23">
        <x:v>0</x:v>
      </x:c>
      <x:c r="I120" s="23">
        <x:v>41500000</x:v>
      </x:c>
      <x:c r="J120" s="23">
        <x:f>H120-I120</x:f>
      </x:c>
      <x:c r="K120" s="22">
        <x:v>3</x:v>
      </x:c>
      <x:c r="L120" s="24" t="s">
        <x:v>548</x:v>
      </x:c>
      <x:c r="M120" s="24"/>
      <x:c r="N120" s="27" t="s">
        <x:v>548</x:v>
      </x:c>
      <x:c r="O120" s="27"/>
      <x:c r="P120" s="26"/>
      <x:c r="Q120" s="27">
        <x:v>1</x:v>
      </x:c>
      <x:c r="R120" s="27"/>
      <x:c r="S120" s="22">
        <x:f>IF(N120="","تکمیل نشده",IF(N120="بدون تفصیلی (ثبت روی خود معین)","OK",IF(N120="ادغام با تفصیلی دیگر",IF(O120="","کلید مقصد خالی است",IF(IFERROR(MATCH(O120*1,$A:$A,0),0)=0,"کلید مقصد در این فهرست نیست",IF(O120*1=A120,"ادغام با خودش","OK"))),IF(Q120="","سطح شناور خالی است",IF(AND(FALSE,OR(Q120=1,Q120=2)),"سطح ۱ و ۲ این معین مال فعالیت و مرکز هزینه است","OK")))))</x:f>
      </x:c>
      <x:c r="T120" s="28"/>
    </x:row>
    <x:row r="121" spans="1:20">
      <x:c r="A121" s="21">
        <x:v>1396</x:v>
      </x:c>
      <x:c r="B121" s="22" t="s">
        <x:v>70</x:v>
      </x:c>
      <x:c r="C121" s="22" t="s">
        <x:v>245</x:v>
      </x:c>
      <x:c r="D121" s="22" t="s">
        <x:v>710</x:v>
      </x:c>
      <x:c r="E121" s="22" t="s">
        <x:v>403</x:v>
      </x:c>
      <x:c r="F121" s="22" t="s">
        <x:v>246</x:v>
      </x:c>
      <x:c r="G121" s="22">
        <x:v>17</x:v>
      </x:c>
      <x:c r="H121" s="23">
        <x:v>38513220</x:v>
      </x:c>
      <x:c r="I121" s="23">
        <x:v>173994405</x:v>
      </x:c>
      <x:c r="J121" s="23">
        <x:f>H121-I121</x:f>
      </x:c>
      <x:c r="K121" s="22">
        <x:v>3</x:v>
      </x:c>
      <x:c r="L121" s="24" t="s">
        <x:v>548</x:v>
      </x:c>
      <x:c r="M121" s="24"/>
      <x:c r="N121" s="27" t="s">
        <x:v>548</x:v>
      </x:c>
      <x:c r="O121" s="27"/>
      <x:c r="P121" s="26"/>
      <x:c r="Q121" s="27">
        <x:v>1</x:v>
      </x:c>
      <x:c r="R121" s="27"/>
      <x:c r="S121" s="22">
        <x:f>IF(N121="","تکمیل نشده",IF(N121="بدون تفصیلی (ثبت روی خود معین)","OK",IF(N121="ادغام با تفصیلی دیگر",IF(O121="","کلید مقصد خالی است",IF(IFERROR(MATCH(O121*1,$A:$A,0),0)=0,"کلید مقصد در این فهرست نیست",IF(O121*1=A121,"ادغام با خودش","OK"))),IF(Q121="","سطح شناور خالی است",IF(AND(FALSE,OR(Q121=1,Q121=2)),"سطح ۱ و ۲ این معین مال فعالیت و مرکز هزینه است","OK")))))</x:f>
      </x:c>
      <x:c r="T121" s="28"/>
    </x:row>
    <x:row r="122" spans="1:20">
      <x:c r="A122" s="21">
        <x:v>1417</x:v>
      </x:c>
      <x:c r="B122" s="22" t="s">
        <x:v>70</x:v>
      </x:c>
      <x:c r="C122" s="22" t="s">
        <x:v>245</x:v>
      </x:c>
      <x:c r="D122" s="22" t="s">
        <x:v>711</x:v>
      </x:c>
      <x:c r="E122" s="22" t="s">
        <x:v>712</x:v>
      </x:c>
      <x:c r="F122" s="22" t="s">
        <x:v>246</x:v>
      </x:c>
      <x:c r="G122" s="22">
        <x:v>24</x:v>
      </x:c>
      <x:c r="H122" s="23">
        <x:v>140718085</x:v>
      </x:c>
      <x:c r="I122" s="23">
        <x:v>115789410</x:v>
      </x:c>
      <x:c r="J122" s="23">
        <x:f>H122-I122</x:f>
      </x:c>
      <x:c r="K122" s="22">
        <x:v>2</x:v>
      </x:c>
      <x:c r="L122" s="24" t="s">
        <x:v>548</x:v>
      </x:c>
      <x:c r="M122" s="24"/>
      <x:c r="N122" s="27" t="s">
        <x:v>548</x:v>
      </x:c>
      <x:c r="O122" s="27"/>
      <x:c r="P122" s="26"/>
      <x:c r="Q122" s="27">
        <x:v>1</x:v>
      </x:c>
      <x:c r="R122" s="27"/>
      <x:c r="S122" s="22">
        <x:f>IF(N122="","تکمیل نشده",IF(N122="بدون تفصیلی (ثبت روی خود معین)","OK",IF(N122="ادغام با تفصیلی دیگر",IF(O122="","کلید مقصد خالی است",IF(IFERROR(MATCH(O122*1,$A:$A,0),0)=0,"کلید مقصد در این فهرست نیست",IF(O122*1=A122,"ادغام با خودش","OK"))),IF(Q122="","سطح شناور خالی است",IF(AND(FALSE,OR(Q122=1,Q122=2)),"سطح ۱ و ۲ این معین مال فعالیت و مرکز هزینه است","OK")))))</x:f>
      </x:c>
      <x:c r="T122" s="28"/>
    </x:row>
    <x:row r="123" spans="1:20">
      <x:c r="A123" s="21">
        <x:v>1428</x:v>
      </x:c>
      <x:c r="B123" s="22" t="s">
        <x:v>70</x:v>
      </x:c>
      <x:c r="C123" s="22" t="s">
        <x:v>247</x:v>
      </x:c>
      <x:c r="D123" s="22" t="s">
        <x:v>553</x:v>
      </x:c>
      <x:c r="E123" s="22" t="s">
        <x:v>704</x:v>
      </x:c>
      <x:c r="F123" s="22" t="s">
        <x:v>248</x:v>
      </x:c>
      <x:c r="G123" s="22">
        <x:v>16</x:v>
      </x:c>
      <x:c r="H123" s="23">
        <x:v>8280000</x:v>
      </x:c>
      <x:c r="I123" s="23">
        <x:v>62660000</x:v>
      </x:c>
      <x:c r="J123" s="23">
        <x:f>H123-I123</x:f>
      </x:c>
      <x:c r="K123" s="22">
        <x:v>2</x:v>
      </x:c>
      <x:c r="L123" s="24" t="s">
        <x:v>550</x:v>
      </x:c>
      <x:c r="M123" s="24">
        <x:v>1373</x:v>
      </x:c>
      <x:c r="N123" s="27" t="s">
        <x:v>550</x:v>
      </x:c>
      <x:c r="O123" s="27">
        <x:v>1373</x:v>
      </x:c>
      <x:c r="P123" s="26"/>
      <x:c r="Q123" s="27">
        <x:v>1</x:v>
      </x:c>
      <x:c r="R123" s="27"/>
      <x:c r="S123" s="22">
        <x:f>IF(N123="","تکمیل نشده",IF(N123="بدون تفصیلی (ثبت روی خود معین)","OK",IF(N123="ادغام با تفصیلی دیگر",IF(O123="","کلید مقصد خالی است",IF(IFERROR(MATCH(O123*1,$A:$A,0),0)=0,"کلید مقصد در این فهرست نیست",IF(O123*1=A123,"ادغام با خودش","OK"))),IF(Q123="","سطح شناور خالی است",IF(AND(FALSE,OR(Q123=1,Q123=2)),"سطح ۱ و ۲ این معین مال فعالیت و مرکز هزینه است","OK")))))</x:f>
      </x:c>
      <x:c r="T123" s="28"/>
    </x:row>
    <x:row r="124" spans="1:20">
      <x:c r="A124" s="21">
        <x:v>1429</x:v>
      </x:c>
      <x:c r="B124" s="22" t="s">
        <x:v>70</x:v>
      </x:c>
      <x:c r="C124" s="22" t="s">
        <x:v>247</x:v>
      </x:c>
      <x:c r="D124" s="22" t="s">
        <x:v>705</x:v>
      </x:c>
      <x:c r="E124" s="22" t="s">
        <x:v>706</x:v>
      </x:c>
      <x:c r="F124" s="22" t="s">
        <x:v>248</x:v>
      </x:c>
      <x:c r="G124" s="22">
        <x:v>5</x:v>
      </x:c>
      <x:c r="H124" s="23">
        <x:v>50204000</x:v>
      </x:c>
      <x:c r="I124" s="23">
        <x:v>12551000</x:v>
      </x:c>
      <x:c r="J124" s="23">
        <x:f>H124-I124</x:f>
      </x:c>
      <x:c r="K124" s="22">
        <x:v>2</x:v>
      </x:c>
      <x:c r="L124" s="24" t="s">
        <x:v>550</x:v>
      </x:c>
      <x:c r="M124" s="24">
        <x:v>1374</x:v>
      </x:c>
      <x:c r="N124" s="27" t="s">
        <x:v>550</x:v>
      </x:c>
      <x:c r="O124" s="27">
        <x:v>1374</x:v>
      </x:c>
      <x:c r="P124" s="26"/>
      <x:c r="Q124" s="27">
        <x:v>1</x:v>
      </x:c>
      <x:c r="R124" s="27"/>
      <x:c r="S124" s="22">
        <x:f>IF(N124="","تکمیل نشده",IF(N124="بدون تفصیلی (ثبت روی خود معین)","OK",IF(N124="ادغام با تفصیلی دیگر",IF(O124="","کلید مقصد خالی است",IF(IFERROR(MATCH(O124*1,$A:$A,0),0)=0,"کلید مقصد در این فهرست نیست",IF(O124*1=A124,"ادغام با خودش","OK"))),IF(Q124="","سطح شناور خالی است",IF(AND(FALSE,OR(Q124=1,Q124=2)),"سطح ۱ و ۲ این معین مال فعالیت و مرکز هزینه است","OK")))))</x:f>
      </x:c>
      <x:c r="T124" s="28"/>
    </x:row>
    <x:row r="125" spans="1:20">
      <x:c r="A125" s="21">
        <x:v>1432</x:v>
      </x:c>
      <x:c r="B125" s="22" t="s">
        <x:v>70</x:v>
      </x:c>
      <x:c r="C125" s="22" t="s">
        <x:v>247</x:v>
      </x:c>
      <x:c r="D125" s="22" t="s">
        <x:v>650</x:v>
      </x:c>
      <x:c r="E125" s="22" t="s">
        <x:v>713</x:v>
      </x:c>
      <x:c r="F125" s="22" t="s">
        <x:v>248</x:v>
      </x:c>
      <x:c r="G125" s="22">
        <x:v>9</x:v>
      </x:c>
      <x:c r="H125" s="23">
        <x:v>201255000</x:v>
      </x:c>
      <x:c r="I125" s="23">
        <x:v>52731000</x:v>
      </x:c>
      <x:c r="J125" s="23">
        <x:f>H125-I125</x:f>
      </x:c>
      <x:c r="K125" s="22">
        <x:v>2</x:v>
      </x:c>
      <x:c r="L125" s="24" t="s">
        <x:v>550</x:v>
      </x:c>
      <x:c r="M125" s="24">
        <x:v>1377</x:v>
      </x:c>
      <x:c r="N125" s="27" t="s">
        <x:v>550</x:v>
      </x:c>
      <x:c r="O125" s="27">
        <x:v>1377</x:v>
      </x:c>
      <x:c r="P125" s="26"/>
      <x:c r="Q125" s="27">
        <x:v>1</x:v>
      </x:c>
      <x:c r="R125" s="27"/>
      <x:c r="S125" s="22">
        <x:f>IF(N125="","تکمیل نشده",IF(N125="بدون تفصیلی (ثبت روی خود معین)","OK",IF(N125="ادغام با تفصیلی دیگر",IF(O125="","کلید مقصد خالی است",IF(IFERROR(MATCH(O125*1,$A:$A,0),0)=0,"کلید مقصد در این فهرست نیست",IF(O125*1=A125,"ادغام با خودش","OK"))),IF(Q125="","سطح شناور خالی است",IF(AND(FALSE,OR(Q125=1,Q125=2)),"سطح ۱ و ۲ این معین مال فعالیت و مرکز هزینه است","OK")))))</x:f>
      </x:c>
      <x:c r="T125" s="28"/>
    </x:row>
    <x:row r="126" spans="1:20">
      <x:c r="A126" s="21">
        <x:v>3839</x:v>
      </x:c>
      <x:c r="B126" s="22" t="s">
        <x:v>70</x:v>
      </x:c>
      <x:c r="C126" s="22" t="s">
        <x:v>247</x:v>
      </x:c>
      <x:c r="D126" s="22" t="s">
        <x:v>652</x:v>
      </x:c>
      <x:c r="E126" s="22" t="s">
        <x:v>708</x:v>
      </x:c>
      <x:c r="F126" s="22" t="s">
        <x:v>248</x:v>
      </x:c>
      <x:c r="G126" s="22">
        <x:v>2</x:v>
      </x:c>
      <x:c r="H126" s="23">
        <x:v>0</x:v>
      </x:c>
      <x:c r="I126" s="23">
        <x:v>196500000</x:v>
      </x:c>
      <x:c r="J126" s="23">
        <x:f>H126-I126</x:f>
      </x:c>
      <x:c r="K126" s="22">
        <x:v>2</x:v>
      </x:c>
      <x:c r="L126" s="24" t="s">
        <x:v>550</x:v>
      </x:c>
      <x:c r="M126" s="24">
        <x:v>3840</x:v>
      </x:c>
      <x:c r="N126" s="27" t="s">
        <x:v>550</x:v>
      </x:c>
      <x:c r="O126" s="27">
        <x:v>3840</x:v>
      </x:c>
      <x:c r="P126" s="26"/>
      <x:c r="Q126" s="27">
        <x:v>1</x:v>
      </x:c>
      <x:c r="R126" s="27"/>
      <x:c r="S126" s="22">
        <x:f>IF(N126="","تکمیل نشده",IF(N126="بدون تفصیلی (ثبت روی خود معین)","OK",IF(N126="ادغام با تفصیلی دیگر",IF(O126="","کلید مقصد خالی است",IF(IFERROR(MATCH(O126*1,$A:$A,0),0)=0,"کلید مقصد در این فهرست نیست",IF(O126*1=A126,"ادغام با خودش","OK"))),IF(Q126="","سطح شناور خالی است",IF(AND(FALSE,OR(Q126=1,Q126=2)),"سطح ۱ و ۲ این معین مال فعالیت و مرکز هزینه است","OK")))))</x:f>
      </x:c>
      <x:c r="T126" s="28"/>
    </x:row>
    <x:row r="127" spans="1:20">
      <x:c r="A127" s="21">
        <x:v>3843</x:v>
      </x:c>
      <x:c r="B127" s="22" t="s">
        <x:v>70</x:v>
      </x:c>
      <x:c r="C127" s="22" t="s">
        <x:v>247</x:v>
      </x:c>
      <x:c r="D127" s="22" t="s">
        <x:v>654</x:v>
      </x:c>
      <x:c r="E127" s="22" t="s">
        <x:v>709</x:v>
      </x:c>
      <x:c r="F127" s="22" t="s">
        <x:v>248</x:v>
      </x:c>
      <x:c r="G127" s="22">
        <x:v>2</x:v>
      </x:c>
      <x:c r="H127" s="23">
        <x:v>0</x:v>
      </x:c>
      <x:c r="I127" s="23">
        <x:v>124500000</x:v>
      </x:c>
      <x:c r="J127" s="23">
        <x:f>H127-I127</x:f>
      </x:c>
      <x:c r="K127" s="22">
        <x:v>3</x:v>
      </x:c>
      <x:c r="L127" s="24" t="s">
        <x:v>550</x:v>
      </x:c>
      <x:c r="M127" s="24">
        <x:v>3844</x:v>
      </x:c>
      <x:c r="N127" s="27" t="s">
        <x:v>550</x:v>
      </x:c>
      <x:c r="O127" s="27">
        <x:v>3844</x:v>
      </x:c>
      <x:c r="P127" s="26"/>
      <x:c r="Q127" s="27">
        <x:v>1</x:v>
      </x:c>
      <x:c r="R127" s="27"/>
      <x:c r="S127" s="22">
        <x:f>IF(N127="","تکمیل نشده",IF(N127="بدون تفصیلی (ثبت روی خود معین)","OK",IF(N127="ادغام با تفصیلی دیگر",IF(O127="","کلید مقصد خالی است",IF(IFERROR(MATCH(O127*1,$A:$A,0),0)=0,"کلید مقصد در این فهرست نیست",IF(O127*1=A127,"ادغام با خودش","OK"))),IF(Q127="","سطح شناور خالی است",IF(AND(FALSE,OR(Q127=1,Q127=2)),"سطح ۱ و ۲ این معین مال فعالیت و مرکز هزینه است","OK")))))</x:f>
      </x:c>
      <x:c r="T127" s="28"/>
    </x:row>
    <x:row r="128" spans="1:20">
      <x:c r="A128" s="21">
        <x:v>1435</x:v>
      </x:c>
      <x:c r="B128" s="22" t="s">
        <x:v>70</x:v>
      </x:c>
      <x:c r="C128" s="22" t="s">
        <x:v>247</x:v>
      </x:c>
      <x:c r="D128" s="22" t="s">
        <x:v>714</x:v>
      </x:c>
      <x:c r="E128" s="22" t="s">
        <x:v>715</x:v>
      </x:c>
      <x:c r="F128" s="22" t="s">
        <x:v>248</x:v>
      </x:c>
      <x:c r="G128" s="22">
        <x:v>4</x:v>
      </x:c>
      <x:c r="H128" s="23">
        <x:v>0</x:v>
      </x:c>
      <x:c r="I128" s="23">
        <x:v>2373039</x:v>
      </x:c>
      <x:c r="J128" s="23">
        <x:f>H128-I128</x:f>
      </x:c>
      <x:c r="K128" s="22">
        <x:v>1</x:v>
      </x:c>
      <x:c r="L128" s="24" t="s">
        <x:v>548</x:v>
      </x:c>
      <x:c r="M128" s="24"/>
      <x:c r="N128" s="27" t="s">
        <x:v>548</x:v>
      </x:c>
      <x:c r="O128" s="27"/>
      <x:c r="P128" s="26"/>
      <x:c r="Q128" s="27">
        <x:v>1</x:v>
      </x:c>
      <x:c r="R128" s="27"/>
      <x:c r="S128" s="22">
        <x:f>IF(N128="","تکمیل نشده",IF(N128="بدون تفصیلی (ثبت روی خود معین)","OK",IF(N128="ادغام با تفصیلی دیگر",IF(O128="","کلید مقصد خالی است",IF(IFERROR(MATCH(O128*1,$A:$A,0),0)=0,"کلید مقصد در این فهرست نیست",IF(O128*1=A128,"ادغام با خودش","OK"))),IF(Q128="","سطح شناور خالی است",IF(AND(FALSE,OR(Q128=1,Q128=2)),"سطح ۱ و ۲ این معین مال فعالیت و مرکز هزینه است","OK")))))</x:f>
      </x:c>
      <x:c r="T128" s="28"/>
    </x:row>
    <x:row r="129" spans="1:20">
      <x:c r="A129" s="21">
        <x:v>1476</x:v>
      </x:c>
      <x:c r="B129" s="22" t="s">
        <x:v>70</x:v>
      </x:c>
      <x:c r="C129" s="22" t="s">
        <x:v>247</x:v>
      </x:c>
      <x:c r="D129" s="22" t="s">
        <x:v>711</x:v>
      </x:c>
      <x:c r="E129" s="22" t="s">
        <x:v>712</x:v>
      </x:c>
      <x:c r="F129" s="22" t="s">
        <x:v>248</x:v>
      </x:c>
      <x:c r="G129" s="22">
        <x:v>24</x:v>
      </x:c>
      <x:c r="H129" s="23">
        <x:v>281157630</x:v>
      </x:c>
      <x:c r="I129" s="23">
        <x:v>231467803</x:v>
      </x:c>
      <x:c r="J129" s="23">
        <x:f>H129-I129</x:f>
      </x:c>
      <x:c r="K129" s="22">
        <x:v>2</x:v>
      </x:c>
      <x:c r="L129" s="24" t="s">
        <x:v>550</x:v>
      </x:c>
      <x:c r="M129" s="24">
        <x:v>1417</x:v>
      </x:c>
      <x:c r="N129" s="27" t="s">
        <x:v>550</x:v>
      </x:c>
      <x:c r="O129" s="27">
        <x:v>1417</x:v>
      </x:c>
      <x:c r="P129" s="26"/>
      <x:c r="Q129" s="27">
        <x:v>1</x:v>
      </x:c>
      <x:c r="R129" s="27"/>
      <x:c r="S129" s="22">
        <x:f>IF(N129="","تکمیل نشده",IF(N129="بدون تفصیلی (ثبت روی خود معین)","OK",IF(N129="ادغام با تفصیلی دیگر",IF(O129="","کلید مقصد خالی است",IF(IFERROR(MATCH(O129*1,$A:$A,0),0)=0,"کلید مقصد در این فهرست نیست",IF(O129*1=A129,"ادغام با خودش","OK"))),IF(Q129="","سطح شناور خالی است",IF(AND(FALSE,OR(Q129=1,Q129=2)),"سطح ۱ و ۲ این معین مال فعالیت و مرکز هزینه است","OK")))))</x:f>
      </x:c>
      <x:c r="T129" s="28"/>
    </x:row>
    <x:row r="130" spans="1:20">
      <x:c r="A130" s="21">
        <x:v>1489</x:v>
      </x:c>
      <x:c r="B130" s="22" t="s">
        <x:v>70</x:v>
      </x:c>
      <x:c r="C130" s="22" t="s">
        <x:v>34</x:v>
      </x:c>
      <x:c r="D130" s="22" t="s">
        <x:v>644</x:v>
      </x:c>
      <x:c r="E130" s="22" t="s">
        <x:v>716</x:v>
      </x:c>
      <x:c r="F130" s="22" t="s">
        <x:v>249</x:v>
      </x:c>
      <x:c r="G130" s="22">
        <x:v>4</x:v>
      </x:c>
      <x:c r="H130" s="23">
        <x:v>30375840</x:v>
      </x:c>
      <x:c r="I130" s="23">
        <x:v>30375840</x:v>
      </x:c>
      <x:c r="J130" s="23">
        <x:f>H130-I130</x:f>
      </x:c>
      <x:c r="K130" s="22">
        <x:v>1</x:v>
      </x:c>
      <x:c r="L130" s="24" t="s">
        <x:v>548</x:v>
      </x:c>
      <x:c r="M130" s="24"/>
      <x:c r="N130" s="27" t="s">
        <x:v>548</x:v>
      </x:c>
      <x:c r="O130" s="27"/>
      <x:c r="P130" s="26"/>
      <x:c r="Q130" s="27">
        <x:v>1</x:v>
      </x:c>
      <x:c r="R130" s="27"/>
      <x:c r="S130" s="22">
        <x:f>IF(N130="","تکمیل نشده",IF(N130="بدون تفصیلی (ثبت روی خود معین)","OK",IF(N130="ادغام با تفصیلی دیگر",IF(O130="","کلید مقصد خالی است",IF(IFERROR(MATCH(O130*1,$A:$A,0),0)=0,"کلید مقصد در این فهرست نیست",IF(O130*1=A130,"ادغام با خودش","OK"))),IF(Q130="","سطح شناور خالی است",IF(AND(FALSE,OR(Q130=1,Q130=2)),"سطح ۱ و ۲ این معین مال فعالیت و مرکز هزینه است","OK")))))</x:f>
      </x:c>
      <x:c r="T130" s="28"/>
    </x:row>
    <x:row r="131" spans="1:20">
      <x:c r="A131" s="21">
        <x:v>1506</x:v>
      </x:c>
      <x:c r="B131" s="22" t="s">
        <x:v>70</x:v>
      </x:c>
      <x:c r="C131" s="22" t="s">
        <x:v>49</x:v>
      </x:c>
      <x:c r="D131" s="22" t="s">
        <x:v>544</x:v>
      </x:c>
      <x:c r="E131" s="22" t="s">
        <x:v>250</x:v>
      </x:c>
      <x:c r="F131" s="22" t="s">
        <x:v>250</x:v>
      </x:c>
      <x:c r="G131" s="22">
        <x:v>108</x:v>
      </x:c>
      <x:c r="H131" s="23">
        <x:v>23967732809</x:v>
      </x:c>
      <x:c r="I131" s="23">
        <x:v>19481042406</x:v>
      </x:c>
      <x:c r="J131" s="23">
        <x:f>H131-I131</x:f>
      </x:c>
      <x:c r="K131" s="22">
        <x:v>1</x:v>
      </x:c>
      <x:c r="L131" s="24" t="s">
        <x:v>545</x:v>
      </x:c>
      <x:c r="M131" s="24"/>
      <x:c r="N131" s="27" t="s">
        <x:v>545</x:v>
      </x:c>
      <x:c r="O131" s="27"/>
      <x:c r="P131" s="26"/>
      <x:c r="Q131" s="27"/>
      <x:c r="R131" s="27"/>
      <x:c r="S131" s="22">
        <x:f>IF(N131="","تکمیل نشده",IF(N131="بدون تفصیلی (ثبت روی خود معین)","OK",IF(N131="ادغام با تفصیلی دیگر",IF(O131="","کلید مقصد خالی است",IF(IFERROR(MATCH(O131*1,$A:$A,0),0)=0,"کلید مقصد در این فهرست نیست",IF(O131*1=A131,"ادغام با خودش","OK"))),IF(Q131="","سطح شناور خالی است",IF(AND(FALSE,OR(Q131=1,Q131=2)),"سطح ۱ و ۲ این معین مال فعالیت و مرکز هزینه است","OK")))))</x:f>
      </x:c>
      <x:c r="T131" s="28"/>
    </x:row>
    <x:row r="132" spans="1:20">
      <x:c r="A132" s="21">
        <x:v>11200</x:v>
      </x:c>
      <x:c r="B132" s="22" t="s">
        <x:v>70</x:v>
      </x:c>
      <x:c r="C132" s="22" t="s">
        <x:v>207</x:v>
      </x:c>
      <x:c r="D132" s="22" t="s">
        <x:v>544</x:v>
      </x:c>
      <x:c r="E132" s="22" t="s">
        <x:v>251</x:v>
      </x:c>
      <x:c r="F132" s="22" t="s">
        <x:v>251</x:v>
      </x:c>
      <x:c r="G132" s="22">
        <x:v>4</x:v>
      </x:c>
      <x:c r="H132" s="23">
        <x:v>15563993500</x:v>
      </x:c>
      <x:c r="I132" s="23">
        <x:v>3000</x:v>
      </x:c>
      <x:c r="J132" s="23">
        <x:f>H132-I132</x:f>
      </x:c>
      <x:c r="K132" s="22">
        <x:v>1</x:v>
      </x:c>
      <x:c r="L132" s="24" t="s">
        <x:v>545</x:v>
      </x:c>
      <x:c r="M132" s="24"/>
      <x:c r="N132" s="27" t="s">
        <x:v>545</x:v>
      </x:c>
      <x:c r="O132" s="27"/>
      <x:c r="P132" s="26"/>
      <x:c r="Q132" s="27"/>
      <x:c r="R132" s="27"/>
      <x:c r="S132" s="22">
        <x:f>IF(N132="","تکمیل نشده",IF(N132="بدون تفصیلی (ثبت روی خود معین)","OK",IF(N132="ادغام با تفصیلی دیگر",IF(O132="","کلید مقصد خالی است",IF(IFERROR(MATCH(O132*1,$A:$A,0),0)=0,"کلید مقصد در این فهرست نیست",IF(O132*1=A132,"ادغام با خودش","OK"))),IF(Q132="","سطح شناور خالی است",IF(AND(FALSE,OR(Q132=1,Q132=2)),"سطح ۱ و ۲ این معین مال فعالیت و مرکز هزینه است","OK")))))</x:f>
      </x:c>
      <x:c r="T132" s="28"/>
    </x:row>
    <x:row r="133" spans="1:20">
      <x:c r="A133" s="21">
        <x:v>1527</x:v>
      </x:c>
      <x:c r="B133" s="22" t="s">
        <x:v>70</x:v>
      </x:c>
      <x:c r="C133" s="22" t="s">
        <x:v>227</x:v>
      </x:c>
      <x:c r="D133" s="22" t="s">
        <x:v>717</x:v>
      </x:c>
      <x:c r="E133" s="22" t="s">
        <x:v>252</x:v>
      </x:c>
      <x:c r="F133" s="22" t="s">
        <x:v>252</x:v>
      </x:c>
      <x:c r="G133" s="22">
        <x:v>1</x:v>
      </x:c>
      <x:c r="H133" s="23">
        <x:v>0</x:v>
      </x:c>
      <x:c r="I133" s="23">
        <x:v>4732650</x:v>
      </x:c>
      <x:c r="J133" s="23">
        <x:f>H133-I133</x:f>
      </x:c>
      <x:c r="K133" s="22">
        <x:v>2</x:v>
      </x:c>
      <x:c r="L133" s="24" t="s">
        <x:v>548</x:v>
      </x:c>
      <x:c r="M133" s="24"/>
      <x:c r="N133" s="27" t="s">
        <x:v>548</x:v>
      </x:c>
      <x:c r="O133" s="27"/>
      <x:c r="P133" s="26"/>
      <x:c r="Q133" s="27">
        <x:v>1</x:v>
      </x:c>
      <x:c r="R133" s="27"/>
      <x:c r="S133" s="22">
        <x:f>IF(N133="","تکمیل نشده",IF(N133="بدون تفصیلی (ثبت روی خود معین)","OK",IF(N133="ادغام با تفصیلی دیگر",IF(O133="","کلید مقصد خالی است",IF(IFERROR(MATCH(O133*1,$A:$A,0),0)=0,"کلید مقصد در این فهرست نیست",IF(O133*1=A133,"ادغام با خودش","OK"))),IF(Q133="","سطح شناور خالی است",IF(AND(FALSE,OR(Q133=1,Q133=2)),"سطح ۱ و ۲ این معین مال فعالیت و مرکز هزینه است","OK")))))</x:f>
      </x:c>
      <x:c r="T133" s="28"/>
    </x:row>
    <x:row r="134" spans="1:20">
      <x:c r="A134" s="21">
        <x:v>1528</x:v>
      </x:c>
      <x:c r="B134" s="22" t="s">
        <x:v>70</x:v>
      </x:c>
      <x:c r="C134" s="22" t="s">
        <x:v>227</x:v>
      </x:c>
      <x:c r="D134" s="22" t="s">
        <x:v>718</x:v>
      </x:c>
      <x:c r="E134" s="22" t="s">
        <x:v>252</x:v>
      </x:c>
      <x:c r="F134" s="22" t="s">
        <x:v>252</x:v>
      </x:c>
      <x:c r="G134" s="22">
        <x:v>5</x:v>
      </x:c>
      <x:c r="H134" s="23">
        <x:v>73944000</x:v>
      </x:c>
      <x:c r="I134" s="23">
        <x:v>18486000</x:v>
      </x:c>
      <x:c r="J134" s="23">
        <x:f>H134-I134</x:f>
      </x:c>
      <x:c r="K134" s="22">
        <x:v>2</x:v>
      </x:c>
      <x:c r="L134" s="24" t="s">
        <x:v>550</x:v>
      </x:c>
      <x:c r="M134" s="24">
        <x:v>1527</x:v>
      </x:c>
      <x:c r="N134" s="27" t="s">
        <x:v>550</x:v>
      </x:c>
      <x:c r="O134" s="27">
        <x:v>1527</x:v>
      </x:c>
      <x:c r="P134" s="26"/>
      <x:c r="Q134" s="27">
        <x:v>1</x:v>
      </x:c>
      <x:c r="R134" s="27"/>
      <x:c r="S134" s="22">
        <x:f>IF(N134="","تکمیل نشده",IF(N134="بدون تفصیلی (ثبت روی خود معین)","OK",IF(N134="ادغام با تفصیلی دیگر",IF(O134="","کلید مقصد خالی است",IF(IFERROR(MATCH(O134*1,$A:$A,0),0)=0,"کلید مقصد در این فهرست نیست",IF(O134*1=A134,"ادغام با خودش","OK"))),IF(Q134="","سطح شناور خالی است",IF(AND(FALSE,OR(Q134=1,Q134=2)),"سطح ۱ و ۲ این معین مال فعالیت و مرکز هزینه است","OK")))))</x:f>
      </x:c>
      <x:c r="T134" s="28"/>
    </x:row>
    <x:row r="135" spans="1:20">
      <x:c r="A135" s="21">
        <x:v>1529</x:v>
      </x:c>
      <x:c r="B135" s="22" t="s">
        <x:v>70</x:v>
      </x:c>
      <x:c r="C135" s="22" t="s">
        <x:v>227</x:v>
      </x:c>
      <x:c r="D135" s="22" t="s">
        <x:v>719</x:v>
      </x:c>
      <x:c r="E135" s="22" t="s">
        <x:v>720</x:v>
      </x:c>
      <x:c r="F135" s="22" t="s">
        <x:v>252</x:v>
      </x:c>
      <x:c r="G135" s="22">
        <x:v>9</x:v>
      </x:c>
      <x:c r="H135" s="23">
        <x:v>39820500</x:v>
      </x:c>
      <x:c r="I135" s="23">
        <x:v>15612975</x:v>
      </x:c>
      <x:c r="J135" s="23">
        <x:f>H135-I135</x:f>
      </x:c>
      <x:c r="K135" s="22">
        <x:v>1</x:v>
      </x:c>
      <x:c r="L135" s="24" t="s">
        <x:v>548</x:v>
      </x:c>
      <x:c r="M135" s="24"/>
      <x:c r="N135" s="27" t="s">
        <x:v>548</x:v>
      </x:c>
      <x:c r="O135" s="27"/>
      <x:c r="P135" s="26"/>
      <x:c r="Q135" s="27">
        <x:v>1</x:v>
      </x:c>
      <x:c r="R135" s="27"/>
      <x:c r="S135" s="22">
        <x:f>IF(N135="","تکمیل نشده",IF(N135="بدون تفصیلی (ثبت روی خود معین)","OK",IF(N135="ادغام با تفصیلی دیگر",IF(O135="","کلید مقصد خالی است",IF(IFERROR(MATCH(O135*1,$A:$A,0),0)=0,"کلید مقصد در این فهرست نیست",IF(O135*1=A135,"ادغام با خودش","OK"))),IF(Q135="","سطح شناور خالی است",IF(AND(FALSE,OR(Q135=1,Q135=2)),"سطح ۱ و ۲ این معین مال فعالیت و مرکز هزینه است","OK")))))</x:f>
      </x:c>
      <x:c r="T135" s="28"/>
    </x:row>
    <x:row r="136" spans="1:20">
      <x:c r="A136" s="21">
        <x:v>1531</x:v>
      </x:c>
      <x:c r="B136" s="22" t="s">
        <x:v>70</x:v>
      </x:c>
      <x:c r="C136" s="22" t="s">
        <x:v>209</x:v>
      </x:c>
      <x:c r="D136" s="22" t="s">
        <x:v>544</x:v>
      </x:c>
      <x:c r="E136" s="22" t="s">
        <x:v>721</x:v>
      </x:c>
      <x:c r="F136" s="22" t="s">
        <x:v>229</x:v>
      </x:c>
      <x:c r="G136" s="22">
        <x:v>1</x:v>
      </x:c>
      <x:c r="H136" s="23">
        <x:v>100000</x:v>
      </x:c>
      <x:c r="I136" s="23">
        <x:v>0</x:v>
      </x:c>
      <x:c r="J136" s="23">
        <x:f>H136-I136</x:f>
      </x:c>
      <x:c r="K136" s="22">
        <x:v>2</x:v>
      </x:c>
      <x:c r="L136" s="24" t="s">
        <x:v>545</x:v>
      </x:c>
      <x:c r="M136" s="24"/>
      <x:c r="N136" s="27" t="s">
        <x:v>545</x:v>
      </x:c>
      <x:c r="O136" s="27"/>
      <x:c r="P136" s="26"/>
      <x:c r="Q136" s="27"/>
      <x:c r="R136" s="27"/>
      <x:c r="S136" s="22">
        <x:f>IF(N136="","تکمیل نشده",IF(N136="بدون تفصیلی (ثبت روی خود معین)","OK",IF(N136="ادغام با تفصیلی دیگر",IF(O136="","کلید مقصد خالی است",IF(IFERROR(MATCH(O136*1,$A:$A,0),0)=0,"کلید مقصد در این فهرست نیست",IF(O136*1=A136,"ادغام با خودش","OK"))),IF(Q136="","سطح شناور خالی است",IF(AND(FALSE,OR(Q136=1,Q136=2)),"سطح ۱ و ۲ این معین مال فعالیت و مرکز هزینه است","OK")))))</x:f>
      </x:c>
      <x:c r="T136" s="28"/>
    </x:row>
    <x:row r="137" spans="1:20">
      <x:c r="A137" s="21">
        <x:v>1532</x:v>
      </x:c>
      <x:c r="B137" s="22" t="s">
        <x:v>70</x:v>
      </x:c>
      <x:c r="C137" s="22" t="s">
        <x:v>209</x:v>
      </x:c>
      <x:c r="D137" s="22" t="s">
        <x:v>644</x:v>
      </x:c>
      <x:c r="E137" s="22" t="s">
        <x:v>229</x:v>
      </x:c>
      <x:c r="F137" s="22" t="s">
        <x:v>229</x:v>
      </x:c>
      <x:c r="G137" s="22">
        <x:v>4</x:v>
      </x:c>
      <x:c r="H137" s="23">
        <x:v>40001000</x:v>
      </x:c>
      <x:c r="I137" s="23">
        <x:v>500</x:v>
      </x:c>
      <x:c r="J137" s="23">
        <x:f>H137-I137</x:f>
      </x:c>
      <x:c r="K137" s="22">
        <x:v>2</x:v>
      </x:c>
      <x:c r="L137" s="24" t="s">
        <x:v>550</x:v>
      </x:c>
      <x:c r="M137" s="24">
        <x:v>1531</x:v>
      </x:c>
      <x:c r="N137" s="27" t="s">
        <x:v>550</x:v>
      </x:c>
      <x:c r="O137" s="27">
        <x:v>1531</x:v>
      </x:c>
      <x:c r="P137" s="26"/>
      <x:c r="Q137" s="27">
        <x:v>1</x:v>
      </x:c>
      <x:c r="R137" s="27"/>
      <x:c r="S137" s="22">
        <x:f>IF(N137="","تکمیل نشده",IF(N137="بدون تفصیلی (ثبت روی خود معین)","OK",IF(N137="ادغام با تفصیلی دیگر",IF(O137="","کلید مقصد خالی است",IF(IFERROR(MATCH(O137*1,$A:$A,0),0)=0,"کلید مقصد در این فهرست نیست",IF(O137*1=A137,"ادغام با خودش","OK"))),IF(Q137="","سطح شناور خالی است",IF(AND(FALSE,OR(Q137=1,Q137=2)),"سطح ۱ و ۲ این معین مال فعالیت و مرکز هزینه است","OK")))))</x:f>
      </x:c>
      <x:c r="T137" s="28"/>
    </x:row>
    <x:row r="138" spans="1:20">
      <x:c r="A138" s="21">
        <x:v>1533</x:v>
      </x:c>
      <x:c r="B138" s="22" t="s">
        <x:v>70</x:v>
      </x:c>
      <x:c r="C138" s="22" t="s">
        <x:v>209</x:v>
      </x:c>
      <x:c r="D138" s="22" t="s">
        <x:v>553</x:v>
      </x:c>
      <x:c r="E138" s="22" t="s">
        <x:v>647</x:v>
      </x:c>
      <x:c r="F138" s="22" t="s">
        <x:v>229</x:v>
      </x:c>
      <x:c r="G138" s="22">
        <x:v>1</x:v>
      </x:c>
      <x:c r="H138" s="23">
        <x:v>0</x:v>
      </x:c>
      <x:c r="I138" s="23">
        <x:v>40000000</x:v>
      </x:c>
      <x:c r="J138" s="23">
        <x:f>H138-I138</x:f>
      </x:c>
      <x:c r="K138" s="22">
        <x:v>2</x:v>
      </x:c>
      <x:c r="L138" s="24" t="s">
        <x:v>550</x:v>
      </x:c>
      <x:c r="M138" s="24">
        <x:v>559</x:v>
      </x:c>
      <x:c r="N138" s="27" t="s">
        <x:v>550</x:v>
      </x:c>
      <x:c r="O138" s="27">
        <x:v>559</x:v>
      </x:c>
      <x:c r="P138" s="26"/>
      <x:c r="Q138" s="27">
        <x:v>1</x:v>
      </x:c>
      <x:c r="R138" s="27"/>
      <x:c r="S138" s="22">
        <x:f>IF(N138="","تکمیل نشده",IF(N138="بدون تفصیلی (ثبت روی خود معین)","OK",IF(N138="ادغام با تفصیلی دیگر",IF(O138="","کلید مقصد خالی است",IF(IFERROR(MATCH(O138*1,$A:$A,0),0)=0,"کلید مقصد در این فهرست نیست",IF(O138*1=A138,"ادغام با خودش","OK"))),IF(Q138="","سطح شناور خالی است",IF(AND(FALSE,OR(Q138=1,Q138=2)),"سطح ۱ و ۲ این معین مال فعالیت و مرکز هزینه است","OK")))))</x:f>
      </x:c>
      <x:c r="T138" s="28"/>
    </x:row>
    <x:row r="139" spans="1:20">
      <x:c r="A139" s="21">
        <x:v>1534</x:v>
      </x:c>
      <x:c r="B139" s="22" t="s">
        <x:v>70</x:v>
      </x:c>
      <x:c r="C139" s="22" t="s">
        <x:v>209</x:v>
      </x:c>
      <x:c r="D139" s="22" t="s">
        <x:v>705</x:v>
      </x:c>
      <x:c r="E139" s="22" t="s">
        <x:v>722</x:v>
      </x:c>
      <x:c r="F139" s="22" t="s">
        <x:v>229</x:v>
      </x:c>
      <x:c r="G139" s="22">
        <x:v>4</x:v>
      </x:c>
      <x:c r="H139" s="23">
        <x:v>10040</x:v>
      </x:c>
      <x:c r="I139" s="23">
        <x:v>1000</x:v>
      </x:c>
      <x:c r="J139" s="23">
        <x:f>H139-I139</x:f>
      </x:c>
      <x:c r="K139" s="22">
        <x:v>3</x:v>
      </x:c>
      <x:c r="L139" s="24" t="s">
        <x:v>548</x:v>
      </x:c>
      <x:c r="M139" s="24"/>
      <x:c r="N139" s="27" t="s">
        <x:v>548</x:v>
      </x:c>
      <x:c r="O139" s="27"/>
      <x:c r="P139" s="26"/>
      <x:c r="Q139" s="27">
        <x:v>1</x:v>
      </x:c>
      <x:c r="R139" s="27"/>
      <x:c r="S139" s="22">
        <x:f>IF(N139="","تکمیل نشده",IF(N139="بدون تفصیلی (ثبت روی خود معین)","OK",IF(N139="ادغام با تفصیلی دیگر",IF(O139="","کلید مقصد خالی است",IF(IFERROR(MATCH(O139*1,$A:$A,0),0)=0,"کلید مقصد در این فهرست نیست",IF(O139*1=A139,"ادغام با خودش","OK"))),IF(Q139="","سطح شناور خالی است",IF(AND(FALSE,OR(Q139=1,Q139=2)),"سطح ۱ و ۲ این معین مال فعالیت و مرکز هزینه است","OK")))))</x:f>
      </x:c>
      <x:c r="T139" s="28"/>
    </x:row>
    <x:row r="140" spans="1:20">
      <x:c r="A140" s="21">
        <x:v>1535</x:v>
      </x:c>
      <x:c r="B140" s="22" t="s">
        <x:v>70</x:v>
      </x:c>
      <x:c r="C140" s="22" t="s">
        <x:v>209</x:v>
      </x:c>
      <x:c r="D140" s="22" t="s">
        <x:v>646</x:v>
      </x:c>
      <x:c r="E140" s="22" t="s">
        <x:v>723</x:v>
      </x:c>
      <x:c r="F140" s="22" t="s">
        <x:v>229</x:v>
      </x:c>
      <x:c r="G140" s="22">
        <x:v>9</x:v>
      </x:c>
      <x:c r="H140" s="23">
        <x:v>1046</x:v>
      </x:c>
      <x:c r="I140" s="23">
        <x:v>200025</x:v>
      </x:c>
      <x:c r="J140" s="23">
        <x:f>H140-I140</x:f>
      </x:c>
      <x:c r="K140" s="22">
        <x:v>1</x:v>
      </x:c>
      <x:c r="L140" s="24" t="s">
        <x:v>548</x:v>
      </x:c>
      <x:c r="M140" s="24"/>
      <x:c r="N140" s="27" t="s">
        <x:v>548</x:v>
      </x:c>
      <x:c r="O140" s="27"/>
      <x:c r="P140" s="26"/>
      <x:c r="Q140" s="27">
        <x:v>1</x:v>
      </x:c>
      <x:c r="R140" s="27"/>
      <x:c r="S140" s="22">
        <x:f>IF(N140="","تکمیل نشده",IF(N140="بدون تفصیلی (ثبت روی خود معین)","OK",IF(N140="ادغام با تفصیلی دیگر",IF(O140="","کلید مقصد خالی است",IF(IFERROR(MATCH(O140*1,$A:$A,0),0)=0,"کلید مقصد در این فهرست نیست",IF(O140*1=A140,"ادغام با خودش","OK"))),IF(Q140="","سطح شناور خالی است",IF(AND(FALSE,OR(Q140=1,Q140=2)),"سطح ۱ و ۲ این معین مال فعالیت و مرکز هزینه است","OK")))))</x:f>
      </x:c>
      <x:c r="T140" s="28"/>
    </x:row>
    <x:row r="141" spans="1:20">
      <x:c r="A141" s="21">
        <x:v>1536</x:v>
      </x:c>
      <x:c r="B141" s="22" t="s">
        <x:v>70</x:v>
      </x:c>
      <x:c r="C141" s="22" t="s">
        <x:v>209</x:v>
      </x:c>
      <x:c r="D141" s="22" t="s">
        <x:v>648</x:v>
      </x:c>
      <x:c r="E141" s="22" t="s">
        <x:v>724</x:v>
      </x:c>
      <x:c r="F141" s="22" t="s">
        <x:v>229</x:v>
      </x:c>
      <x:c r="G141" s="22">
        <x:v>8</x:v>
      </x:c>
      <x:c r="H141" s="23">
        <x:v>70</x:v>
      </x:c>
      <x:c r="I141" s="23">
        <x:v>181349640</x:v>
      </x:c>
      <x:c r="J141" s="23">
        <x:f>H141-I141</x:f>
      </x:c>
      <x:c r="K141" s="22">
        <x:v>1</x:v>
      </x:c>
      <x:c r="L141" s="24" t="s">
        <x:v>548</x:v>
      </x:c>
      <x:c r="M141" s="24"/>
      <x:c r="N141" s="27" t="s">
        <x:v>548</x:v>
      </x:c>
      <x:c r="O141" s="27"/>
      <x:c r="P141" s="26"/>
      <x:c r="Q141" s="27">
        <x:v>1</x:v>
      </x:c>
      <x:c r="R141" s="27"/>
      <x:c r="S141" s="22">
        <x:f>IF(N141="","تکمیل نشده",IF(N141="بدون تفصیلی (ثبت روی خود معین)","OK",IF(N141="ادغام با تفصیلی دیگر",IF(O141="","کلید مقصد خالی است",IF(IFERROR(MATCH(O141*1,$A:$A,0),0)=0,"کلید مقصد در این فهرست نیست",IF(O141*1=A141,"ادغام با خودش","OK"))),IF(Q141="","سطح شناور خالی است",IF(AND(FALSE,OR(Q141=1,Q141=2)),"سطح ۱ و ۲ این معین مال فعالیت و مرکز هزینه است","OK")))))</x:f>
      </x:c>
      <x:c r="T141" s="28"/>
    </x:row>
    <x:row r="142" spans="1:20">
      <x:c r="A142" s="21">
        <x:v>1537</x:v>
      </x:c>
      <x:c r="B142" s="22" t="s">
        <x:v>70</x:v>
      </x:c>
      <x:c r="C142" s="22" t="s">
        <x:v>209</x:v>
      </x:c>
      <x:c r="D142" s="22" t="s">
        <x:v>650</x:v>
      </x:c>
      <x:c r="E142" s="22" t="s">
        <x:v>725</x:v>
      </x:c>
      <x:c r="F142" s="22" t="s">
        <x:v>229</x:v>
      </x:c>
      <x:c r="G142" s="22">
        <x:v>3</x:v>
      </x:c>
      <x:c r="H142" s="23">
        <x:v>0</x:v>
      </x:c>
      <x:c r="I142" s="23">
        <x:v>202010</x:v>
      </x:c>
      <x:c r="J142" s="23">
        <x:f>H142-I142</x:f>
      </x:c>
      <x:c r="K142" s="22">
        <x:v>1</x:v>
      </x:c>
      <x:c r="L142" s="24" t="s">
        <x:v>548</x:v>
      </x:c>
      <x:c r="M142" s="24"/>
      <x:c r="N142" s="27" t="s">
        <x:v>548</x:v>
      </x:c>
      <x:c r="O142" s="27"/>
      <x:c r="P142" s="26"/>
      <x:c r="Q142" s="27">
        <x:v>1</x:v>
      </x:c>
      <x:c r="R142" s="27"/>
      <x:c r="S142" s="22">
        <x:f>IF(N142="","تکمیل نشده",IF(N142="بدون تفصیلی (ثبت روی خود معین)","OK",IF(N142="ادغام با تفصیلی دیگر",IF(O142="","کلید مقصد خالی است",IF(IFERROR(MATCH(O142*1,$A:$A,0),0)=0,"کلید مقصد در این فهرست نیست",IF(O142*1=A142,"ادغام با خودش","OK"))),IF(Q142="","سطح شناور خالی است",IF(AND(FALSE,OR(Q142=1,Q142=2)),"سطح ۱ و ۲ این معین مال فعالیت و مرکز هزینه است","OK")))))</x:f>
      </x:c>
      <x:c r="T142" s="28"/>
    </x:row>
    <x:row r="143" spans="1:20">
      <x:c r="A143" s="21">
        <x:v>1538</x:v>
      </x:c>
      <x:c r="B143" s="22" t="s">
        <x:v>70</x:v>
      </x:c>
      <x:c r="C143" s="22" t="s">
        <x:v>209</x:v>
      </x:c>
      <x:c r="D143" s="22" t="s">
        <x:v>652</x:v>
      </x:c>
      <x:c r="E143" s="22" t="s">
        <x:v>726</x:v>
      </x:c>
      <x:c r="F143" s="22" t="s">
        <x:v>229</x:v>
      </x:c>
      <x:c r="G143" s="22">
        <x:v>16</x:v>
      </x:c>
      <x:c r="H143" s="23">
        <x:v>17010021</x:v>
      </x:c>
      <x:c r="I143" s="23">
        <x:v>22012660</x:v>
      </x:c>
      <x:c r="J143" s="23">
        <x:f>H143-I143</x:f>
      </x:c>
      <x:c r="K143" s="22">
        <x:v>3</x:v>
      </x:c>
      <x:c r="L143" s="24" t="s">
        <x:v>548</x:v>
      </x:c>
      <x:c r="M143" s="24"/>
      <x:c r="N143" s="27" t="s">
        <x:v>548</x:v>
      </x:c>
      <x:c r="O143" s="27"/>
      <x:c r="P143" s="26"/>
      <x:c r="Q143" s="27">
        <x:v>1</x:v>
      </x:c>
      <x:c r="R143" s="27"/>
      <x:c r="S143" s="22">
        <x:f>IF(N143="","تکمیل نشده",IF(N143="بدون تفصیلی (ثبت روی خود معین)","OK",IF(N143="ادغام با تفصیلی دیگر",IF(O143="","کلید مقصد خالی است",IF(IFERROR(MATCH(O143*1,$A:$A,0),0)=0,"کلید مقصد در این فهرست نیست",IF(O143*1=A143,"ادغام با خودش","OK"))),IF(Q143="","سطح شناور خالی است",IF(AND(FALSE,OR(Q143=1,Q143=2)),"سطح ۱ و ۲ این معین مال فعالیت و مرکز هزینه است","OK")))))</x:f>
      </x:c>
      <x:c r="T143" s="28"/>
    </x:row>
    <x:row r="144" spans="1:20">
      <x:c r="A144" s="21">
        <x:v>1539</x:v>
      </x:c>
      <x:c r="B144" s="22" t="s">
        <x:v>70</x:v>
      </x:c>
      <x:c r="C144" s="22" t="s">
        <x:v>209</x:v>
      </x:c>
      <x:c r="D144" s="22" t="s">
        <x:v>654</x:v>
      </x:c>
      <x:c r="E144" s="22" t="s">
        <x:v>727</x:v>
      </x:c>
      <x:c r="F144" s="22" t="s">
        <x:v>229</x:v>
      </x:c>
      <x:c r="G144" s="22">
        <x:v>8</x:v>
      </x:c>
      <x:c r="H144" s="23">
        <x:v>28300120</x:v>
      </x:c>
      <x:c r="I144" s="23">
        <x:v>67903582591</x:v>
      </x:c>
      <x:c r="J144" s="23">
        <x:f>H144-I144</x:f>
      </x:c>
      <x:c r="K144" s="22">
        <x:v>1</x:v>
      </x:c>
      <x:c r="L144" s="24" t="s">
        <x:v>548</x:v>
      </x:c>
      <x:c r="M144" s="24"/>
      <x:c r="N144" s="27" t="s">
        <x:v>548</x:v>
      </x:c>
      <x:c r="O144" s="27"/>
      <x:c r="P144" s="26"/>
      <x:c r="Q144" s="27">
        <x:v>1</x:v>
      </x:c>
      <x:c r="R144" s="27"/>
      <x:c r="S144" s="22">
        <x:f>IF(N144="","تکمیل نشده",IF(N144="بدون تفصیلی (ثبت روی خود معین)","OK",IF(N144="ادغام با تفصیلی دیگر",IF(O144="","کلید مقصد خالی است",IF(IFERROR(MATCH(O144*1,$A:$A,0),0)=0,"کلید مقصد در این فهرست نیست",IF(O144*1=A144,"ادغام با خودش","OK"))),IF(Q144="","سطح شناور خالی است",IF(AND(FALSE,OR(Q144=1,Q144=2)),"سطح ۱ و ۲ این معین مال فعالیت و مرکز هزینه است","OK")))))</x:f>
      </x:c>
      <x:c r="T144" s="28"/>
    </x:row>
    <x:row r="145" spans="1:20">
      <x:c r="A145" s="21">
        <x:v>1540</x:v>
      </x:c>
      <x:c r="B145" s="22" t="s">
        <x:v>70</x:v>
      </x:c>
      <x:c r="C145" s="22" t="s">
        <x:v>209</x:v>
      </x:c>
      <x:c r="D145" s="22" t="s">
        <x:v>656</x:v>
      </x:c>
      <x:c r="E145" s="22" t="s">
        <x:v>728</x:v>
      </x:c>
      <x:c r="F145" s="22" t="s">
        <x:v>229</x:v>
      </x:c>
      <x:c r="G145" s="22">
        <x:v>2</x:v>
      </x:c>
      <x:c r="H145" s="23">
        <x:v>0</x:v>
      </x:c>
      <x:c r="I145" s="23">
        <x:v>8002040</x:v>
      </x:c>
      <x:c r="J145" s="23">
        <x:f>H145-I145</x:f>
      </x:c>
      <x:c r="K145" s="22">
        <x:v>1</x:v>
      </x:c>
      <x:c r="L145" s="24" t="s">
        <x:v>548</x:v>
      </x:c>
      <x:c r="M145" s="24"/>
      <x:c r="N145" s="27" t="s">
        <x:v>548</x:v>
      </x:c>
      <x:c r="O145" s="27"/>
      <x:c r="P145" s="26"/>
      <x:c r="Q145" s="27">
        <x:v>1</x:v>
      </x:c>
      <x:c r="R145" s="27"/>
      <x:c r="S145" s="22">
        <x:f>IF(N145="","تکمیل نشده",IF(N145="بدون تفصیلی (ثبت روی خود معین)","OK",IF(N145="ادغام با تفصیلی دیگر",IF(O145="","کلید مقصد خالی است",IF(IFERROR(MATCH(O145*1,$A:$A,0),0)=0,"کلید مقصد در این فهرست نیست",IF(O145*1=A145,"ادغام با خودش","OK"))),IF(Q145="","سطح شناور خالی است",IF(AND(FALSE,OR(Q145=1,Q145=2)),"سطح ۱ و ۲ این معین مال فعالیت و مرکز هزینه است","OK")))))</x:f>
      </x:c>
      <x:c r="T145" s="28"/>
    </x:row>
    <x:row r="146" spans="1:20">
      <x:c r="A146" s="21">
        <x:v>1541</x:v>
      </x:c>
      <x:c r="B146" s="22" t="s">
        <x:v>70</x:v>
      </x:c>
      <x:c r="C146" s="22" t="s">
        <x:v>209</x:v>
      </x:c>
      <x:c r="D146" s="22" t="s">
        <x:v>729</x:v>
      </x:c>
      <x:c r="E146" s="22" t="s">
        <x:v>730</x:v>
      </x:c>
      <x:c r="F146" s="22" t="s">
        <x:v>229</x:v>
      </x:c>
      <x:c r="G146" s="22">
        <x:v>3</x:v>
      </x:c>
      <x:c r="H146" s="23">
        <x:v>1000000000</x:v>
      </x:c>
      <x:c r="I146" s="23">
        <x:v>3020</x:v>
      </x:c>
      <x:c r="J146" s="23">
        <x:f>H146-I146</x:f>
      </x:c>
      <x:c r="K146" s="22">
        <x:v>1</x:v>
      </x:c>
      <x:c r="L146" s="24" t="s">
        <x:v>548</x:v>
      </x:c>
      <x:c r="M146" s="24"/>
      <x:c r="N146" s="27" t="s">
        <x:v>548</x:v>
      </x:c>
      <x:c r="O146" s="27"/>
      <x:c r="P146" s="26"/>
      <x:c r="Q146" s="27">
        <x:v>1</x:v>
      </x:c>
      <x:c r="R146" s="27"/>
      <x:c r="S146" s="22">
        <x:f>IF(N146="","تکمیل نشده",IF(N146="بدون تفصیلی (ثبت روی خود معین)","OK",IF(N146="ادغام با تفصیلی دیگر",IF(O146="","کلید مقصد خالی است",IF(IFERROR(MATCH(O146*1,$A:$A,0),0)=0,"کلید مقصد در این فهرست نیست",IF(O146*1=A146,"ادغام با خودش","OK"))),IF(Q146="","سطح شناور خالی است",IF(AND(FALSE,OR(Q146=1,Q146=2)),"سطح ۱ و ۲ این معین مال فعالیت و مرکز هزینه است","OK")))))</x:f>
      </x:c>
      <x:c r="T146" s="28"/>
    </x:row>
    <x:row r="147" spans="1:20">
      <x:c r="A147" s="21">
        <x:v>1543</x:v>
      </x:c>
      <x:c r="B147" s="22" t="s">
        <x:v>70</x:v>
      </x:c>
      <x:c r="C147" s="22" t="s">
        <x:v>209</x:v>
      </x:c>
      <x:c r="D147" s="22" t="s">
        <x:v>731</x:v>
      </x:c>
      <x:c r="E147" s="22" t="s">
        <x:v>732</x:v>
      </x:c>
      <x:c r="F147" s="22" t="s">
        <x:v>229</x:v>
      </x:c>
      <x:c r="G147" s="22">
        <x:v>1</x:v>
      </x:c>
      <x:c r="H147" s="23">
        <x:v>0</x:v>
      </x:c>
      <x:c r="I147" s="23">
        <x:v>5</x:v>
      </x:c>
      <x:c r="J147" s="23">
        <x:f>H147-I147</x:f>
      </x:c>
      <x:c r="K147" s="22">
        <x:v>1</x:v>
      </x:c>
      <x:c r="L147" s="24" t="s">
        <x:v>548</x:v>
      </x:c>
      <x:c r="M147" s="24"/>
      <x:c r="N147" s="27" t="s">
        <x:v>548</x:v>
      </x:c>
      <x:c r="O147" s="27"/>
      <x:c r="P147" s="26"/>
      <x:c r="Q147" s="27">
        <x:v>1</x:v>
      </x:c>
      <x:c r="R147" s="27"/>
      <x:c r="S147" s="22">
        <x:f>IF(N147="","تکمیل نشده",IF(N147="بدون تفصیلی (ثبت روی خود معین)","OK",IF(N147="ادغام با تفصیلی دیگر",IF(O147="","کلید مقصد خالی است",IF(IFERROR(MATCH(O147*1,$A:$A,0),0)=0,"کلید مقصد در این فهرست نیست",IF(O147*1=A147,"ادغام با خودش","OK"))),IF(Q147="","سطح شناور خالی است",IF(AND(FALSE,OR(Q147=1,Q147=2)),"سطح ۱ و ۲ این معین مال فعالیت و مرکز هزینه است","OK")))))</x:f>
      </x:c>
      <x:c r="T147" s="28"/>
    </x:row>
    <x:row r="148" spans="1:20">
      <x:c r="A148" s="21">
        <x:v>1551</x:v>
      </x:c>
      <x:c r="B148" s="22" t="s">
        <x:v>70</x:v>
      </x:c>
      <x:c r="C148" s="22" t="s">
        <x:v>209</x:v>
      </x:c>
      <x:c r="D148" s="22" t="s">
        <x:v>686</x:v>
      </x:c>
      <x:c r="E148" s="22" t="s">
        <x:v>733</x:v>
      </x:c>
      <x:c r="F148" s="22" t="s">
        <x:v>229</x:v>
      </x:c>
      <x:c r="G148" s="22">
        <x:v>4</x:v>
      </x:c>
      <x:c r="H148" s="23">
        <x:v>4268400</x:v>
      </x:c>
      <x:c r="I148" s="23">
        <x:v>9959600</x:v>
      </x:c>
      <x:c r="J148" s="23">
        <x:f>H148-I148</x:f>
      </x:c>
      <x:c r="K148" s="22">
        <x:v>3</x:v>
      </x:c>
      <x:c r="L148" s="24" t="s">
        <x:v>548</x:v>
      </x:c>
      <x:c r="M148" s="24"/>
      <x:c r="N148" s="27" t="s">
        <x:v>548</x:v>
      </x:c>
      <x:c r="O148" s="27"/>
      <x:c r="P148" s="26"/>
      <x:c r="Q148" s="27">
        <x:v>1</x:v>
      </x:c>
      <x:c r="R148" s="27"/>
      <x:c r="S148" s="22">
        <x:f>IF(N148="","تکمیل نشده",IF(N148="بدون تفصیلی (ثبت روی خود معین)","OK",IF(N148="ادغام با تفصیلی دیگر",IF(O148="","کلید مقصد خالی است",IF(IFERROR(MATCH(O148*1,$A:$A,0),0)=0,"کلید مقصد در این فهرست نیست",IF(O148*1=A148,"ادغام با خودش","OK"))),IF(Q148="","سطح شناور خالی است",IF(AND(FALSE,OR(Q148=1,Q148=2)),"سطح ۱ و ۲ این معین مال فعالیت و مرکز هزینه است","OK")))))</x:f>
      </x:c>
      <x:c r="T148" s="28"/>
    </x:row>
    <x:row r="149" spans="1:20">
      <x:c r="A149" s="21">
        <x:v>1553</x:v>
      </x:c>
      <x:c r="B149" s="22" t="s">
        <x:v>70</x:v>
      </x:c>
      <x:c r="C149" s="22" t="s">
        <x:v>209</x:v>
      </x:c>
      <x:c r="D149" s="22" t="s">
        <x:v>658</x:v>
      </x:c>
      <x:c r="E149" s="22" t="s">
        <x:v>655</x:v>
      </x:c>
      <x:c r="F149" s="22" t="s">
        <x:v>229</x:v>
      </x:c>
      <x:c r="G149" s="22">
        <x:v>9</x:v>
      </x:c>
      <x:c r="H149" s="23">
        <x:v>25590420</x:v>
      </x:c>
      <x:c r="I149" s="23">
        <x:v>31742420</x:v>
      </x:c>
      <x:c r="J149" s="23">
        <x:f>H149-I149</x:f>
      </x:c>
      <x:c r="K149" s="22">
        <x:v>5</x:v>
      </x:c>
      <x:c r="L149" s="24" t="s">
        <x:v>550</x:v>
      </x:c>
      <x:c r="M149" s="24">
        <x:v>563</x:v>
      </x:c>
      <x:c r="N149" s="27" t="s">
        <x:v>550</x:v>
      </x:c>
      <x:c r="O149" s="27">
        <x:v>563</x:v>
      </x:c>
      <x:c r="P149" s="26"/>
      <x:c r="Q149" s="27">
        <x:v>1</x:v>
      </x:c>
      <x:c r="R149" s="27"/>
      <x:c r="S149" s="22">
        <x:f>IF(N149="","تکمیل نشده",IF(N149="بدون تفصیلی (ثبت روی خود معین)","OK",IF(N149="ادغام با تفصیلی دیگر",IF(O149="","کلید مقصد خالی است",IF(IFERROR(MATCH(O149*1,$A:$A,0),0)=0,"کلید مقصد در این فهرست نیست",IF(O149*1=A149,"ادغام با خودش","OK"))),IF(Q149="","سطح شناور خالی است",IF(AND(FALSE,OR(Q149=1,Q149=2)),"سطح ۱ و ۲ این معین مال فعالیت و مرکز هزینه است","OK")))))</x:f>
      </x:c>
      <x:c r="T149" s="28"/>
    </x:row>
    <x:row r="150" spans="1:20">
      <x:c r="A150" s="21">
        <x:v>1585</x:v>
      </x:c>
      <x:c r="B150" s="22" t="s">
        <x:v>70</x:v>
      </x:c>
      <x:c r="C150" s="22" t="s">
        <x:v>209</x:v>
      </x:c>
      <x:c r="D150" s="22" t="s">
        <x:v>734</x:v>
      </x:c>
      <x:c r="E150" s="22" t="s">
        <x:v>735</x:v>
      </x:c>
      <x:c r="F150" s="22" t="s">
        <x:v>229</x:v>
      </x:c>
      <x:c r="G150" s="22">
        <x:v>1</x:v>
      </x:c>
      <x:c r="H150" s="23">
        <x:v>0</x:v>
      </x:c>
      <x:c r="I150" s="23">
        <x:v>7222857</x:v>
      </x:c>
      <x:c r="J150" s="23">
        <x:f>H150-I150</x:f>
      </x:c>
      <x:c r="K150" s="22">
        <x:v>2</x:v>
      </x:c>
      <x:c r="L150" s="24" t="s">
        <x:v>550</x:v>
      </x:c>
      <x:c r="M150" s="24">
        <x:v>3868</x:v>
      </x:c>
      <x:c r="N150" s="27" t="s">
        <x:v>550</x:v>
      </x:c>
      <x:c r="O150" s="27">
        <x:v>3868</x:v>
      </x:c>
      <x:c r="P150" s="26"/>
      <x:c r="Q150" s="27">
        <x:v>1</x:v>
      </x:c>
      <x:c r="R150" s="27"/>
      <x:c r="S150" s="22">
        <x:f>IF(N150="","تکمیل نشده",IF(N150="بدون تفصیلی (ثبت روی خود معین)","OK",IF(N150="ادغام با تفصیلی دیگر",IF(O150="","کلید مقصد خالی است",IF(IFERROR(MATCH(O150*1,$A:$A,0),0)=0,"کلید مقصد در این فهرست نیست",IF(O150*1=A150,"ادغام با خودش","OK"))),IF(Q150="","سطح شناور خالی است",IF(AND(FALSE,OR(Q150=1,Q150=2)),"سطح ۱ و ۲ این معین مال فعالیت و مرکز هزینه است","OK")))))</x:f>
      </x:c>
      <x:c r="T150" s="28"/>
    </x:row>
    <x:row r="151" spans="1:20">
      <x:c r="A151" s="21">
        <x:v>3601</x:v>
      </x:c>
      <x:c r="B151" s="22" t="s">
        <x:v>70</x:v>
      </x:c>
      <x:c r="C151" s="22" t="s">
        <x:v>209</x:v>
      </x:c>
      <x:c r="D151" s="22" t="s">
        <x:v>736</x:v>
      </x:c>
      <x:c r="E151" s="22" t="s">
        <x:v>737</x:v>
      </x:c>
      <x:c r="F151" s="22" t="s">
        <x:v>229</x:v>
      </x:c>
      <x:c r="G151" s="22">
        <x:v>5</x:v>
      </x:c>
      <x:c r="H151" s="23">
        <x:v>45350000</x:v>
      </x:c>
      <x:c r="I151" s="23">
        <x:v>45350000</x:v>
      </x:c>
      <x:c r="J151" s="23">
        <x:f>H151-I151</x:f>
      </x:c>
      <x:c r="K151" s="22">
        <x:v>1</x:v>
      </x:c>
      <x:c r="L151" s="24" t="s">
        <x:v>548</x:v>
      </x:c>
      <x:c r="M151" s="24"/>
      <x:c r="N151" s="27" t="s">
        <x:v>548</x:v>
      </x:c>
      <x:c r="O151" s="27"/>
      <x:c r="P151" s="26"/>
      <x:c r="Q151" s="27">
        <x:v>1</x:v>
      </x:c>
      <x:c r="R151" s="27"/>
      <x:c r="S151" s="22">
        <x:f>IF(N151="","تکمیل نشده",IF(N151="بدون تفصیلی (ثبت روی خود معین)","OK",IF(N151="ادغام با تفصیلی دیگر",IF(O151="","کلید مقصد خالی است",IF(IFERROR(MATCH(O151*1,$A:$A,0),0)=0,"کلید مقصد در این فهرست نیست",IF(O151*1=A151,"ادغام با خودش","OK"))),IF(Q151="","سطح شناور خالی است",IF(AND(FALSE,OR(Q151=1,Q151=2)),"سطح ۱ و ۲ این معین مال فعالیت و مرکز هزینه است","OK")))))</x:f>
      </x:c>
      <x:c r="T151" s="28"/>
    </x:row>
    <x:row r="152" spans="1:20">
      <x:c r="A152" s="21">
        <x:v>3602</x:v>
      </x:c>
      <x:c r="B152" s="22" t="s">
        <x:v>70</x:v>
      </x:c>
      <x:c r="C152" s="22" t="s">
        <x:v>209</x:v>
      </x:c>
      <x:c r="D152" s="22" t="s">
        <x:v>738</x:v>
      </x:c>
      <x:c r="E152" s="22" t="s">
        <x:v>739</x:v>
      </x:c>
      <x:c r="F152" s="22" t="s">
        <x:v>229</x:v>
      </x:c>
      <x:c r="G152" s="22">
        <x:v>2</x:v>
      </x:c>
      <x:c r="H152" s="23">
        <x:v>31580000</x:v>
      </x:c>
      <x:c r="I152" s="23">
        <x:v>31580000</x:v>
      </x:c>
      <x:c r="J152" s="23">
        <x:f>H152-I152</x:f>
      </x:c>
      <x:c r="K152" s="22">
        <x:v>1</x:v>
      </x:c>
      <x:c r="L152" s="24" t="s">
        <x:v>548</x:v>
      </x:c>
      <x:c r="M152" s="24"/>
      <x:c r="N152" s="27" t="s">
        <x:v>548</x:v>
      </x:c>
      <x:c r="O152" s="27"/>
      <x:c r="P152" s="26"/>
      <x:c r="Q152" s="27">
        <x:v>1</x:v>
      </x:c>
      <x:c r="R152" s="27"/>
      <x:c r="S152" s="22">
        <x:f>IF(N152="","تکمیل نشده",IF(N152="بدون تفصیلی (ثبت روی خود معین)","OK",IF(N152="ادغام با تفصیلی دیگر",IF(O152="","کلید مقصد خالی است",IF(IFERROR(MATCH(O152*1,$A:$A,0),0)=0,"کلید مقصد در این فهرست نیست",IF(O152*1=A152,"ادغام با خودش","OK"))),IF(Q152="","سطح شناور خالی است",IF(AND(FALSE,OR(Q152=1,Q152=2)),"سطح ۱ و ۲ این معین مال فعالیت و مرکز هزینه است","OK")))))</x:f>
      </x:c>
      <x:c r="T152" s="28"/>
    </x:row>
    <x:row r="153" spans="1:20">
      <x:c r="A153" s="21">
        <x:v>3645</x:v>
      </x:c>
      <x:c r="B153" s="22" t="s">
        <x:v>70</x:v>
      </x:c>
      <x:c r="C153" s="22" t="s">
        <x:v>209</x:v>
      </x:c>
      <x:c r="D153" s="22" t="s">
        <x:v>740</x:v>
      </x:c>
      <x:c r="E153" s="22" t="s">
        <x:v>741</x:v>
      </x:c>
      <x:c r="F153" s="22" t="s">
        <x:v>229</x:v>
      </x:c>
      <x:c r="G153" s="22">
        <x:v>3</x:v>
      </x:c>
      <x:c r="H153" s="23">
        <x:v>16678666</x:v>
      </x:c>
      <x:c r="I153" s="23">
        <x:v>16678666</x:v>
      </x:c>
      <x:c r="J153" s="23">
        <x:f>H153-I153</x:f>
      </x:c>
      <x:c r="K153" s="22">
        <x:v>2</x:v>
      </x:c>
      <x:c r="L153" s="24" t="s">
        <x:v>548</x:v>
      </x:c>
      <x:c r="M153" s="24"/>
      <x:c r="N153" s="27" t="s">
        <x:v>548</x:v>
      </x:c>
      <x:c r="O153" s="27"/>
      <x:c r="P153" s="26"/>
      <x:c r="Q153" s="27">
        <x:v>1</x:v>
      </x:c>
      <x:c r="R153" s="27"/>
      <x:c r="S153" s="22">
        <x:f>IF(N153="","تکمیل نشده",IF(N153="بدون تفصیلی (ثبت روی خود معین)","OK",IF(N153="ادغام با تفصیلی دیگر",IF(O153="","کلید مقصد خالی است",IF(IFERROR(MATCH(O153*1,$A:$A,0),0)=0,"کلید مقصد در این فهرست نیست",IF(O153*1=A153,"ادغام با خودش","OK"))),IF(Q153="","سطح شناور خالی است",IF(AND(FALSE,OR(Q153=1,Q153=2)),"سطح ۱ و ۲ این معین مال فعالیت و مرکز هزینه است","OK")))))</x:f>
      </x:c>
      <x:c r="T153" s="28"/>
    </x:row>
    <x:row r="154" spans="1:20">
      <x:c r="A154" s="21">
        <x:v>3725</x:v>
      </x:c>
      <x:c r="B154" s="22" t="s">
        <x:v>70</x:v>
      </x:c>
      <x:c r="C154" s="22" t="s">
        <x:v>209</x:v>
      </x:c>
      <x:c r="D154" s="22" t="s">
        <x:v>546</x:v>
      </x:c>
      <x:c r="E154" s="22" t="s">
        <x:v>547</x:v>
      </x:c>
      <x:c r="F154" s="22" t="s">
        <x:v>229</x:v>
      </x:c>
      <x:c r="G154" s="22">
        <x:v>5</x:v>
      </x:c>
      <x:c r="H154" s="23">
        <x:v>540500000</x:v>
      </x:c>
      <x:c r="I154" s="23">
        <x:v>540502000</x:v>
      </x:c>
      <x:c r="J154" s="23">
        <x:f>H154-I154</x:f>
      </x:c>
      <x:c r="K154" s="22">
        <x:v>2</x:v>
      </x:c>
      <x:c r="L154" s="24" t="s">
        <x:v>550</x:v>
      </x:c>
      <x:c r="M154" s="24">
        <x:v>3724</x:v>
      </x:c>
      <x:c r="N154" s="27" t="s">
        <x:v>550</x:v>
      </x:c>
      <x:c r="O154" s="27">
        <x:v>3724</x:v>
      </x:c>
      <x:c r="P154" s="26"/>
      <x:c r="Q154" s="27">
        <x:v>1</x:v>
      </x:c>
      <x:c r="R154" s="27"/>
      <x:c r="S154" s="22">
        <x:f>IF(N154="","تکمیل نشده",IF(N154="بدون تفصیلی (ثبت روی خود معین)","OK",IF(N154="ادغام با تفصیلی دیگر",IF(O154="","کلید مقصد خالی است",IF(IFERROR(MATCH(O154*1,$A:$A,0),0)=0,"کلید مقصد در این فهرست نیست",IF(O154*1=A154,"ادغام با خودش","OK"))),IF(Q154="","سطح شناور خالی است",IF(AND(FALSE,OR(Q154=1,Q154=2)),"سطح ۱ و ۲ این معین مال فعالیت و مرکز هزینه است","OK")))))</x:f>
      </x:c>
      <x:c r="T154" s="28"/>
    </x:row>
    <x:row r="155" spans="1:20">
      <x:c r="A155" s="21">
        <x:v>3766</x:v>
      </x:c>
      <x:c r="B155" s="22" t="s">
        <x:v>70</x:v>
      </x:c>
      <x:c r="C155" s="22" t="s">
        <x:v>209</x:v>
      </x:c>
      <x:c r="D155" s="22" t="s">
        <x:v>742</x:v>
      </x:c>
      <x:c r="E155" s="22" t="s">
        <x:v>743</x:v>
      </x:c>
      <x:c r="F155" s="22" t="s">
        <x:v>229</x:v>
      </x:c>
      <x:c r="G155" s="22">
        <x:v>4</x:v>
      </x:c>
      <x:c r="H155" s="23">
        <x:v>5550687</x:v>
      </x:c>
      <x:c r="I155" s="23">
        <x:v>12951600</x:v>
      </x:c>
      <x:c r="J155" s="23">
        <x:f>H155-I155</x:f>
      </x:c>
      <x:c r="K155" s="22">
        <x:v>4</x:v>
      </x:c>
      <x:c r="L155" s="24" t="s">
        <x:v>550</x:v>
      </x:c>
      <x:c r="M155" s="24">
        <x:v>576</x:v>
      </x:c>
      <x:c r="N155" s="27" t="s">
        <x:v>550</x:v>
      </x:c>
      <x:c r="O155" s="27">
        <x:v>576</x:v>
      </x:c>
      <x:c r="P155" s="26"/>
      <x:c r="Q155" s="27">
        <x:v>1</x:v>
      </x:c>
      <x:c r="R155" s="27"/>
      <x:c r="S155" s="22">
        <x:f>IF(N155="","تکمیل نشده",IF(N155="بدون تفصیلی (ثبت روی خود معین)","OK",IF(N155="ادغام با تفصیلی دیگر",IF(O155="","کلید مقصد خالی است",IF(IFERROR(MATCH(O155*1,$A:$A,0),0)=0,"کلید مقصد در این فهرست نیست",IF(O155*1=A155,"ادغام با خودش","OK"))),IF(Q155="","سطح شناور خالی است",IF(AND(FALSE,OR(Q155=1,Q155=2)),"سطح ۱ و ۲ این معین مال فعالیت و مرکز هزینه است","OK")))))</x:f>
      </x:c>
      <x:c r="T155" s="28"/>
    </x:row>
    <x:row r="156" spans="1:20">
      <x:c r="A156" s="21">
        <x:v>3771</x:v>
      </x:c>
      <x:c r="B156" s="22" t="s">
        <x:v>70</x:v>
      </x:c>
      <x:c r="C156" s="22" t="s">
        <x:v>209</x:v>
      </x:c>
      <x:c r="D156" s="22" t="s">
        <x:v>744</x:v>
      </x:c>
      <x:c r="E156" s="22" t="s">
        <x:v>745</x:v>
      </x:c>
      <x:c r="F156" s="22" t="s">
        <x:v>229</x:v>
      </x:c>
      <x:c r="G156" s="22">
        <x:v>2</x:v>
      </x:c>
      <x:c r="H156" s="23">
        <x:v>557300000</x:v>
      </x:c>
      <x:c r="I156" s="23">
        <x:v>557300000</x:v>
      </x:c>
      <x:c r="J156" s="23">
        <x:f>H156-I156</x:f>
      </x:c>
      <x:c r="K156" s="22">
        <x:v>1</x:v>
      </x:c>
      <x:c r="L156" s="24" t="s">
        <x:v>548</x:v>
      </x:c>
      <x:c r="M156" s="24"/>
      <x:c r="N156" s="27" t="s">
        <x:v>548</x:v>
      </x:c>
      <x:c r="O156" s="27"/>
      <x:c r="P156" s="26"/>
      <x:c r="Q156" s="27">
        <x:v>1</x:v>
      </x:c>
      <x:c r="R156" s="27"/>
      <x:c r="S156" s="22">
        <x:f>IF(N156="","تکمیل نشده",IF(N156="بدون تفصیلی (ثبت روی خود معین)","OK",IF(N156="ادغام با تفصیلی دیگر",IF(O156="","کلید مقصد خالی است",IF(IFERROR(MATCH(O156*1,$A:$A,0),0)=0,"کلید مقصد در این فهرست نیست",IF(O156*1=A156,"ادغام با خودش","OK"))),IF(Q156="","سطح شناور خالی است",IF(AND(FALSE,OR(Q156=1,Q156=2)),"سطح ۱ و ۲ این معین مال فعالیت و مرکز هزینه است","OK")))))</x:f>
      </x:c>
      <x:c r="T156" s="28"/>
    </x:row>
    <x:row r="157" spans="1:20">
      <x:c r="A157" s="21">
        <x:v>3778</x:v>
      </x:c>
      <x:c r="B157" s="22" t="s">
        <x:v>70</x:v>
      </x:c>
      <x:c r="C157" s="22" t="s">
        <x:v>209</x:v>
      </x:c>
      <x:c r="D157" s="22" t="s">
        <x:v>746</x:v>
      </x:c>
      <x:c r="E157" s="22" t="s">
        <x:v>747</x:v>
      </x:c>
      <x:c r="F157" s="22" t="s">
        <x:v>229</x:v>
      </x:c>
      <x:c r="G157" s="22">
        <x:v>2</x:v>
      </x:c>
      <x:c r="H157" s="23">
        <x:v>6000000</x:v>
      </x:c>
      <x:c r="I157" s="23">
        <x:v>6000000</x:v>
      </x:c>
      <x:c r="J157" s="23">
        <x:f>H157-I157</x:f>
      </x:c>
      <x:c r="K157" s="22">
        <x:v>1</x:v>
      </x:c>
      <x:c r="L157" s="24" t="s">
        <x:v>548</x:v>
      </x:c>
      <x:c r="M157" s="24"/>
      <x:c r="N157" s="27" t="s">
        <x:v>548</x:v>
      </x:c>
      <x:c r="O157" s="27"/>
      <x:c r="P157" s="26"/>
      <x:c r="Q157" s="27">
        <x:v>1</x:v>
      </x:c>
      <x:c r="R157" s="27"/>
      <x:c r="S157" s="22">
        <x:f>IF(N157="","تکمیل نشده",IF(N157="بدون تفصیلی (ثبت روی خود معین)","OK",IF(N157="ادغام با تفصیلی دیگر",IF(O157="","کلید مقصد خالی است",IF(IFERROR(MATCH(O157*1,$A:$A,0),0)=0,"کلید مقصد در این فهرست نیست",IF(O157*1=A157,"ادغام با خودش","OK"))),IF(Q157="","سطح شناور خالی است",IF(AND(FALSE,OR(Q157=1,Q157=2)),"سطح ۱ و ۲ این معین مال فعالیت و مرکز هزینه است","OK")))))</x:f>
      </x:c>
      <x:c r="T157" s="28"/>
    </x:row>
    <x:row r="158" spans="1:20">
      <x:c r="A158" s="21">
        <x:v>1619</x:v>
      </x:c>
      <x:c r="B158" s="22" t="s">
        <x:v>70</x:v>
      </x:c>
      <x:c r="C158" s="22" t="s">
        <x:v>209</x:v>
      </x:c>
      <x:c r="D158" s="22" t="s">
        <x:v>679</x:v>
      </x:c>
      <x:c r="E158" s="22" t="s">
        <x:v>680</x:v>
      </x:c>
      <x:c r="F158" s="22" t="s">
        <x:v>229</x:v>
      </x:c>
      <x:c r="G158" s="22">
        <x:v>114</x:v>
      </x:c>
      <x:c r="H158" s="23">
        <x:v>35243460086</x:v>
      </x:c>
      <x:c r="I158" s="23">
        <x:v>30714290817</x:v>
      </x:c>
      <x:c r="J158" s="23">
        <x:f>H158-I158</x:f>
      </x:c>
      <x:c r="K158" s="22">
        <x:v>2</x:v>
      </x:c>
      <x:c r="L158" s="24" t="s">
        <x:v>550</x:v>
      </x:c>
      <x:c r="M158" s="24">
        <x:v>657</x:v>
      </x:c>
      <x:c r="N158" s="27" t="s">
        <x:v>550</x:v>
      </x:c>
      <x:c r="O158" s="27">
        <x:v>657</x:v>
      </x:c>
      <x:c r="P158" s="26"/>
      <x:c r="Q158" s="27">
        <x:v>1</x:v>
      </x:c>
      <x:c r="R158" s="27"/>
      <x:c r="S158" s="22">
        <x:f>IF(N158="","تکمیل نشده",IF(N158="بدون تفصیلی (ثبت روی خود معین)","OK",IF(N158="ادغام با تفصیلی دیگر",IF(O158="","کلید مقصد خالی است",IF(IFERROR(MATCH(O158*1,$A:$A,0),0)=0,"کلید مقصد در این فهرست نیست",IF(O158*1=A158,"ادغام با خودش","OK"))),IF(Q158="","سطح شناور خالی است",IF(AND(FALSE,OR(Q158=1,Q158=2)),"سطح ۱ و ۲ این معین مال فعالیت و مرکز هزینه است","OK")))))</x:f>
      </x:c>
      <x:c r="T158" s="28"/>
    </x:row>
    <x:row r="159" spans="1:20">
      <x:c r="A159" s="21">
        <x:v>1626</x:v>
      </x:c>
      <x:c r="B159" s="22" t="s">
        <x:v>70</x:v>
      </x:c>
      <x:c r="C159" s="22" t="s">
        <x:v>209</x:v>
      </x:c>
      <x:c r="D159" s="22" t="s">
        <x:v>681</x:v>
      </x:c>
      <x:c r="E159" s="22" t="s">
        <x:v>748</x:v>
      </x:c>
      <x:c r="F159" s="22" t="s">
        <x:v>229</x:v>
      </x:c>
      <x:c r="G159" s="22">
        <x:v>4</x:v>
      </x:c>
      <x:c r="H159" s="23">
        <x:v>5550687</x:v>
      </x:c>
      <x:c r="I159" s="23">
        <x:v>12951600</x:v>
      </x:c>
      <x:c r="J159" s="23">
        <x:f>H159-I159</x:f>
      </x:c>
      <x:c r="K159" s="22">
        <x:v>3</x:v>
      </x:c>
      <x:c r="L159" s="24" t="s">
        <x:v>548</x:v>
      </x:c>
      <x:c r="M159" s="24"/>
      <x:c r="N159" s="27" t="s">
        <x:v>548</x:v>
      </x:c>
      <x:c r="O159" s="27"/>
      <x:c r="P159" s="26"/>
      <x:c r="Q159" s="27">
        <x:v>1</x:v>
      </x:c>
      <x:c r="R159" s="27"/>
      <x:c r="S159" s="22">
        <x:f>IF(N159="","تکمیل نشده",IF(N159="بدون تفصیلی (ثبت روی خود معین)","OK",IF(N159="ادغام با تفصیلی دیگر",IF(O159="","کلید مقصد خالی است",IF(IFERROR(MATCH(O159*1,$A:$A,0),0)=0,"کلید مقصد در این فهرست نیست",IF(O159*1=A159,"ادغام با خودش","OK"))),IF(Q159="","سطح شناور خالی است",IF(AND(FALSE,OR(Q159=1,Q159=2)),"سطح ۱ و ۲ این معین مال فعالیت و مرکز هزینه است","OK")))))</x:f>
      </x:c>
      <x:c r="T159" s="28"/>
    </x:row>
    <x:row r="160" spans="1:20">
      <x:c r="A160" s="21">
        <x:v>11201</x:v>
      </x:c>
      <x:c r="B160" s="22" t="s">
        <x:v>70</x:v>
      </x:c>
      <x:c r="C160" s="22" t="s">
        <x:v>209</x:v>
      </x:c>
      <x:c r="D160" s="22" t="s">
        <x:v>749</x:v>
      </x:c>
      <x:c r="E160" s="22" t="s">
        <x:v>260</x:v>
      </x:c>
      <x:c r="F160" s="22" t="s">
        <x:v>229</x:v>
      </x:c>
      <x:c r="G160" s="22">
        <x:v>9</x:v>
      </x:c>
      <x:c r="H160" s="23">
        <x:v>857300133</x:v>
      </x:c>
      <x:c r="I160" s="23">
        <x:v>0</x:v>
      </x:c>
      <x:c r="J160" s="23">
        <x:f>H160-I160</x:f>
      </x:c>
      <x:c r="K160" s="22">
        <x:v>3</x:v>
      </x:c>
      <x:c r="L160" s="24" t="s">
        <x:v>548</x:v>
      </x:c>
      <x:c r="M160" s="24"/>
      <x:c r="N160" s="27" t="s">
        <x:v>548</x:v>
      </x:c>
      <x:c r="O160" s="27"/>
      <x:c r="P160" s="26"/>
      <x:c r="Q160" s="27">
        <x:v>1</x:v>
      </x:c>
      <x:c r="R160" s="27"/>
      <x:c r="S160" s="22">
        <x:f>IF(N160="","تکمیل نشده",IF(N160="بدون تفصیلی (ثبت روی خود معین)","OK",IF(N160="ادغام با تفصیلی دیگر",IF(O160="","کلید مقصد خالی است",IF(IFERROR(MATCH(O160*1,$A:$A,0),0)=0,"کلید مقصد در این فهرست نیست",IF(O160*1=A160,"ادغام با خودش","OK"))),IF(Q160="","سطح شناور خالی است",IF(AND(FALSE,OR(Q160=1,Q160=2)),"سطح ۱ و ۲ این معین مال فعالیت و مرکز هزینه است","OK")))))</x:f>
      </x:c>
      <x:c r="T160" s="28"/>
    </x:row>
    <x:row r="161" spans="1:20">
      <x:c r="A161" s="21">
        <x:v>1858</x:v>
      </x:c>
      <x:c r="B161" s="22" t="s">
        <x:v>70</x:v>
      </x:c>
      <x:c r="C161" s="22" t="s">
        <x:v>209</x:v>
      </x:c>
      <x:c r="D161" s="22" t="s">
        <x:v>750</x:v>
      </x:c>
      <x:c r="E161" s="22" t="s">
        <x:v>751</x:v>
      </x:c>
      <x:c r="F161" s="22" t="s">
        <x:v>229</x:v>
      </x:c>
      <x:c r="G161" s="22">
        <x:v>2</x:v>
      </x:c>
      <x:c r="H161" s="23">
        <x:v>27375000</x:v>
      </x:c>
      <x:c r="I161" s="23">
        <x:v>27375000</x:v>
      </x:c>
      <x:c r="J161" s="23">
        <x:f>H161-I161</x:f>
      </x:c>
      <x:c r="K161" s="22">
        <x:v>1</x:v>
      </x:c>
      <x:c r="L161" s="24" t="s">
        <x:v>548</x:v>
      </x:c>
      <x:c r="M161" s="24"/>
      <x:c r="N161" s="27" t="s">
        <x:v>548</x:v>
      </x:c>
      <x:c r="O161" s="27"/>
      <x:c r="P161" s="26"/>
      <x:c r="Q161" s="27">
        <x:v>1</x:v>
      </x:c>
      <x:c r="R161" s="27"/>
      <x:c r="S161" s="22">
        <x:f>IF(N161="","تکمیل نشده",IF(N161="بدون تفصیلی (ثبت روی خود معین)","OK",IF(N161="ادغام با تفصیلی دیگر",IF(O161="","کلید مقصد خالی است",IF(IFERROR(MATCH(O161*1,$A:$A,0),0)=0,"کلید مقصد در این فهرست نیست",IF(O161*1=A161,"ادغام با خودش","OK"))),IF(Q161="","سطح شناور خالی است",IF(AND(FALSE,OR(Q161=1,Q161=2)),"سطح ۱ و ۲ این معین مال فعالیت و مرکز هزینه است","OK")))))</x:f>
      </x:c>
      <x:c r="T161" s="28"/>
    </x:row>
    <x:row r="162" spans="1:20">
      <x:c r="A162" s="21">
        <x:v>2014</x:v>
      </x:c>
      <x:c r="B162" s="22" t="s">
        <x:v>70</x:v>
      </x:c>
      <x:c r="C162" s="22" t="s">
        <x:v>209</x:v>
      </x:c>
      <x:c r="D162" s="22" t="s">
        <x:v>752</x:v>
      </x:c>
      <x:c r="E162" s="22" t="s">
        <x:v>753</x:v>
      </x:c>
      <x:c r="F162" s="22" t="s">
        <x:v>229</x:v>
      </x:c>
      <x:c r="G162" s="22">
        <x:v>17</x:v>
      </x:c>
      <x:c r="H162" s="23">
        <x:v>22170376386</x:v>
      </x:c>
      <x:c r="I162" s="23">
        <x:v>12521158318</x:v>
      </x:c>
      <x:c r="J162" s="23">
        <x:f>H162-I162</x:f>
      </x:c>
      <x:c r="K162" s="22">
        <x:v>1</x:v>
      </x:c>
      <x:c r="L162" s="24" t="s">
        <x:v>548</x:v>
      </x:c>
      <x:c r="M162" s="24"/>
      <x:c r="N162" s="27" t="s">
        <x:v>548</x:v>
      </x:c>
      <x:c r="O162" s="27"/>
      <x:c r="P162" s="26"/>
      <x:c r="Q162" s="27">
        <x:v>1</x:v>
      </x:c>
      <x:c r="R162" s="27"/>
      <x:c r="S162" s="22">
        <x:f>IF(N162="","تکمیل نشده",IF(N162="بدون تفصیلی (ثبت روی خود معین)","OK",IF(N162="ادغام با تفصیلی دیگر",IF(O162="","کلید مقصد خالی است",IF(IFERROR(MATCH(O162*1,$A:$A,0),0)=0,"کلید مقصد در این فهرست نیست",IF(O162*1=A162,"ادغام با خودش","OK"))),IF(Q162="","سطح شناور خالی است",IF(AND(FALSE,OR(Q162=1,Q162=2)),"سطح ۱ و ۲ این معین مال فعالیت و مرکز هزینه است","OK")))))</x:f>
      </x:c>
      <x:c r="T162" s="28"/>
    </x:row>
    <x:row r="163" spans="1:20">
      <x:c r="A163" s="21">
        <x:v>2281</x:v>
      </x:c>
      <x:c r="B163" s="22" t="s">
        <x:v>70</x:v>
      </x:c>
      <x:c r="C163" s="22" t="s">
        <x:v>209</x:v>
      </x:c>
      <x:c r="D163" s="22" t="s">
        <x:v>754</x:v>
      </x:c>
      <x:c r="E163" s="22" t="s">
        <x:v>755</x:v>
      </x:c>
      <x:c r="F163" s="22" t="s">
        <x:v>229</x:v>
      </x:c>
      <x:c r="G163" s="22">
        <x:v>17</x:v>
      </x:c>
      <x:c r="H163" s="23">
        <x:v>5758025000</x:v>
      </x:c>
      <x:c r="I163" s="23">
        <x:v>4092897219</x:v>
      </x:c>
      <x:c r="J163" s="23">
        <x:f>H163-I163</x:f>
      </x:c>
      <x:c r="K163" s="22">
        <x:v>1</x:v>
      </x:c>
      <x:c r="L163" s="24" t="s">
        <x:v>548</x:v>
      </x:c>
      <x:c r="M163" s="24"/>
      <x:c r="N163" s="27" t="s">
        <x:v>548</x:v>
      </x:c>
      <x:c r="O163" s="27"/>
      <x:c r="P163" s="26"/>
      <x:c r="Q163" s="27">
        <x:v>1</x:v>
      </x:c>
      <x:c r="R163" s="27"/>
      <x:c r="S163" s="22">
        <x:f>IF(N163="","تکمیل نشده",IF(N163="بدون تفصیلی (ثبت روی خود معین)","OK",IF(N163="ادغام با تفصیلی دیگر",IF(O163="","کلید مقصد خالی است",IF(IFERROR(MATCH(O163*1,$A:$A,0),0)=0,"کلید مقصد در این فهرست نیست",IF(O163*1=A163,"ادغام با خودش","OK"))),IF(Q163="","سطح شناور خالی است",IF(AND(FALSE,OR(Q163=1,Q163=2)),"سطح ۱ و ۲ این معین مال فعالیت و مرکز هزینه است","OK")))))</x:f>
      </x:c>
      <x:c r="T163" s="28"/>
    </x:row>
    <x:row r="164" spans="1:20">
      <x:c r="A164" s="21">
        <x:v>2299</x:v>
      </x:c>
      <x:c r="B164" s="22" t="s">
        <x:v>70</x:v>
      </x:c>
      <x:c r="C164" s="22" t="s">
        <x:v>209</x:v>
      </x:c>
      <x:c r="D164" s="22" t="s">
        <x:v>756</x:v>
      </x:c>
      <x:c r="E164" s="22" t="s">
        <x:v>757</x:v>
      </x:c>
      <x:c r="F164" s="22" t="s">
        <x:v>229</x:v>
      </x:c>
      <x:c r="G164" s="22">
        <x:v>36</x:v>
      </x:c>
      <x:c r="H164" s="23">
        <x:v>223424000</x:v>
      </x:c>
      <x:c r="I164" s="23">
        <x:v>222424000</x:v>
      </x:c>
      <x:c r="J164" s="23">
        <x:f>H164-I164</x:f>
      </x:c>
      <x:c r="K164" s="22">
        <x:v>1</x:v>
      </x:c>
      <x:c r="L164" s="24" t="s">
        <x:v>548</x:v>
      </x:c>
      <x:c r="M164" s="24"/>
      <x:c r="N164" s="27" t="s">
        <x:v>548</x:v>
      </x:c>
      <x:c r="O164" s="27"/>
      <x:c r="P164" s="26"/>
      <x:c r="Q164" s="27">
        <x:v>1</x:v>
      </x:c>
      <x:c r="R164" s="27"/>
      <x:c r="S164" s="22">
        <x:f>IF(N164="","تکمیل نشده",IF(N164="بدون تفصیلی (ثبت روی خود معین)","OK",IF(N164="ادغام با تفصیلی دیگر",IF(O164="","کلید مقصد خالی است",IF(IFERROR(MATCH(O164*1,$A:$A,0),0)=0,"کلید مقصد در این فهرست نیست",IF(O164*1=A164,"ادغام با خودش","OK"))),IF(Q164="","سطح شناور خالی است",IF(AND(FALSE,OR(Q164=1,Q164=2)),"سطح ۱ و ۲ این معین مال فعالیت و مرکز هزینه است","OK")))))</x:f>
      </x:c>
      <x:c r="T164" s="28"/>
    </x:row>
    <x:row r="165" spans="1:20">
      <x:c r="A165" s="21">
        <x:v>2300</x:v>
      </x:c>
      <x:c r="B165" s="22" t="s">
        <x:v>70</x:v>
      </x:c>
      <x:c r="C165" s="22" t="s">
        <x:v>209</x:v>
      </x:c>
      <x:c r="D165" s="22" t="s">
        <x:v>758</x:v>
      </x:c>
      <x:c r="E165" s="22" t="s">
        <x:v>759</x:v>
      </x:c>
      <x:c r="F165" s="22" t="s">
        <x:v>229</x:v>
      </x:c>
      <x:c r="G165" s="22">
        <x:v>30</x:v>
      </x:c>
      <x:c r="H165" s="23">
        <x:v>702968956</x:v>
      </x:c>
      <x:c r="I165" s="23">
        <x:v>707138236</x:v>
      </x:c>
      <x:c r="J165" s="23">
        <x:f>H165-I165</x:f>
      </x:c>
      <x:c r="K165" s="22">
        <x:v>2</x:v>
      </x:c>
      <x:c r="L165" s="24" t="s">
        <x:v>548</x:v>
      </x:c>
      <x:c r="M165" s="24"/>
      <x:c r="N165" s="27" t="s">
        <x:v>548</x:v>
      </x:c>
      <x:c r="O165" s="27"/>
      <x:c r="P165" s="26"/>
      <x:c r="Q165" s="27">
        <x:v>1</x:v>
      </x:c>
      <x:c r="R165" s="27"/>
      <x:c r="S165" s="22">
        <x:f>IF(N165="","تکمیل نشده",IF(N165="بدون تفصیلی (ثبت روی خود معین)","OK",IF(N165="ادغام با تفصیلی دیگر",IF(O165="","کلید مقصد خالی است",IF(IFERROR(MATCH(O165*1,$A:$A,0),0)=0,"کلید مقصد در این فهرست نیست",IF(O165*1=A165,"ادغام با خودش","OK"))),IF(Q165="","سطح شناور خالی است",IF(AND(FALSE,OR(Q165=1,Q165=2)),"سطح ۱ و ۲ این معین مال فعالیت و مرکز هزینه است","OK")))))</x:f>
      </x:c>
      <x:c r="T165" s="28"/>
    </x:row>
    <x:row r="166" spans="1:20">
      <x:c r="A166" s="21">
        <x:v>2301</x:v>
      </x:c>
      <x:c r="B166" s="22" t="s">
        <x:v>70</x:v>
      </x:c>
      <x:c r="C166" s="22" t="s">
        <x:v>209</x:v>
      </x:c>
      <x:c r="D166" s="22" t="s">
        <x:v>760</x:v>
      </x:c>
      <x:c r="E166" s="22" t="s">
        <x:v>759</x:v>
      </x:c>
      <x:c r="F166" s="22" t="s">
        <x:v>229</x:v>
      </x:c>
      <x:c r="G166" s="22">
        <x:v>16</x:v>
      </x:c>
      <x:c r="H166" s="23">
        <x:v>24368000</x:v>
      </x:c>
      <x:c r="I166" s="23">
        <x:v>28216000</x:v>
      </x:c>
      <x:c r="J166" s="23">
        <x:f>H166-I166</x:f>
      </x:c>
      <x:c r="K166" s="22">
        <x:v>2</x:v>
      </x:c>
      <x:c r="L166" s="24" t="s">
        <x:v>550</x:v>
      </x:c>
      <x:c r="M166" s="24">
        <x:v>2300</x:v>
      </x:c>
      <x:c r="N166" s="27" t="s">
        <x:v>550</x:v>
      </x:c>
      <x:c r="O166" s="27">
        <x:v>2300</x:v>
      </x:c>
      <x:c r="P166" s="26"/>
      <x:c r="Q166" s="27">
        <x:v>1</x:v>
      </x:c>
      <x:c r="R166" s="27"/>
      <x:c r="S166" s="22">
        <x:f>IF(N166="","تکمیل نشده",IF(N166="بدون تفصیلی (ثبت روی خود معین)","OK",IF(N166="ادغام با تفصیلی دیگر",IF(O166="","کلید مقصد خالی است",IF(IFERROR(MATCH(O166*1,$A:$A,0),0)=0,"کلید مقصد در این فهرست نیست",IF(O166*1=A166,"ادغام با خودش","OK"))),IF(Q166="","سطح شناور خالی است",IF(AND(FALSE,OR(Q166=1,Q166=2)),"سطح ۱ و ۲ این معین مال فعالیت و مرکز هزینه است","OK")))))</x:f>
      </x:c>
      <x:c r="T166" s="28"/>
    </x:row>
    <x:row r="167" spans="1:20">
      <x:c r="A167" s="21">
        <x:v>2325</x:v>
      </x:c>
      <x:c r="B167" s="22" t="s">
        <x:v>70</x:v>
      </x:c>
      <x:c r="C167" s="22" t="s">
        <x:v>209</x:v>
      </x:c>
      <x:c r="D167" s="22" t="s">
        <x:v>615</x:v>
      </x:c>
      <x:c r="E167" s="22" t="s">
        <x:v>761</x:v>
      </x:c>
      <x:c r="F167" s="22" t="s">
        <x:v>229</x:v>
      </x:c>
      <x:c r="G167" s="22">
        <x:v>13</x:v>
      </x:c>
      <x:c r="H167" s="23">
        <x:v>234744000</x:v>
      </x:c>
      <x:c r="I167" s="23">
        <x:v>117372000</x:v>
      </x:c>
      <x:c r="J167" s="23">
        <x:f>H167-I167</x:f>
      </x:c>
      <x:c r="K167" s="22">
        <x:v>1</x:v>
      </x:c>
      <x:c r="L167" s="24" t="s">
        <x:v>548</x:v>
      </x:c>
      <x:c r="M167" s="24"/>
      <x:c r="N167" s="27" t="s">
        <x:v>548</x:v>
      </x:c>
      <x:c r="O167" s="27"/>
      <x:c r="P167" s="26"/>
      <x:c r="Q167" s="27">
        <x:v>1</x:v>
      </x:c>
      <x:c r="R167" s="27"/>
      <x:c r="S167" s="22">
        <x:f>IF(N167="","تکمیل نشده",IF(N167="بدون تفصیلی (ثبت روی خود معین)","OK",IF(N167="ادغام با تفصیلی دیگر",IF(O167="","کلید مقصد خالی است",IF(IFERROR(MATCH(O167*1,$A:$A,0),0)=0,"کلید مقصد در این فهرست نیست",IF(O167*1=A167,"ادغام با خودش","OK"))),IF(Q167="","سطح شناور خالی است",IF(AND(FALSE,OR(Q167=1,Q167=2)),"سطح ۱ و ۲ این معین مال فعالیت و مرکز هزینه است","OK")))))</x:f>
      </x:c>
      <x:c r="T167" s="28"/>
    </x:row>
    <x:row r="168" spans="1:20">
      <x:c r="A168" s="21">
        <x:v>2326</x:v>
      </x:c>
      <x:c r="B168" s="22" t="s">
        <x:v>70</x:v>
      </x:c>
      <x:c r="C168" s="22" t="s">
        <x:v>209</x:v>
      </x:c>
      <x:c r="D168" s="22" t="s">
        <x:v>617</x:v>
      </x:c>
      <x:c r="E168" s="22" t="s">
        <x:v>302</x:v>
      </x:c>
      <x:c r="F168" s="22" t="s">
        <x:v>229</x:v>
      </x:c>
      <x:c r="G168" s="22">
        <x:v>13</x:v>
      </x:c>
      <x:c r="H168" s="23">
        <x:v>19232000</x:v>
      </x:c>
      <x:c r="I168" s="23">
        <x:v>9616000</x:v>
      </x:c>
      <x:c r="J168" s="23">
        <x:f>H168-I168</x:f>
      </x:c>
      <x:c r="K168" s="22">
        <x:v>3</x:v>
      </x:c>
      <x:c r="L168" s="24" t="s">
        <x:v>548</x:v>
      </x:c>
      <x:c r="M168" s="24"/>
      <x:c r="N168" s="27" t="s">
        <x:v>548</x:v>
      </x:c>
      <x:c r="O168" s="27"/>
      <x:c r="P168" s="26"/>
      <x:c r="Q168" s="27">
        <x:v>1</x:v>
      </x:c>
      <x:c r="R168" s="27"/>
      <x:c r="S168" s="22">
        <x:f>IF(N168="","تکمیل نشده",IF(N168="بدون تفصیلی (ثبت روی خود معین)","OK",IF(N168="ادغام با تفصیلی دیگر",IF(O168="","کلید مقصد خالی است",IF(IFERROR(MATCH(O168*1,$A:$A,0),0)=0,"کلید مقصد در این فهرست نیست",IF(O168*1=A168,"ادغام با خودش","OK"))),IF(Q168="","سطح شناور خالی است",IF(AND(FALSE,OR(Q168=1,Q168=2)),"سطح ۱ و ۲ این معین مال فعالیت و مرکز هزینه است","OK")))))</x:f>
      </x:c>
      <x:c r="T168" s="28"/>
    </x:row>
    <x:row r="169" spans="1:20">
      <x:c r="A169" s="21">
        <x:v>2327</x:v>
      </x:c>
      <x:c r="B169" s="22" t="s">
        <x:v>70</x:v>
      </x:c>
      <x:c r="C169" s="22" t="s">
        <x:v>209</x:v>
      </x:c>
      <x:c r="D169" s="22" t="s">
        <x:v>634</x:v>
      </x:c>
      <x:c r="E169" s="22" t="s">
        <x:v>762</x:v>
      </x:c>
      <x:c r="F169" s="22" t="s">
        <x:v>229</x:v>
      </x:c>
      <x:c r="G169" s="22">
        <x:v>12</x:v>
      </x:c>
      <x:c r="H169" s="23">
        <x:v>54008000</x:v>
      </x:c>
      <x:c r="I169" s="23">
        <x:v>27004000</x:v>
      </x:c>
      <x:c r="J169" s="23">
        <x:f>H169-I169</x:f>
      </x:c>
      <x:c r="K169" s="22">
        <x:v>3</x:v>
      </x:c>
      <x:c r="L169" s="24" t="s">
        <x:v>548</x:v>
      </x:c>
      <x:c r="M169" s="24"/>
      <x:c r="N169" s="27" t="s">
        <x:v>548</x:v>
      </x:c>
      <x:c r="O169" s="27"/>
      <x:c r="P169" s="26"/>
      <x:c r="Q169" s="27">
        <x:v>1</x:v>
      </x:c>
      <x:c r="R169" s="27"/>
      <x:c r="S169" s="22">
        <x:f>IF(N169="","تکمیل نشده",IF(N169="بدون تفصیلی (ثبت روی خود معین)","OK",IF(N169="ادغام با تفصیلی دیگر",IF(O169="","کلید مقصد خالی است",IF(IFERROR(MATCH(O169*1,$A:$A,0),0)=0,"کلید مقصد در این فهرست نیست",IF(O169*1=A169,"ادغام با خودش","OK"))),IF(Q169="","سطح شناور خالی است",IF(AND(FALSE,OR(Q169=1,Q169=2)),"سطح ۱ و ۲ این معین مال فعالیت و مرکز هزینه است","OK")))))</x:f>
      </x:c>
      <x:c r="T169" s="28"/>
    </x:row>
    <x:row r="170" spans="1:20">
      <x:c r="A170" s="21">
        <x:v>2328</x:v>
      </x:c>
      <x:c r="B170" s="22" t="s">
        <x:v>70</x:v>
      </x:c>
      <x:c r="C170" s="22" t="s">
        <x:v>209</x:v>
      </x:c>
      <x:c r="D170" s="22" t="s">
        <x:v>635</x:v>
      </x:c>
      <x:c r="E170" s="22" t="s">
        <x:v>763</x:v>
      </x:c>
      <x:c r="F170" s="22" t="s">
        <x:v>229</x:v>
      </x:c>
      <x:c r="G170" s="22">
        <x:v>12</x:v>
      </x:c>
      <x:c r="H170" s="23">
        <x:v>100472000</x:v>
      </x:c>
      <x:c r="I170" s="23">
        <x:v>50236000</x:v>
      </x:c>
      <x:c r="J170" s="23">
        <x:f>H170-I170</x:f>
      </x:c>
      <x:c r="K170" s="22">
        <x:v>2</x:v>
      </x:c>
      <x:c r="L170" s="24" t="s">
        <x:v>548</x:v>
      </x:c>
      <x:c r="M170" s="24"/>
      <x:c r="N170" s="27" t="s">
        <x:v>548</x:v>
      </x:c>
      <x:c r="O170" s="27"/>
      <x:c r="P170" s="26"/>
      <x:c r="Q170" s="27">
        <x:v>1</x:v>
      </x:c>
      <x:c r="R170" s="27"/>
      <x:c r="S170" s="22">
        <x:f>IF(N170="","تکمیل نشده",IF(N170="بدون تفصیلی (ثبت روی خود معین)","OK",IF(N170="ادغام با تفصیلی دیگر",IF(O170="","کلید مقصد خالی است",IF(IFERROR(MATCH(O170*1,$A:$A,0),0)=0,"کلید مقصد در این فهرست نیست",IF(O170*1=A170,"ادغام با خودش","OK"))),IF(Q170="","سطح شناور خالی است",IF(AND(FALSE,OR(Q170=1,Q170=2)),"سطح ۱ و ۲ این معین مال فعالیت و مرکز هزینه است","OK")))))</x:f>
      </x:c>
      <x:c r="T170" s="28"/>
    </x:row>
    <x:row r="171" spans="1:20">
      <x:c r="A171" s="21">
        <x:v>2329</x:v>
      </x:c>
      <x:c r="B171" s="22" t="s">
        <x:v>70</x:v>
      </x:c>
      <x:c r="C171" s="22" t="s">
        <x:v>209</x:v>
      </x:c>
      <x:c r="D171" s="22" t="s">
        <x:v>637</x:v>
      </x:c>
      <x:c r="E171" s="22" t="s">
        <x:v>764</x:v>
      </x:c>
      <x:c r="F171" s="22" t="s">
        <x:v>229</x:v>
      </x:c>
      <x:c r="G171" s="22">
        <x:v>12</x:v>
      </x:c>
      <x:c r="H171" s="23">
        <x:v>540496000</x:v>
      </x:c>
      <x:c r="I171" s="23">
        <x:v>270248000</x:v>
      </x:c>
      <x:c r="J171" s="23">
        <x:f>H171-I171</x:f>
      </x:c>
      <x:c r="K171" s="22">
        <x:v>1</x:v>
      </x:c>
      <x:c r="L171" s="24" t="s">
        <x:v>548</x:v>
      </x:c>
      <x:c r="M171" s="24"/>
      <x:c r="N171" s="27" t="s">
        <x:v>548</x:v>
      </x:c>
      <x:c r="O171" s="27"/>
      <x:c r="P171" s="26"/>
      <x:c r="Q171" s="27">
        <x:v>1</x:v>
      </x:c>
      <x:c r="R171" s="27"/>
      <x:c r="S171" s="22">
        <x:f>IF(N171="","تکمیل نشده",IF(N171="بدون تفصیلی (ثبت روی خود معین)","OK",IF(N171="ادغام با تفصیلی دیگر",IF(O171="","کلید مقصد خالی است",IF(IFERROR(MATCH(O171*1,$A:$A,0),0)=0,"کلید مقصد در این فهرست نیست",IF(O171*1=A171,"ادغام با خودش","OK"))),IF(Q171="","سطح شناور خالی است",IF(AND(FALSE,OR(Q171=1,Q171=2)),"سطح ۱ و ۲ این معین مال فعالیت و مرکز هزینه است","OK")))))</x:f>
      </x:c>
      <x:c r="T171" s="28"/>
    </x:row>
    <x:row r="172" spans="1:20">
      <x:c r="A172" s="21">
        <x:v>2334</x:v>
      </x:c>
      <x:c r="B172" s="22" t="s">
        <x:v>70</x:v>
      </x:c>
      <x:c r="C172" s="22" t="s">
        <x:v>85</x:v>
      </x:c>
      <x:c r="D172" s="22" t="s">
        <x:v>644</x:v>
      </x:c>
      <x:c r="E172" s="22" t="s">
        <x:v>765</x:v>
      </x:c>
      <x:c r="F172" s="22" t="s">
        <x:v>253</x:v>
      </x:c>
      <x:c r="G172" s="22">
        <x:v>15</x:v>
      </x:c>
      <x:c r="H172" s="23">
        <x:v>194147586</x:v>
      </x:c>
      <x:c r="I172" s="23">
        <x:v>194147586</x:v>
      </x:c>
      <x:c r="J172" s="23">
        <x:f>H172-I172</x:f>
      </x:c>
      <x:c r="K172" s="22">
        <x:v>1</x:v>
      </x:c>
      <x:c r="L172" s="24" t="s">
        <x:v>548</x:v>
      </x:c>
      <x:c r="M172" s="24"/>
      <x:c r="N172" s="27" t="s">
        <x:v>548</x:v>
      </x:c>
      <x:c r="O172" s="27"/>
      <x:c r="P172" s="26"/>
      <x:c r="Q172" s="27">
        <x:v>1</x:v>
      </x:c>
      <x:c r="R172" s="27"/>
      <x:c r="S172" s="22">
        <x:f>IF(N172="","تکمیل نشده",IF(N172="بدون تفصیلی (ثبت روی خود معین)","OK",IF(N172="ادغام با تفصیلی دیگر",IF(O172="","کلید مقصد خالی است",IF(IFERROR(MATCH(O172*1,$A:$A,0),0)=0,"کلید مقصد در این فهرست نیست",IF(O172*1=A172,"ادغام با خودش","OK"))),IF(Q172="","سطح شناور خالی است",IF(AND(FALSE,OR(Q172=1,Q172=2)),"سطح ۱ و ۲ این معین مال فعالیت و مرکز هزینه است","OK")))))</x:f>
      </x:c>
      <x:c r="T172" s="28"/>
    </x:row>
    <x:row r="173" spans="1:20">
      <x:c r="A173" s="21">
        <x:v>2335</x:v>
      </x:c>
      <x:c r="B173" s="22" t="s">
        <x:v>70</x:v>
      </x:c>
      <x:c r="C173" s="22" t="s">
        <x:v>85</x:v>
      </x:c>
      <x:c r="D173" s="22" t="s">
        <x:v>553</x:v>
      </x:c>
      <x:c r="E173" s="22" t="s">
        <x:v>766</x:v>
      </x:c>
      <x:c r="F173" s="22" t="s">
        <x:v>253</x:v>
      </x:c>
      <x:c r="G173" s="22">
        <x:v>26</x:v>
      </x:c>
      <x:c r="H173" s="23">
        <x:v>1099743630</x:v>
      </x:c>
      <x:c r="I173" s="23">
        <x:v>1099743630</x:v>
      </x:c>
      <x:c r="J173" s="23">
        <x:f>H173-I173</x:f>
      </x:c>
      <x:c r="K173" s="22">
        <x:v>1</x:v>
      </x:c>
      <x:c r="L173" s="24" t="s">
        <x:v>548</x:v>
      </x:c>
      <x:c r="M173" s="24"/>
      <x:c r="N173" s="27" t="s">
        <x:v>548</x:v>
      </x:c>
      <x:c r="O173" s="27"/>
      <x:c r="P173" s="26"/>
      <x:c r="Q173" s="27">
        <x:v>1</x:v>
      </x:c>
      <x:c r="R173" s="27"/>
      <x:c r="S173" s="22">
        <x:f>IF(N173="","تکمیل نشده",IF(N173="بدون تفصیلی (ثبت روی خود معین)","OK",IF(N173="ادغام با تفصیلی دیگر",IF(O173="","کلید مقصد خالی است",IF(IFERROR(MATCH(O173*1,$A:$A,0),0)=0,"کلید مقصد در این فهرست نیست",IF(O173*1=A173,"ادغام با خودش","OK"))),IF(Q173="","سطح شناور خالی است",IF(AND(FALSE,OR(Q173=1,Q173=2)),"سطح ۱ و ۲ این معین مال فعالیت و مرکز هزینه است","OK")))))</x:f>
      </x:c>
      <x:c r="T173" s="28"/>
    </x:row>
    <x:row r="174" spans="1:20">
      <x:c r="A174" s="21">
        <x:v>2336</x:v>
      </x:c>
      <x:c r="B174" s="22" t="s">
        <x:v>70</x:v>
      </x:c>
      <x:c r="C174" s="22" t="s">
        <x:v>85</x:v>
      </x:c>
      <x:c r="D174" s="22" t="s">
        <x:v>705</x:v>
      </x:c>
      <x:c r="E174" s="22" t="s">
        <x:v>767</x:v>
      </x:c>
      <x:c r="F174" s="22" t="s">
        <x:v>253</x:v>
      </x:c>
      <x:c r="G174" s="22">
        <x:v>15</x:v>
      </x:c>
      <x:c r="H174" s="23">
        <x:v>887156062</x:v>
      </x:c>
      <x:c r="I174" s="23">
        <x:v>780330112</x:v>
      </x:c>
      <x:c r="J174" s="23">
        <x:f>H174-I174</x:f>
      </x:c>
      <x:c r="K174" s="22">
        <x:v>1</x:v>
      </x:c>
      <x:c r="L174" s="24" t="s">
        <x:v>548</x:v>
      </x:c>
      <x:c r="M174" s="24"/>
      <x:c r="N174" s="27" t="s">
        <x:v>548</x:v>
      </x:c>
      <x:c r="O174" s="27"/>
      <x:c r="P174" s="26"/>
      <x:c r="Q174" s="27">
        <x:v>1</x:v>
      </x:c>
      <x:c r="R174" s="27"/>
      <x:c r="S174" s="22">
        <x:f>IF(N174="","تکمیل نشده",IF(N174="بدون تفصیلی (ثبت روی خود معین)","OK",IF(N174="ادغام با تفصیلی دیگر",IF(O174="","کلید مقصد خالی است",IF(IFERROR(MATCH(O174*1,$A:$A,0),0)=0,"کلید مقصد در این فهرست نیست",IF(O174*1=A174,"ادغام با خودش","OK"))),IF(Q174="","سطح شناور خالی است",IF(AND(FALSE,OR(Q174=1,Q174=2)),"سطح ۱ و ۲ این معین مال فعالیت و مرکز هزینه است","OK")))))</x:f>
      </x:c>
      <x:c r="T174" s="28"/>
    </x:row>
    <x:row r="175" spans="1:20">
      <x:c r="A175" s="21">
        <x:v>2337</x:v>
      </x:c>
      <x:c r="B175" s="22" t="s">
        <x:v>70</x:v>
      </x:c>
      <x:c r="C175" s="22" t="s">
        <x:v>85</x:v>
      </x:c>
      <x:c r="D175" s="22" t="s">
        <x:v>646</x:v>
      </x:c>
      <x:c r="E175" s="22" t="s">
        <x:v>768</x:v>
      </x:c>
      <x:c r="F175" s="22" t="s">
        <x:v>253</x:v>
      </x:c>
      <x:c r="G175" s="22">
        <x:v>30</x:v>
      </x:c>
      <x:c r="H175" s="23">
        <x:v>608508699</x:v>
      </x:c>
      <x:c r="I175" s="23">
        <x:v>1194088158</x:v>
      </x:c>
      <x:c r="J175" s="23">
        <x:f>H175-I175</x:f>
      </x:c>
      <x:c r="K175" s="22">
        <x:v>1</x:v>
      </x:c>
      <x:c r="L175" s="24" t="s">
        <x:v>548</x:v>
      </x:c>
      <x:c r="M175" s="24"/>
      <x:c r="N175" s="27" t="s">
        <x:v>548</x:v>
      </x:c>
      <x:c r="O175" s="27"/>
      <x:c r="P175" s="26"/>
      <x:c r="Q175" s="27">
        <x:v>1</x:v>
      </x:c>
      <x:c r="R175" s="27"/>
      <x:c r="S175" s="22">
        <x:f>IF(N175="","تکمیل نشده",IF(N175="بدون تفصیلی (ثبت روی خود معین)","OK",IF(N175="ادغام با تفصیلی دیگر",IF(O175="","کلید مقصد خالی است",IF(IFERROR(MATCH(O175*1,$A:$A,0),0)=0,"کلید مقصد در این فهرست نیست",IF(O175*1=A175,"ادغام با خودش","OK"))),IF(Q175="","سطح شناور خالی است",IF(AND(FALSE,OR(Q175=1,Q175=2)),"سطح ۱ و ۲ این معین مال فعالیت و مرکز هزینه است","OK")))))</x:f>
      </x:c>
      <x:c r="T175" s="28"/>
    </x:row>
    <x:row r="176" spans="1:20">
      <x:c r="A176" s="21">
        <x:v>2338</x:v>
      </x:c>
      <x:c r="B176" s="22" t="s">
        <x:v>70</x:v>
      </x:c>
      <x:c r="C176" s="22" t="s">
        <x:v>85</x:v>
      </x:c>
      <x:c r="D176" s="22" t="s">
        <x:v>648</x:v>
      </x:c>
      <x:c r="E176" s="22" t="s">
        <x:v>769</x:v>
      </x:c>
      <x:c r="F176" s="22" t="s">
        <x:v>253</x:v>
      </x:c>
      <x:c r="G176" s="22">
        <x:v>22</x:v>
      </x:c>
      <x:c r="H176" s="23">
        <x:v>394589367</x:v>
      </x:c>
      <x:c r="I176" s="23">
        <x:v>394589367</x:v>
      </x:c>
      <x:c r="J176" s="23">
        <x:f>H176-I176</x:f>
      </x:c>
      <x:c r="K176" s="22">
        <x:v>1</x:v>
      </x:c>
      <x:c r="L176" s="24" t="s">
        <x:v>548</x:v>
      </x:c>
      <x:c r="M176" s="24"/>
      <x:c r="N176" s="27" t="s">
        <x:v>548</x:v>
      </x:c>
      <x:c r="O176" s="27"/>
      <x:c r="P176" s="26"/>
      <x:c r="Q176" s="27">
        <x:v>1</x:v>
      </x:c>
      <x:c r="R176" s="27"/>
      <x:c r="S176" s="22">
        <x:f>IF(N176="","تکمیل نشده",IF(N176="بدون تفصیلی (ثبت روی خود معین)","OK",IF(N176="ادغام با تفصیلی دیگر",IF(O176="","کلید مقصد خالی است",IF(IFERROR(MATCH(O176*1,$A:$A,0),0)=0,"کلید مقصد در این فهرست نیست",IF(O176*1=A176,"ادغام با خودش","OK"))),IF(Q176="","سطح شناور خالی است",IF(AND(FALSE,OR(Q176=1,Q176=2)),"سطح ۱ و ۲ این معین مال فعالیت و مرکز هزینه است","OK")))))</x:f>
      </x:c>
      <x:c r="T176" s="28"/>
    </x:row>
    <x:row r="177" spans="1:20">
      <x:c r="A177" s="21">
        <x:v>2339</x:v>
      </x:c>
      <x:c r="B177" s="22" t="s">
        <x:v>70</x:v>
      </x:c>
      <x:c r="C177" s="22" t="s">
        <x:v>85</x:v>
      </x:c>
      <x:c r="D177" s="22" t="s">
        <x:v>650</x:v>
      </x:c>
      <x:c r="E177" s="22" t="s">
        <x:v>770</x:v>
      </x:c>
      <x:c r="F177" s="22" t="s">
        <x:v>253</x:v>
      </x:c>
      <x:c r="G177" s="22">
        <x:v>10</x:v>
      </x:c>
      <x:c r="H177" s="23">
        <x:v>303367841</x:v>
      </x:c>
      <x:c r="I177" s="23">
        <x:v>303367841</x:v>
      </x:c>
      <x:c r="J177" s="23">
        <x:f>H177-I177</x:f>
      </x:c>
      <x:c r="K177" s="22">
        <x:v>1</x:v>
      </x:c>
      <x:c r="L177" s="24" t="s">
        <x:v>548</x:v>
      </x:c>
      <x:c r="M177" s="24"/>
      <x:c r="N177" s="27" t="s">
        <x:v>548</x:v>
      </x:c>
      <x:c r="O177" s="27"/>
      <x:c r="P177" s="26"/>
      <x:c r="Q177" s="27">
        <x:v>1</x:v>
      </x:c>
      <x:c r="R177" s="27"/>
      <x:c r="S177" s="22">
        <x:f>IF(N177="","تکمیل نشده",IF(N177="بدون تفصیلی (ثبت روی خود معین)","OK",IF(N177="ادغام با تفصیلی دیگر",IF(O177="","کلید مقصد خالی است",IF(IFERROR(MATCH(O177*1,$A:$A,0),0)=0,"کلید مقصد در این فهرست نیست",IF(O177*1=A177,"ادغام با خودش","OK"))),IF(Q177="","سطح شناور خالی است",IF(AND(FALSE,OR(Q177=1,Q177=2)),"سطح ۱ و ۲ این معین مال فعالیت و مرکز هزینه است","OK")))))</x:f>
      </x:c>
      <x:c r="T177" s="28"/>
    </x:row>
    <x:row r="178" spans="1:20">
      <x:c r="A178" s="21">
        <x:v>2340</x:v>
      </x:c>
      <x:c r="B178" s="22" t="s">
        <x:v>70</x:v>
      </x:c>
      <x:c r="C178" s="22" t="s">
        <x:v>85</x:v>
      </x:c>
      <x:c r="D178" s="22" t="s">
        <x:v>652</x:v>
      </x:c>
      <x:c r="E178" s="22" t="s">
        <x:v>771</x:v>
      </x:c>
      <x:c r="F178" s="22" t="s">
        <x:v>253</x:v>
      </x:c>
      <x:c r="G178" s="22">
        <x:v>28</x:v>
      </x:c>
      <x:c r="H178" s="23">
        <x:v>600391548</x:v>
      </x:c>
      <x:c r="I178" s="23">
        <x:v>600391548</x:v>
      </x:c>
      <x:c r="J178" s="23">
        <x:f>H178-I178</x:f>
      </x:c>
      <x:c r="K178" s="22">
        <x:v>1</x:v>
      </x:c>
      <x:c r="L178" s="24" t="s">
        <x:v>548</x:v>
      </x:c>
      <x:c r="M178" s="24"/>
      <x:c r="N178" s="27" t="s">
        <x:v>548</x:v>
      </x:c>
      <x:c r="O178" s="27"/>
      <x:c r="P178" s="26"/>
      <x:c r="Q178" s="27">
        <x:v>1</x:v>
      </x:c>
      <x:c r="R178" s="27"/>
      <x:c r="S178" s="22">
        <x:f>IF(N178="","تکمیل نشده",IF(N178="بدون تفصیلی (ثبت روی خود معین)","OK",IF(N178="ادغام با تفصیلی دیگر",IF(O178="","کلید مقصد خالی است",IF(IFERROR(MATCH(O178*1,$A:$A,0),0)=0,"کلید مقصد در این فهرست نیست",IF(O178*1=A178,"ادغام با خودش","OK"))),IF(Q178="","سطح شناور خالی است",IF(AND(FALSE,OR(Q178=1,Q178=2)),"سطح ۱ و ۲ این معین مال فعالیت و مرکز هزینه است","OK")))))</x:f>
      </x:c>
      <x:c r="T178" s="28"/>
    </x:row>
    <x:row r="179" spans="1:20">
      <x:c r="A179" s="21">
        <x:v>2341</x:v>
      </x:c>
      <x:c r="B179" s="22" t="s">
        <x:v>70</x:v>
      </x:c>
      <x:c r="C179" s="22" t="s">
        <x:v>85</x:v>
      </x:c>
      <x:c r="D179" s="22" t="s">
        <x:v>654</x:v>
      </x:c>
      <x:c r="E179" s="22" t="s">
        <x:v>772</x:v>
      </x:c>
      <x:c r="F179" s="22" t="s">
        <x:v>253</x:v>
      </x:c>
      <x:c r="G179" s="22">
        <x:v>8</x:v>
      </x:c>
      <x:c r="H179" s="23">
        <x:v>140962898</x:v>
      </x:c>
      <x:c r="I179" s="23">
        <x:v>140962898</x:v>
      </x:c>
      <x:c r="J179" s="23">
        <x:f>H179-I179</x:f>
      </x:c>
      <x:c r="K179" s="22">
        <x:v>1</x:v>
      </x:c>
      <x:c r="L179" s="24" t="s">
        <x:v>548</x:v>
      </x:c>
      <x:c r="M179" s="24"/>
      <x:c r="N179" s="27" t="s">
        <x:v>548</x:v>
      </x:c>
      <x:c r="O179" s="27"/>
      <x:c r="P179" s="26"/>
      <x:c r="Q179" s="27">
        <x:v>1</x:v>
      </x:c>
      <x:c r="R179" s="27"/>
      <x:c r="S179" s="22">
        <x:f>IF(N179="","تکمیل نشده",IF(N179="بدون تفصیلی (ثبت روی خود معین)","OK",IF(N179="ادغام با تفصیلی دیگر",IF(O179="","کلید مقصد خالی است",IF(IFERROR(MATCH(O179*1,$A:$A,0),0)=0,"کلید مقصد در این فهرست نیست",IF(O179*1=A179,"ادغام با خودش","OK"))),IF(Q179="","سطح شناور خالی است",IF(AND(FALSE,OR(Q179=1,Q179=2)),"سطح ۱ و ۲ این معین مال فعالیت و مرکز هزینه است","OK")))))</x:f>
      </x:c>
      <x:c r="T179" s="28"/>
    </x:row>
    <x:row r="180" spans="1:20">
      <x:c r="A180" s="21">
        <x:v>2342</x:v>
      </x:c>
      <x:c r="B180" s="22" t="s">
        <x:v>70</x:v>
      </x:c>
      <x:c r="C180" s="22" t="s">
        <x:v>85</x:v>
      </x:c>
      <x:c r="D180" s="22" t="s">
        <x:v>656</x:v>
      </x:c>
      <x:c r="E180" s="22" t="s">
        <x:v>773</x:v>
      </x:c>
      <x:c r="F180" s="22" t="s">
        <x:v>253</x:v>
      </x:c>
      <x:c r="G180" s="22">
        <x:v>10</x:v>
      </x:c>
      <x:c r="H180" s="23">
        <x:v>249793266</x:v>
      </x:c>
      <x:c r="I180" s="23">
        <x:v>249793266</x:v>
      </x:c>
      <x:c r="J180" s="23">
        <x:f>H180-I180</x:f>
      </x:c>
      <x:c r="K180" s="22">
        <x:v>1</x:v>
      </x:c>
      <x:c r="L180" s="24" t="s">
        <x:v>548</x:v>
      </x:c>
      <x:c r="M180" s="24"/>
      <x:c r="N180" s="27" t="s">
        <x:v>548</x:v>
      </x:c>
      <x:c r="O180" s="27"/>
      <x:c r="P180" s="26"/>
      <x:c r="Q180" s="27">
        <x:v>1</x:v>
      </x:c>
      <x:c r="R180" s="27"/>
      <x:c r="S180" s="22">
        <x:f>IF(N180="","تکمیل نشده",IF(N180="بدون تفصیلی (ثبت روی خود معین)","OK",IF(N180="ادغام با تفصیلی دیگر",IF(O180="","کلید مقصد خالی است",IF(IFERROR(MATCH(O180*1,$A:$A,0),0)=0,"کلید مقصد در این فهرست نیست",IF(O180*1=A180,"ادغام با خودش","OK"))),IF(Q180="","سطح شناور خالی است",IF(AND(FALSE,OR(Q180=1,Q180=2)),"سطح ۱ و ۲ این معین مال فعالیت و مرکز هزینه است","OK")))))</x:f>
      </x:c>
      <x:c r="T180" s="28"/>
    </x:row>
    <x:row r="181" spans="1:20">
      <x:c r="A181" s="21">
        <x:v>2343</x:v>
      </x:c>
      <x:c r="B181" s="22" t="s">
        <x:v>70</x:v>
      </x:c>
      <x:c r="C181" s="22" t="s">
        <x:v>85</x:v>
      </x:c>
      <x:c r="D181" s="22" t="s">
        <x:v>729</x:v>
      </x:c>
      <x:c r="E181" s="22" t="s">
        <x:v>774</x:v>
      </x:c>
      <x:c r="F181" s="22" t="s">
        <x:v>253</x:v>
      </x:c>
      <x:c r="G181" s="22">
        <x:v>6</x:v>
      </x:c>
      <x:c r="H181" s="23">
        <x:v>72439300</x:v>
      </x:c>
      <x:c r="I181" s="23">
        <x:v>72439300</x:v>
      </x:c>
      <x:c r="J181" s="23">
        <x:f>H181-I181</x:f>
      </x:c>
      <x:c r="K181" s="22">
        <x:v>1</x:v>
      </x:c>
      <x:c r="L181" s="24" t="s">
        <x:v>548</x:v>
      </x:c>
      <x:c r="M181" s="24"/>
      <x:c r="N181" s="27" t="s">
        <x:v>548</x:v>
      </x:c>
      <x:c r="O181" s="27"/>
      <x:c r="P181" s="26"/>
      <x:c r="Q181" s="27">
        <x:v>1</x:v>
      </x:c>
      <x:c r="R181" s="27"/>
      <x:c r="S181" s="22">
        <x:f>IF(N181="","تکمیل نشده",IF(N181="بدون تفصیلی (ثبت روی خود معین)","OK",IF(N181="ادغام با تفصیلی دیگر",IF(O181="","کلید مقصد خالی است",IF(IFERROR(MATCH(O181*1,$A:$A,0),0)=0,"کلید مقصد در این فهرست نیست",IF(O181*1=A181,"ادغام با خودش","OK"))),IF(Q181="","سطح شناور خالی است",IF(AND(FALSE,OR(Q181=1,Q181=2)),"سطح ۱ و ۲ این معین مال فعالیت و مرکز هزینه است","OK")))))</x:f>
      </x:c>
      <x:c r="T181" s="28"/>
    </x:row>
    <x:row r="182" spans="1:20">
      <x:c r="A182" s="21">
        <x:v>2344</x:v>
      </x:c>
      <x:c r="B182" s="22" t="s">
        <x:v>70</x:v>
      </x:c>
      <x:c r="C182" s="22" t="s">
        <x:v>85</x:v>
      </x:c>
      <x:c r="D182" s="22" t="s">
        <x:v>775</x:v>
      </x:c>
      <x:c r="E182" s="22" t="s">
        <x:v>776</x:v>
      </x:c>
      <x:c r="F182" s="22" t="s">
        <x:v>253</x:v>
      </x:c>
      <x:c r="G182" s="22">
        <x:v>2</x:v>
      </x:c>
      <x:c r="H182" s="23">
        <x:v>73337482</x:v>
      </x:c>
      <x:c r="I182" s="23">
        <x:v>73337482</x:v>
      </x:c>
      <x:c r="J182" s="23">
        <x:f>H182-I182</x:f>
      </x:c>
      <x:c r="K182" s="22">
        <x:v>1</x:v>
      </x:c>
      <x:c r="L182" s="24" t="s">
        <x:v>548</x:v>
      </x:c>
      <x:c r="M182" s="24"/>
      <x:c r="N182" s="27" t="s">
        <x:v>548</x:v>
      </x:c>
      <x:c r="O182" s="27"/>
      <x:c r="P182" s="26"/>
      <x:c r="Q182" s="27">
        <x:v>1</x:v>
      </x:c>
      <x:c r="R182" s="27"/>
      <x:c r="S182" s="22">
        <x:f>IF(N182="","تکمیل نشده",IF(N182="بدون تفصیلی (ثبت روی خود معین)","OK",IF(N182="ادغام با تفصیلی دیگر",IF(O182="","کلید مقصد خالی است",IF(IFERROR(MATCH(O182*1,$A:$A,0),0)=0,"کلید مقصد در این فهرست نیست",IF(O182*1=A182,"ادغام با خودش","OK"))),IF(Q182="","سطح شناور خالی است",IF(AND(FALSE,OR(Q182=1,Q182=2)),"سطح ۱ و ۲ این معین مال فعالیت و مرکز هزینه است","OK")))))</x:f>
      </x:c>
      <x:c r="T182" s="28"/>
    </x:row>
    <x:row r="183" spans="1:20">
      <x:c r="A183" s="21">
        <x:v>2345</x:v>
      </x:c>
      <x:c r="B183" s="22" t="s">
        <x:v>70</x:v>
      </x:c>
      <x:c r="C183" s="22" t="s">
        <x:v>85</x:v>
      </x:c>
      <x:c r="D183" s="22" t="s">
        <x:v>731</x:v>
      </x:c>
      <x:c r="E183" s="22" t="s">
        <x:v>777</x:v>
      </x:c>
      <x:c r="F183" s="22" t="s">
        <x:v>253</x:v>
      </x:c>
      <x:c r="G183" s="22">
        <x:v>26</x:v>
      </x:c>
      <x:c r="H183" s="23">
        <x:v>1400636757</x:v>
      </x:c>
      <x:c r="I183" s="23">
        <x:v>1400636757</x:v>
      </x:c>
      <x:c r="J183" s="23">
        <x:f>H183-I183</x:f>
      </x:c>
      <x:c r="K183" s="22">
        <x:v>1</x:v>
      </x:c>
      <x:c r="L183" s="24" t="s">
        <x:v>548</x:v>
      </x:c>
      <x:c r="M183" s="24"/>
      <x:c r="N183" s="27" t="s">
        <x:v>548</x:v>
      </x:c>
      <x:c r="O183" s="27"/>
      <x:c r="P183" s="26"/>
      <x:c r="Q183" s="27">
        <x:v>1</x:v>
      </x:c>
      <x:c r="R183" s="27"/>
      <x:c r="S183" s="22">
        <x:f>IF(N183="","تکمیل نشده",IF(N183="بدون تفصیلی (ثبت روی خود معین)","OK",IF(N183="ادغام با تفصیلی دیگر",IF(O183="","کلید مقصد خالی است",IF(IFERROR(MATCH(O183*1,$A:$A,0),0)=0,"کلید مقصد در این فهرست نیست",IF(O183*1=A183,"ادغام با خودش","OK"))),IF(Q183="","سطح شناور خالی است",IF(AND(FALSE,OR(Q183=1,Q183=2)),"سطح ۱ و ۲ این معین مال فعالیت و مرکز هزینه است","OK")))))</x:f>
      </x:c>
      <x:c r="T183" s="28"/>
    </x:row>
    <x:row r="184" spans="1:20">
      <x:c r="A184" s="21">
        <x:v>2347</x:v>
      </x:c>
      <x:c r="B184" s="22" t="s">
        <x:v>70</x:v>
      </x:c>
      <x:c r="C184" s="22" t="s">
        <x:v>85</x:v>
      </x:c>
      <x:c r="D184" s="22" t="s">
        <x:v>778</x:v>
      </x:c>
      <x:c r="E184" s="22" t="s">
        <x:v>779</x:v>
      </x:c>
      <x:c r="F184" s="22" t="s">
        <x:v>253</x:v>
      </x:c>
      <x:c r="G184" s="22">
        <x:v>7</x:v>
      </x:c>
      <x:c r="H184" s="23">
        <x:v>3226959003</x:v>
      </x:c>
      <x:c r="I184" s="23">
        <x:v>4335760270</x:v>
      </x:c>
      <x:c r="J184" s="23">
        <x:f>H184-I184</x:f>
      </x:c>
      <x:c r="K184" s="22">
        <x:v>1</x:v>
      </x:c>
      <x:c r="L184" s="24" t="s">
        <x:v>548</x:v>
      </x:c>
      <x:c r="M184" s="24"/>
      <x:c r="N184" s="27" t="s">
        <x:v>548</x:v>
      </x:c>
      <x:c r="O184" s="27"/>
      <x:c r="P184" s="26"/>
      <x:c r="Q184" s="27">
        <x:v>1</x:v>
      </x:c>
      <x:c r="R184" s="27"/>
      <x:c r="S184" s="22">
        <x:f>IF(N184="","تکمیل نشده",IF(N184="بدون تفصیلی (ثبت روی خود معین)","OK",IF(N184="ادغام با تفصیلی دیگر",IF(O184="","کلید مقصد خالی است",IF(IFERROR(MATCH(O184*1,$A:$A,0),0)=0,"کلید مقصد در این فهرست نیست",IF(O184*1=A184,"ادغام با خودش","OK"))),IF(Q184="","سطح شناور خالی است",IF(AND(FALSE,OR(Q184=1,Q184=2)),"سطح ۱ و ۲ این معین مال فعالیت و مرکز هزینه است","OK")))))</x:f>
      </x:c>
      <x:c r="T184" s="28"/>
    </x:row>
    <x:row r="185" spans="1:20">
      <x:c r="A185" s="21">
        <x:v>2348</x:v>
      </x:c>
      <x:c r="B185" s="22" t="s">
        <x:v>70</x:v>
      </x:c>
      <x:c r="C185" s="22" t="s">
        <x:v>85</x:v>
      </x:c>
      <x:c r="D185" s="22" t="s">
        <x:v>780</x:v>
      </x:c>
      <x:c r="E185" s="22" t="s">
        <x:v>781</x:v>
      </x:c>
      <x:c r="F185" s="22" t="s">
        <x:v>253</x:v>
      </x:c>
      <x:c r="G185" s="22">
        <x:v>1</x:v>
      </x:c>
      <x:c r="H185" s="23">
        <x:v>0</x:v>
      </x:c>
      <x:c r="I185" s="23">
        <x:v>99318609</x:v>
      </x:c>
      <x:c r="J185" s="23">
        <x:f>H185-I185</x:f>
      </x:c>
      <x:c r="K185" s="22">
        <x:v>1</x:v>
      </x:c>
      <x:c r="L185" s="24" t="s">
        <x:v>548</x:v>
      </x:c>
      <x:c r="M185" s="24"/>
      <x:c r="N185" s="27" t="s">
        <x:v>548</x:v>
      </x:c>
      <x:c r="O185" s="27"/>
      <x:c r="P185" s="26"/>
      <x:c r="Q185" s="27">
        <x:v>1</x:v>
      </x:c>
      <x:c r="R185" s="27"/>
      <x:c r="S185" s="22">
        <x:f>IF(N185="","تکمیل نشده",IF(N185="بدون تفصیلی (ثبت روی خود معین)","OK",IF(N185="ادغام با تفصیلی دیگر",IF(O185="","کلید مقصد خالی است",IF(IFERROR(MATCH(O185*1,$A:$A,0),0)=0,"کلید مقصد در این فهرست نیست",IF(O185*1=A185,"ادغام با خودش","OK"))),IF(Q185="","سطح شناور خالی است",IF(AND(FALSE,OR(Q185=1,Q185=2)),"سطح ۱ و ۲ این معین مال فعالیت و مرکز هزینه است","OK")))))</x:f>
      </x:c>
      <x:c r="T185" s="28"/>
    </x:row>
    <x:row r="186" spans="1:20">
      <x:c r="A186" s="21">
        <x:v>2350</x:v>
      </x:c>
      <x:c r="B186" s="22" t="s">
        <x:v>70</x:v>
      </x:c>
      <x:c r="C186" s="22" t="s">
        <x:v>85</x:v>
      </x:c>
      <x:c r="D186" s="22" t="s">
        <x:v>782</x:v>
      </x:c>
      <x:c r="E186" s="22" t="s">
        <x:v>783</x:v>
      </x:c>
      <x:c r="F186" s="22" t="s">
        <x:v>253</x:v>
      </x:c>
      <x:c r="G186" s="22">
        <x:v>2</x:v>
      </x:c>
      <x:c r="H186" s="23">
        <x:v>0</x:v>
      </x:c>
      <x:c r="I186" s="23">
        <x:v>1466574524</x:v>
      </x:c>
      <x:c r="J186" s="23">
        <x:f>H186-I186</x:f>
      </x:c>
      <x:c r="K186" s="22">
        <x:v>1</x:v>
      </x:c>
      <x:c r="L186" s="24" t="s">
        <x:v>548</x:v>
      </x:c>
      <x:c r="M186" s="24"/>
      <x:c r="N186" s="27" t="s">
        <x:v>548</x:v>
      </x:c>
      <x:c r="O186" s="27"/>
      <x:c r="P186" s="26"/>
      <x:c r="Q186" s="27">
        <x:v>1</x:v>
      </x:c>
      <x:c r="R186" s="27"/>
      <x:c r="S186" s="22">
        <x:f>IF(N186="","تکمیل نشده",IF(N186="بدون تفصیلی (ثبت روی خود معین)","OK",IF(N186="ادغام با تفصیلی دیگر",IF(O186="","کلید مقصد خالی است",IF(IFERROR(MATCH(O186*1,$A:$A,0),0)=0,"کلید مقصد در این فهرست نیست",IF(O186*1=A186,"ادغام با خودش","OK"))),IF(Q186="","سطح شناور خالی است",IF(AND(FALSE,OR(Q186=1,Q186=2)),"سطح ۱ و ۲ این معین مال فعالیت و مرکز هزینه است","OK")))))</x:f>
      </x:c>
      <x:c r="T186" s="28"/>
    </x:row>
    <x:row r="187" spans="1:20">
      <x:c r="A187" s="21">
        <x:v>2354</x:v>
      </x:c>
      <x:c r="B187" s="22" t="s">
        <x:v>70</x:v>
      </x:c>
      <x:c r="C187" s="22" t="s">
        <x:v>85</x:v>
      </x:c>
      <x:c r="D187" s="22" t="s">
        <x:v>754</x:v>
      </x:c>
      <x:c r="E187" s="22" t="s">
        <x:v>784</x:v>
      </x:c>
      <x:c r="F187" s="22" t="s">
        <x:v>253</x:v>
      </x:c>
      <x:c r="G187" s="22">
        <x:v>38</x:v>
      </x:c>
      <x:c r="H187" s="23">
        <x:v>15041540116</x:v>
      </x:c>
      <x:c r="I187" s="23">
        <x:v>17589540116</x:v>
      </x:c>
      <x:c r="J187" s="23">
        <x:f>H187-I187</x:f>
      </x:c>
      <x:c r="K187" s="22">
        <x:v>1</x:v>
      </x:c>
      <x:c r="L187" s="24" t="s">
        <x:v>548</x:v>
      </x:c>
      <x:c r="M187" s="24"/>
      <x:c r="N187" s="27" t="s">
        <x:v>548</x:v>
      </x:c>
      <x:c r="O187" s="27"/>
      <x:c r="P187" s="26"/>
      <x:c r="Q187" s="27">
        <x:v>1</x:v>
      </x:c>
      <x:c r="R187" s="27"/>
      <x:c r="S187" s="22">
        <x:f>IF(N187="","تکمیل نشده",IF(N187="بدون تفصیلی (ثبت روی خود معین)","OK",IF(N187="ادغام با تفصیلی دیگر",IF(O187="","کلید مقصد خالی است",IF(IFERROR(MATCH(O187*1,$A:$A,0),0)=0,"کلید مقصد در این فهرست نیست",IF(O187*1=A187,"ادغام با خودش","OK"))),IF(Q187="","سطح شناور خالی است",IF(AND(FALSE,OR(Q187=1,Q187=2)),"سطح ۱ و ۲ این معین مال فعالیت و مرکز هزینه است","OK")))))</x:f>
      </x:c>
      <x:c r="T187" s="28"/>
    </x:row>
    <x:row r="188" spans="1:20">
      <x:c r="A188" s="21">
        <x:v>3646</x:v>
      </x:c>
      <x:c r="B188" s="22" t="s">
        <x:v>70</x:v>
      </x:c>
      <x:c r="C188" s="22" t="s">
        <x:v>85</x:v>
      </x:c>
      <x:c r="D188" s="22" t="s">
        <x:v>785</x:v>
      </x:c>
      <x:c r="E188" s="22" t="s">
        <x:v>786</x:v>
      </x:c>
      <x:c r="F188" s="22" t="s">
        <x:v>253</x:v>
      </x:c>
      <x:c r="G188" s="22">
        <x:v>7</x:v>
      </x:c>
      <x:c r="H188" s="23">
        <x:v>88029000</x:v>
      </x:c>
      <x:c r="I188" s="23">
        <x:v>105774000</x:v>
      </x:c>
      <x:c r="J188" s="23">
        <x:f>H188-I188</x:f>
      </x:c>
      <x:c r="K188" s="22">
        <x:v>1</x:v>
      </x:c>
      <x:c r="L188" s="24" t="s">
        <x:v>548</x:v>
      </x:c>
      <x:c r="M188" s="24"/>
      <x:c r="N188" s="27" t="s">
        <x:v>548</x:v>
      </x:c>
      <x:c r="O188" s="27"/>
      <x:c r="P188" s="26"/>
      <x:c r="Q188" s="27">
        <x:v>1</x:v>
      </x:c>
      <x:c r="R188" s="27"/>
      <x:c r="S188" s="22">
        <x:f>IF(N188="","تکمیل نشده",IF(N188="بدون تفصیلی (ثبت روی خود معین)","OK",IF(N188="ادغام با تفصیلی دیگر",IF(O188="","کلید مقصد خالی است",IF(IFERROR(MATCH(O188*1,$A:$A,0),0)=0,"کلید مقصد در این فهرست نیست",IF(O188*1=A188,"ادغام با خودش","OK"))),IF(Q188="","سطح شناور خالی است",IF(AND(FALSE,OR(Q188=1,Q188=2)),"سطح ۱ و ۲ این معین مال فعالیت و مرکز هزینه است","OK")))))</x:f>
      </x:c>
      <x:c r="T188" s="28"/>
    </x:row>
    <x:row r="189" spans="1:20">
      <x:c r="A189" s="21">
        <x:v>3647</x:v>
      </x:c>
      <x:c r="B189" s="22" t="s">
        <x:v>70</x:v>
      </x:c>
      <x:c r="C189" s="22" t="s">
        <x:v>85</x:v>
      </x:c>
      <x:c r="D189" s="22" t="s">
        <x:v>787</x:v>
      </x:c>
      <x:c r="E189" s="22" t="s">
        <x:v>302</x:v>
      </x:c>
      <x:c r="F189" s="22" t="s">
        <x:v>253</x:v>
      </x:c>
      <x:c r="G189" s="22">
        <x:v>7</x:v>
      </x:c>
      <x:c r="H189" s="23">
        <x:v>7211000</x:v>
      </x:c>
      <x:c r="I189" s="23">
        <x:v>10620000</x:v>
      </x:c>
      <x:c r="J189" s="23">
        <x:f>H189-I189</x:f>
      </x:c>
      <x:c r="K189" s="22">
        <x:v>3</x:v>
      </x:c>
      <x:c r="L189" s="24" t="s">
        <x:v>550</x:v>
      </x:c>
      <x:c r="M189" s="24">
        <x:v>2326</x:v>
      </x:c>
      <x:c r="N189" s="27" t="s">
        <x:v>550</x:v>
      </x:c>
      <x:c r="O189" s="27">
        <x:v>2326</x:v>
      </x:c>
      <x:c r="P189" s="26"/>
      <x:c r="Q189" s="27">
        <x:v>1</x:v>
      </x:c>
      <x:c r="R189" s="27"/>
      <x:c r="S189" s="22">
        <x:f>IF(N189="","تکمیل نشده",IF(N189="بدون تفصیلی (ثبت روی خود معین)","OK",IF(N189="ادغام با تفصیلی دیگر",IF(O189="","کلید مقصد خالی است",IF(IFERROR(MATCH(O189*1,$A:$A,0),0)=0,"کلید مقصد در این فهرست نیست",IF(O189*1=A189,"ادغام با خودش","OK"))),IF(Q189="","سطح شناور خالی است",IF(AND(FALSE,OR(Q189=1,Q189=2)),"سطح ۱ و ۲ این معین مال فعالیت و مرکز هزینه است","OK")))))</x:f>
      </x:c>
      <x:c r="T189" s="28"/>
    </x:row>
    <x:row r="190" spans="1:20">
      <x:c r="A190" s="21">
        <x:v>3658</x:v>
      </x:c>
      <x:c r="B190" s="22" t="s">
        <x:v>70</x:v>
      </x:c>
      <x:c r="C190" s="22" t="s">
        <x:v>85</x:v>
      </x:c>
      <x:c r="D190" s="22" t="s">
        <x:v>788</x:v>
      </x:c>
      <x:c r="E190" s="22" t="s">
        <x:v>762</x:v>
      </x:c>
      <x:c r="F190" s="22" t="s">
        <x:v>253</x:v>
      </x:c>
      <x:c r="G190" s="22">
        <x:v>7</x:v>
      </x:c>
      <x:c r="H190" s="23">
        <x:v>20253000</x:v>
      </x:c>
      <x:c r="I190" s="23">
        <x:v>25276492</x:v>
      </x:c>
      <x:c r="J190" s="23">
        <x:f>H190-I190</x:f>
      </x:c>
      <x:c r="K190" s="22">
        <x:v>3</x:v>
      </x:c>
      <x:c r="L190" s="24" t="s">
        <x:v>550</x:v>
      </x:c>
      <x:c r="M190" s="24">
        <x:v>2327</x:v>
      </x:c>
      <x:c r="N190" s="27" t="s">
        <x:v>550</x:v>
      </x:c>
      <x:c r="O190" s="27">
        <x:v>2327</x:v>
      </x:c>
      <x:c r="P190" s="26"/>
      <x:c r="Q190" s="27">
        <x:v>1</x:v>
      </x:c>
      <x:c r="R190" s="27"/>
      <x:c r="S190" s="22">
        <x:f>IF(N190="","تکمیل نشده",IF(N190="بدون تفصیلی (ثبت روی خود معین)","OK",IF(N190="ادغام با تفصیلی دیگر",IF(O190="","کلید مقصد خالی است",IF(IFERROR(MATCH(O190*1,$A:$A,0),0)=0,"کلید مقصد در این فهرست نیست",IF(O190*1=A190,"ادغام با خودش","OK"))),IF(Q190="","سطح شناور خالی است",IF(AND(FALSE,OR(Q190=1,Q190=2)),"سطح ۱ و ۲ این معین مال فعالیت و مرکز هزینه است","OK")))))</x:f>
      </x:c>
      <x:c r="T190" s="28"/>
    </x:row>
    <x:row r="191" spans="1:20">
      <x:c r="A191" s="21">
        <x:v>3649</x:v>
      </x:c>
      <x:c r="B191" s="22" t="s">
        <x:v>70</x:v>
      </x:c>
      <x:c r="C191" s="22" t="s">
        <x:v>85</x:v>
      </x:c>
      <x:c r="D191" s="22" t="s">
        <x:v>789</x:v>
      </x:c>
      <x:c r="E191" s="22" t="s">
        <x:v>763</x:v>
      </x:c>
      <x:c r="F191" s="22" t="s">
        <x:v>253</x:v>
      </x:c>
      <x:c r="G191" s="22">
        <x:v>7</x:v>
      </x:c>
      <x:c r="H191" s="23">
        <x:v>37677000</x:v>
      </x:c>
      <x:c r="I191" s="23">
        <x:v>56436118</x:v>
      </x:c>
      <x:c r="J191" s="23">
        <x:f>H191-I191</x:f>
      </x:c>
      <x:c r="K191" s="22">
        <x:v>2</x:v>
      </x:c>
      <x:c r="L191" s="24" t="s">
        <x:v>550</x:v>
      </x:c>
      <x:c r="M191" s="24">
        <x:v>2328</x:v>
      </x:c>
      <x:c r="N191" s="27" t="s">
        <x:v>550</x:v>
      </x:c>
      <x:c r="O191" s="27">
        <x:v>2328</x:v>
      </x:c>
      <x:c r="P191" s="26"/>
      <x:c r="Q191" s="27">
        <x:v>1</x:v>
      </x:c>
      <x:c r="R191" s="27"/>
      <x:c r="S191" s="22">
        <x:f>IF(N191="","تکمیل نشده",IF(N191="بدون تفصیلی (ثبت روی خود معین)","OK",IF(N191="ادغام با تفصیلی دیگر",IF(O191="","کلید مقصد خالی است",IF(IFERROR(MATCH(O191*1,$A:$A,0),0)=0,"کلید مقصد در این فهرست نیست",IF(O191*1=A191,"ادغام با خودش","OK"))),IF(Q191="","سطح شناور خالی است",IF(AND(FALSE,OR(Q191=1,Q191=2)),"سطح ۱ و ۲ این معین مال فعالیت و مرکز هزینه است","OK")))))</x:f>
      </x:c>
      <x:c r="T191" s="28"/>
    </x:row>
    <x:row r="192" spans="1:20">
      <x:c r="A192" s="21">
        <x:v>3648</x:v>
      </x:c>
      <x:c r="B192" s="22" t="s">
        <x:v>70</x:v>
      </x:c>
      <x:c r="C192" s="22" t="s">
        <x:v>85</x:v>
      </x:c>
      <x:c r="D192" s="22" t="s">
        <x:v>790</x:v>
      </x:c>
      <x:c r="E192" s="22" t="s">
        <x:v>791</x:v>
      </x:c>
      <x:c r="F192" s="22" t="s">
        <x:v>253</x:v>
      </x:c>
      <x:c r="G192" s="22">
        <x:v>7</x:v>
      </x:c>
      <x:c r="H192" s="23">
        <x:v>202686000</x:v>
      </x:c>
      <x:c r="I192" s="23">
        <x:v>207327000</x:v>
      </x:c>
      <x:c r="J192" s="23">
        <x:f>H192-I192</x:f>
      </x:c>
      <x:c r="K192" s="22">
        <x:v>1</x:v>
      </x:c>
      <x:c r="L192" s="24" t="s">
        <x:v>548</x:v>
      </x:c>
      <x:c r="M192" s="24"/>
      <x:c r="N192" s="27" t="s">
        <x:v>548</x:v>
      </x:c>
      <x:c r="O192" s="27"/>
      <x:c r="P192" s="26"/>
      <x:c r="Q192" s="27">
        <x:v>1</x:v>
      </x:c>
      <x:c r="R192" s="27"/>
      <x:c r="S192" s="22">
        <x:f>IF(N192="","تکمیل نشده",IF(N192="بدون تفصیلی (ثبت روی خود معین)","OK",IF(N192="ادغام با تفصیلی دیگر",IF(O192="","کلید مقصد خالی است",IF(IFERROR(MATCH(O192*1,$A:$A,0),0)=0,"کلید مقصد در این فهرست نیست",IF(O192*1=A192,"ادغام با خودش","OK"))),IF(Q192="","سطح شناور خالی است",IF(AND(FALSE,OR(Q192=1,Q192=2)),"سطح ۱ و ۲ این معین مال فعالیت و مرکز هزینه است","OK")))))</x:f>
      </x:c>
      <x:c r="T192" s="28"/>
    </x:row>
    <x:row r="193" spans="1:20">
      <x:c r="A193" s="21">
        <x:v>3625</x:v>
      </x:c>
      <x:c r="B193" s="22" t="s">
        <x:v>70</x:v>
      </x:c>
      <x:c r="C193" s="22" t="s">
        <x:v>97</x:v>
      </x:c>
      <x:c r="D193" s="22" t="s">
        <x:v>650</x:v>
      </x:c>
      <x:c r="E193" s="22" t="s">
        <x:v>792</x:v>
      </x:c>
      <x:c r="F193" s="22" t="s">
        <x:v>254</x:v>
      </x:c>
      <x:c r="G193" s="22">
        <x:v>24</x:v>
      </x:c>
      <x:c r="H193" s="23">
        <x:v>3013378500</x:v>
      </x:c>
      <x:c r="I193" s="23">
        <x:v>3393125812</x:v>
      </x:c>
      <x:c r="J193" s="23">
        <x:f>H193-I193</x:f>
      </x:c>
      <x:c r="K193" s="22">
        <x:v>3</x:v>
      </x:c>
      <x:c r="L193" s="24" t="s">
        <x:v>550</x:v>
      </x:c>
      <x:c r="M193" s="24">
        <x:v>1396</x:v>
      </x:c>
      <x:c r="N193" s="27" t="s">
        <x:v>550</x:v>
      </x:c>
      <x:c r="O193" s="27">
        <x:v>1396</x:v>
      </x:c>
      <x:c r="P193" s="26"/>
      <x:c r="Q193" s="27">
        <x:v>1</x:v>
      </x:c>
      <x:c r="R193" s="27"/>
      <x:c r="S193" s="22">
        <x:f>IF(N193="","تکمیل نشده",IF(N193="بدون تفصیلی (ثبت روی خود معین)","OK",IF(N193="ادغام با تفصیلی دیگر",IF(O193="","کلید مقصد خالی است",IF(IFERROR(MATCH(O193*1,$A:$A,0),0)=0,"کلید مقصد در این فهرست نیست",IF(O193*1=A193,"ادغام با خودش","OK"))),IF(Q193="","سطح شناور خالی است",IF(AND(FALSE,OR(Q193=1,Q193=2)),"سطح ۱ و ۲ این معین مال فعالیت و مرکز هزینه است","OK")))))</x:f>
      </x:c>
      <x:c r="T193" s="28"/>
    </x:row>
    <x:row r="194" spans="1:20">
      <x:c r="A194" s="21">
        <x:v>2378</x:v>
      </x:c>
      <x:c r="B194" s="22" t="s">
        <x:v>70</x:v>
      </x:c>
      <x:c r="C194" s="22" t="s">
        <x:v>97</x:v>
      </x:c>
      <x:c r="D194" s="22" t="s">
        <x:v>668</x:v>
      </x:c>
      <x:c r="E194" s="22" t="s">
        <x:v>254</x:v>
      </x:c>
      <x:c r="F194" s="22" t="s">
        <x:v>254</x:v>
      </x:c>
      <x:c r="G194" s="22">
        <x:v>22</x:v>
      </x:c>
      <x:c r="H194" s="23">
        <x:v>1190043588</x:v>
      </x:c>
      <x:c r="I194" s="23">
        <x:v>1190043588</x:v>
      </x:c>
      <x:c r="J194" s="23">
        <x:f>H194-I194</x:f>
      </x:c>
      <x:c r="K194" s="22">
        <x:v>1</x:v>
      </x:c>
      <x:c r="L194" s="24" t="s">
        <x:v>548</x:v>
      </x:c>
      <x:c r="M194" s="24"/>
      <x:c r="N194" s="27" t="s">
        <x:v>548</x:v>
      </x:c>
      <x:c r="O194" s="27"/>
      <x:c r="P194" s="26"/>
      <x:c r="Q194" s="27">
        <x:v>1</x:v>
      </x:c>
      <x:c r="R194" s="27"/>
      <x:c r="S194" s="22">
        <x:f>IF(N194="","تکمیل نشده",IF(N194="بدون تفصیلی (ثبت روی خود معین)","OK",IF(N194="ادغام با تفصیلی دیگر",IF(O194="","کلید مقصد خالی است",IF(IFERROR(MATCH(O194*1,$A:$A,0),0)=0,"کلید مقصد در این فهرست نیست",IF(O194*1=A194,"ادغام با خودش","OK"))),IF(Q194="","سطح شناور خالی است",IF(AND(FALSE,OR(Q194=1,Q194=2)),"سطح ۱ و ۲ این معین مال فعالیت و مرکز هزینه است","OK")))))</x:f>
      </x:c>
      <x:c r="T194" s="28"/>
    </x:row>
    <x:row r="195" spans="1:20">
      <x:c r="A195" s="21">
        <x:v>3876</x:v>
      </x:c>
      <x:c r="B195" s="22" t="s">
        <x:v>70</x:v>
      </x:c>
      <x:c r="C195" s="22" t="s">
        <x:v>97</x:v>
      </x:c>
      <x:c r="D195" s="22" t="s">
        <x:v>670</x:v>
      </x:c>
      <x:c r="E195" s="22" t="s">
        <x:v>793</x:v>
      </x:c>
      <x:c r="F195" s="22" t="s">
        <x:v>254</x:v>
      </x:c>
      <x:c r="G195" s="22">
        <x:v>1</x:v>
      </x:c>
      <x:c r="H195" s="23">
        <x:v>0</x:v>
      </x:c>
      <x:c r="I195" s="23">
        <x:v>43408387</x:v>
      </x:c>
      <x:c r="J195" s="23">
        <x:f>H195-I195</x:f>
      </x:c>
      <x:c r="K195" s="22">
        <x:v>1</x:v>
      </x:c>
      <x:c r="L195" s="24" t="s">
        <x:v>548</x:v>
      </x:c>
      <x:c r="M195" s="24"/>
      <x:c r="N195" s="27" t="s">
        <x:v>548</x:v>
      </x:c>
      <x:c r="O195" s="27"/>
      <x:c r="P195" s="26"/>
      <x:c r="Q195" s="27">
        <x:v>1</x:v>
      </x:c>
      <x:c r="R195" s="27"/>
      <x:c r="S195" s="22">
        <x:f>IF(N195="","تکمیل نشده",IF(N195="بدون تفصیلی (ثبت روی خود معین)","OK",IF(N195="ادغام با تفصیلی دیگر",IF(O195="","کلید مقصد خالی است",IF(IFERROR(MATCH(O195*1,$A:$A,0),0)=0,"کلید مقصد در این فهرست نیست",IF(O195*1=A195,"ادغام با خودش","OK"))),IF(Q195="","سطح شناور خالی است",IF(AND(FALSE,OR(Q195=1,Q195=2)),"سطح ۱ و ۲ این معین مال فعالیت و مرکز هزینه است","OK")))))</x:f>
      </x:c>
      <x:c r="T195" s="28"/>
    </x:row>
    <x:row r="196" spans="1:20">
      <x:c r="A196" s="21">
        <x:v>2389</x:v>
      </x:c>
      <x:c r="B196" s="22" t="s">
        <x:v>70</x:v>
      </x:c>
      <x:c r="C196" s="22" t="s">
        <x:v>104</x:v>
      </x:c>
      <x:c r="D196" s="22" t="s">
        <x:v>656</x:v>
      </x:c>
      <x:c r="E196" s="22" t="s">
        <x:v>794</x:v>
      </x:c>
      <x:c r="F196" s="22" t="s">
        <x:v>231</x:v>
      </x:c>
      <x:c r="G196" s="22">
        <x:v>2</x:v>
      </x:c>
      <x:c r="H196" s="23">
        <x:v>9374000</x:v>
      </x:c>
      <x:c r="I196" s="23">
        <x:v>9374000</x:v>
      </x:c>
      <x:c r="J196" s="23">
        <x:f>H196-I196</x:f>
      </x:c>
      <x:c r="K196" s="22">
        <x:v>2</x:v>
      </x:c>
      <x:c r="L196" s="24" t="s">
        <x:v>548</x:v>
      </x:c>
      <x:c r="M196" s="24"/>
      <x:c r="N196" s="27" t="s">
        <x:v>548</x:v>
      </x:c>
      <x:c r="O196" s="27"/>
      <x:c r="P196" s="26"/>
      <x:c r="Q196" s="27">
        <x:v>1</x:v>
      </x:c>
      <x:c r="R196" s="27"/>
      <x:c r="S196" s="22">
        <x:f>IF(N196="","تکمیل نشده",IF(N196="بدون تفصیلی (ثبت روی خود معین)","OK",IF(N196="ادغام با تفصیلی دیگر",IF(O196="","کلید مقصد خالی است",IF(IFERROR(MATCH(O196*1,$A:$A,0),0)=0,"کلید مقصد در این فهرست نیست",IF(O196*1=A196,"ادغام با خودش","OK"))),IF(Q196="","سطح شناور خالی است",IF(AND(FALSE,OR(Q196=1,Q196=2)),"سطح ۱ و ۲ این معین مال فعالیت و مرکز هزینه است","OK")))))</x:f>
      </x:c>
      <x:c r="T196" s="28"/>
    </x:row>
    <x:row r="197" spans="1:20">
      <x:c r="A197" s="21">
        <x:v>2390</x:v>
      </x:c>
      <x:c r="B197" s="22" t="s">
        <x:v>70</x:v>
      </x:c>
      <x:c r="C197" s="22" t="s">
        <x:v>104</x:v>
      </x:c>
      <x:c r="D197" s="22" t="s">
        <x:v>729</x:v>
      </x:c>
      <x:c r="E197" s="22" t="s">
        <x:v>795</x:v>
      </x:c>
      <x:c r="F197" s="22" t="s">
        <x:v>231</x:v>
      </x:c>
      <x:c r="G197" s="22">
        <x:v>2</x:v>
      </x:c>
      <x:c r="H197" s="23">
        <x:v>12770000</x:v>
      </x:c>
      <x:c r="I197" s="23">
        <x:v>12770000</x:v>
      </x:c>
      <x:c r="J197" s="23">
        <x:f>H197-I197</x:f>
      </x:c>
      <x:c r="K197" s="22">
        <x:v>1</x:v>
      </x:c>
      <x:c r="L197" s="24" t="s">
        <x:v>548</x:v>
      </x:c>
      <x:c r="M197" s="24"/>
      <x:c r="N197" s="27" t="s">
        <x:v>548</x:v>
      </x:c>
      <x:c r="O197" s="27"/>
      <x:c r="P197" s="26"/>
      <x:c r="Q197" s="27">
        <x:v>1</x:v>
      </x:c>
      <x:c r="R197" s="27"/>
      <x:c r="S197" s="22">
        <x:f>IF(N197="","تکمیل نشده",IF(N197="بدون تفصیلی (ثبت روی خود معین)","OK",IF(N197="ادغام با تفصیلی دیگر",IF(O197="","کلید مقصد خالی است",IF(IFERROR(MATCH(O197*1,$A:$A,0),0)=0,"کلید مقصد در این فهرست نیست",IF(O197*1=A197,"ادغام با خودش","OK"))),IF(Q197="","سطح شناور خالی است",IF(AND(FALSE,OR(Q197=1,Q197=2)),"سطح ۱ و ۲ این معین مال فعالیت و مرکز هزینه است","OK")))))</x:f>
      </x:c>
      <x:c r="T197" s="28"/>
    </x:row>
    <x:row r="198" spans="1:20">
      <x:c r="A198" s="21">
        <x:v>2398</x:v>
      </x:c>
      <x:c r="B198" s="22" t="s">
        <x:v>70</x:v>
      </x:c>
      <x:c r="C198" s="22" t="s">
        <x:v>104</x:v>
      </x:c>
      <x:c r="D198" s="22" t="s">
        <x:v>796</x:v>
      </x:c>
      <x:c r="E198" s="22" t="s">
        <x:v>794</x:v>
      </x:c>
      <x:c r="F198" s="22" t="s">
        <x:v>231</x:v>
      </x:c>
      <x:c r="G198" s="22">
        <x:v>4</x:v>
      </x:c>
      <x:c r="H198" s="23">
        <x:v>48332000</x:v>
      </x:c>
      <x:c r="I198" s="23">
        <x:v>48332000</x:v>
      </x:c>
      <x:c r="J198" s="23">
        <x:f>H198-I198</x:f>
      </x:c>
      <x:c r="K198" s="22">
        <x:v>2</x:v>
      </x:c>
      <x:c r="L198" s="24" t="s">
        <x:v>550</x:v>
      </x:c>
      <x:c r="M198" s="24">
        <x:v>2389</x:v>
      </x:c>
      <x:c r="N198" s="27" t="s">
        <x:v>550</x:v>
      </x:c>
      <x:c r="O198" s="27">
        <x:v>2389</x:v>
      </x:c>
      <x:c r="P198" s="26"/>
      <x:c r="Q198" s="27">
        <x:v>1</x:v>
      </x:c>
      <x:c r="R198" s="27"/>
      <x:c r="S198" s="22">
        <x:f>IF(N198="","تکمیل نشده",IF(N198="بدون تفصیلی (ثبت روی خود معین)","OK",IF(N198="ادغام با تفصیلی دیگر",IF(O198="","کلید مقصد خالی است",IF(IFERROR(MATCH(O198*1,$A:$A,0),0)=0,"کلید مقصد در این فهرست نیست",IF(O198*1=A198,"ادغام با خودش","OK"))),IF(Q198="","سطح شناور خالی است",IF(AND(FALSE,OR(Q198=1,Q198=2)),"سطح ۱ و ۲ این معین مال فعالیت و مرکز هزینه است","OK")))))</x:f>
      </x:c>
      <x:c r="T198" s="28"/>
    </x:row>
    <x:row r="199" spans="1:20">
      <x:c r="A199" s="21">
        <x:v>2414</x:v>
      </x:c>
      <x:c r="B199" s="22" t="s">
        <x:v>70</x:v>
      </x:c>
      <x:c r="C199" s="22" t="s">
        <x:v>104</x:v>
      </x:c>
      <x:c r="D199" s="22" t="s">
        <x:v>664</x:v>
      </x:c>
      <x:c r="E199" s="22" t="s">
        <x:v>797</x:v>
      </x:c>
      <x:c r="F199" s="22" t="s">
        <x:v>231</x:v>
      </x:c>
      <x:c r="G199" s="22">
        <x:v>1</x:v>
      </x:c>
      <x:c r="H199" s="23">
        <x:v>0</x:v>
      </x:c>
      <x:c r="I199" s="23">
        <x:v>35000000</x:v>
      </x:c>
      <x:c r="J199" s="23">
        <x:f>H199-I199</x:f>
      </x:c>
      <x:c r="K199" s="22">
        <x:v>1</x:v>
      </x:c>
      <x:c r="L199" s="24" t="s">
        <x:v>548</x:v>
      </x:c>
      <x:c r="M199" s="24"/>
      <x:c r="N199" s="27" t="s">
        <x:v>548</x:v>
      </x:c>
      <x:c r="O199" s="27"/>
      <x:c r="P199" s="26"/>
      <x:c r="Q199" s="27">
        <x:v>1</x:v>
      </x:c>
      <x:c r="R199" s="27"/>
      <x:c r="S199" s="22">
        <x:f>IF(N199="","تکمیل نشده",IF(N199="بدون تفصیلی (ثبت روی خود معین)","OK",IF(N199="ادغام با تفصیلی دیگر",IF(O199="","کلید مقصد خالی است",IF(IFERROR(MATCH(O199*1,$A:$A,0),0)=0,"کلید مقصد در این فهرست نیست",IF(O199*1=A199,"ادغام با خودش","OK"))),IF(Q199="","سطح شناور خالی است",IF(AND(FALSE,OR(Q199=1,Q199=2)),"سطح ۱ و ۲ این معین مال فعالیت و مرکز هزینه است","OK")))))</x:f>
      </x:c>
      <x:c r="T199" s="28"/>
    </x:row>
    <x:row r="200" spans="1:20">
      <x:c r="A200" s="21">
        <x:v>2435</x:v>
      </x:c>
      <x:c r="B200" s="22" t="s">
        <x:v>70</x:v>
      </x:c>
      <x:c r="C200" s="22" t="s">
        <x:v>104</x:v>
      </x:c>
      <x:c r="D200" s="22" t="s">
        <x:v>798</x:v>
      </x:c>
      <x:c r="E200" s="22" t="s">
        <x:v>799</x:v>
      </x:c>
      <x:c r="F200" s="22" t="s">
        <x:v>231</x:v>
      </x:c>
      <x:c r="G200" s="22">
        <x:v>2</x:v>
      </x:c>
      <x:c r="H200" s="23">
        <x:v>13000000</x:v>
      </x:c>
      <x:c r="I200" s="23">
        <x:v>13000000</x:v>
      </x:c>
      <x:c r="J200" s="23">
        <x:f>H200-I200</x:f>
      </x:c>
      <x:c r="K200" s="22">
        <x:v>1</x:v>
      </x:c>
      <x:c r="L200" s="24" t="s">
        <x:v>548</x:v>
      </x:c>
      <x:c r="M200" s="24"/>
      <x:c r="N200" s="27" t="s">
        <x:v>548</x:v>
      </x:c>
      <x:c r="O200" s="27"/>
      <x:c r="P200" s="26"/>
      <x:c r="Q200" s="27">
        <x:v>1</x:v>
      </x:c>
      <x:c r="R200" s="27"/>
      <x:c r="S200" s="22">
        <x:f>IF(N200="","تکمیل نشده",IF(N200="بدون تفصیلی (ثبت روی خود معین)","OK",IF(N200="ادغام با تفصیلی دیگر",IF(O200="","کلید مقصد خالی است",IF(IFERROR(MATCH(O200*1,$A:$A,0),0)=0,"کلید مقصد در این فهرست نیست",IF(O200*1=A200,"ادغام با خودش","OK"))),IF(Q200="","سطح شناور خالی است",IF(AND(FALSE,OR(Q200=1,Q200=2)),"سطح ۱ و ۲ این معین مال فعالیت و مرکز هزینه است","OK")))))</x:f>
      </x:c>
      <x:c r="T200" s="28"/>
    </x:row>
    <x:row r="201" spans="1:20">
      <x:c r="A201" s="21">
        <x:v>2436</x:v>
      </x:c>
      <x:c r="B201" s="22" t="s">
        <x:v>70</x:v>
      </x:c>
      <x:c r="C201" s="22" t="s">
        <x:v>104</x:v>
      </x:c>
      <x:c r="D201" s="22" t="s">
        <x:v>800</x:v>
      </x:c>
      <x:c r="E201" s="22" t="s">
        <x:v>801</x:v>
      </x:c>
      <x:c r="F201" s="22" t="s">
        <x:v>231</x:v>
      </x:c>
      <x:c r="G201" s="22">
        <x:v>4</x:v>
      </x:c>
      <x:c r="H201" s="23">
        <x:v>562000000</x:v>
      </x:c>
      <x:c r="I201" s="23">
        <x:v>562000000</x:v>
      </x:c>
      <x:c r="J201" s="23">
        <x:f>H201-I201</x:f>
      </x:c>
      <x:c r="K201" s="22">
        <x:v>1</x:v>
      </x:c>
      <x:c r="L201" s="24" t="s">
        <x:v>548</x:v>
      </x:c>
      <x:c r="M201" s="24"/>
      <x:c r="N201" s="27" t="s">
        <x:v>548</x:v>
      </x:c>
      <x:c r="O201" s="27"/>
      <x:c r="P201" s="26"/>
      <x:c r="Q201" s="27">
        <x:v>1</x:v>
      </x:c>
      <x:c r="R201" s="27"/>
      <x:c r="S201" s="22">
        <x:f>IF(N201="","تکمیل نشده",IF(N201="بدون تفصیلی (ثبت روی خود معین)","OK",IF(N201="ادغام با تفصیلی دیگر",IF(O201="","کلید مقصد خالی است",IF(IFERROR(MATCH(O201*1,$A:$A,0),0)=0,"کلید مقصد در این فهرست نیست",IF(O201*1=A201,"ادغام با خودش","OK"))),IF(Q201="","سطح شناور خالی است",IF(AND(FALSE,OR(Q201=1,Q201=2)),"سطح ۱ و ۲ این معین مال فعالیت و مرکز هزینه است","OK")))))</x:f>
      </x:c>
      <x:c r="T201" s="28"/>
    </x:row>
    <x:row r="202" spans="1:20">
      <x:c r="A202" s="21">
        <x:v>2444</x:v>
      </x:c>
      <x:c r="B202" s="22" t="s">
        <x:v>70</x:v>
      </x:c>
      <x:c r="C202" s="22" t="s">
        <x:v>104</x:v>
      </x:c>
      <x:c r="D202" s="22" t="s">
        <x:v>802</x:v>
      </x:c>
      <x:c r="E202" s="22" t="s">
        <x:v>803</x:v>
      </x:c>
      <x:c r="F202" s="22" t="s">
        <x:v>231</x:v>
      </x:c>
      <x:c r="G202" s="22">
        <x:v>19</x:v>
      </x:c>
      <x:c r="H202" s="23">
        <x:v>3208836543</x:v>
      </x:c>
      <x:c r="I202" s="23">
        <x:v>3208836543</x:v>
      </x:c>
      <x:c r="J202" s="23">
        <x:f>H202-I202</x:f>
      </x:c>
      <x:c r="K202" s="22">
        <x:v>1</x:v>
      </x:c>
      <x:c r="L202" s="24" t="s">
        <x:v>548</x:v>
      </x:c>
      <x:c r="M202" s="24"/>
      <x:c r="N202" s="27" t="s">
        <x:v>548</x:v>
      </x:c>
      <x:c r="O202" s="27"/>
      <x:c r="P202" s="26"/>
      <x:c r="Q202" s="27">
        <x:v>1</x:v>
      </x:c>
      <x:c r="R202" s="27"/>
      <x:c r="S202" s="22">
        <x:f>IF(N202="","تکمیل نشده",IF(N202="بدون تفصیلی (ثبت روی خود معین)","OK",IF(N202="ادغام با تفصیلی دیگر",IF(O202="","کلید مقصد خالی است",IF(IFERROR(MATCH(O202*1,$A:$A,0),0)=0,"کلید مقصد در این فهرست نیست",IF(O202*1=A202,"ادغام با خودش","OK"))),IF(Q202="","سطح شناور خالی است",IF(AND(FALSE,OR(Q202=1,Q202=2)),"سطح ۱ و ۲ این معین مال فعالیت و مرکز هزینه است","OK")))))</x:f>
      </x:c>
      <x:c r="T202" s="28"/>
    </x:row>
    <x:row r="203" spans="1:20">
      <x:c r="A203" s="21">
        <x:v>2445</x:v>
      </x:c>
      <x:c r="B203" s="22" t="s">
        <x:v>70</x:v>
      </x:c>
      <x:c r="C203" s="22" t="s">
        <x:v>104</x:v>
      </x:c>
      <x:c r="D203" s="22" t="s">
        <x:v>804</x:v>
      </x:c>
      <x:c r="E203" s="22" t="s">
        <x:v>805</x:v>
      </x:c>
      <x:c r="F203" s="22" t="s">
        <x:v>231</x:v>
      </x:c>
      <x:c r="G203" s="22">
        <x:v>15</x:v>
      </x:c>
      <x:c r="H203" s="23">
        <x:v>1790919518</x:v>
      </x:c>
      <x:c r="I203" s="23">
        <x:v>1790919518</x:v>
      </x:c>
      <x:c r="J203" s="23">
        <x:f>H203-I203</x:f>
      </x:c>
      <x:c r="K203" s="22">
        <x:v>1</x:v>
      </x:c>
      <x:c r="L203" s="24" t="s">
        <x:v>548</x:v>
      </x:c>
      <x:c r="M203" s="24"/>
      <x:c r="N203" s="27" t="s">
        <x:v>548</x:v>
      </x:c>
      <x:c r="O203" s="27"/>
      <x:c r="P203" s="26"/>
      <x:c r="Q203" s="27">
        <x:v>1</x:v>
      </x:c>
      <x:c r="R203" s="27"/>
      <x:c r="S203" s="22">
        <x:f>IF(N203="","تکمیل نشده",IF(N203="بدون تفصیلی (ثبت روی خود معین)","OK",IF(N203="ادغام با تفصیلی دیگر",IF(O203="","کلید مقصد خالی است",IF(IFERROR(MATCH(O203*1,$A:$A,0),0)=0,"کلید مقصد در این فهرست نیست",IF(O203*1=A203,"ادغام با خودش","OK"))),IF(Q203="","سطح شناور خالی است",IF(AND(FALSE,OR(Q203=1,Q203=2)),"سطح ۱ و ۲ این معین مال فعالیت و مرکز هزینه است","OK")))))</x:f>
      </x:c>
      <x:c r="T203" s="28"/>
    </x:row>
    <x:row r="204" spans="1:20">
      <x:c r="A204" s="21">
        <x:v>2446</x:v>
      </x:c>
      <x:c r="B204" s="22" t="s">
        <x:v>70</x:v>
      </x:c>
      <x:c r="C204" s="22" t="s">
        <x:v>104</x:v>
      </x:c>
      <x:c r="D204" s="22" t="s">
        <x:v>806</x:v>
      </x:c>
      <x:c r="E204" s="22" t="s">
        <x:v>807</x:v>
      </x:c>
      <x:c r="F204" s="22" t="s">
        <x:v>231</x:v>
      </x:c>
      <x:c r="G204" s="22">
        <x:v>24</x:v>
      </x:c>
      <x:c r="H204" s="23">
        <x:v>3241890136</x:v>
      </x:c>
      <x:c r="I204" s="23">
        <x:v>2627025668</x:v>
      </x:c>
      <x:c r="J204" s="23">
        <x:f>H204-I204</x:f>
      </x:c>
      <x:c r="K204" s="22">
        <x:v>1</x:v>
      </x:c>
      <x:c r="L204" s="24" t="s">
        <x:v>548</x:v>
      </x:c>
      <x:c r="M204" s="24"/>
      <x:c r="N204" s="27" t="s">
        <x:v>548</x:v>
      </x:c>
      <x:c r="O204" s="27"/>
      <x:c r="P204" s="26"/>
      <x:c r="Q204" s="27">
        <x:v>1</x:v>
      </x:c>
      <x:c r="R204" s="27"/>
      <x:c r="S204" s="22">
        <x:f>IF(N204="","تکمیل نشده",IF(N204="بدون تفصیلی (ثبت روی خود معین)","OK",IF(N204="ادغام با تفصیلی دیگر",IF(O204="","کلید مقصد خالی است",IF(IFERROR(MATCH(O204*1,$A:$A,0),0)=0,"کلید مقصد در این فهرست نیست",IF(O204*1=A204,"ادغام با خودش","OK"))),IF(Q204="","سطح شناور خالی است",IF(AND(FALSE,OR(Q204=1,Q204=2)),"سطح ۱ و ۲ این معین مال فعالیت و مرکز هزینه است","OK")))))</x:f>
      </x:c>
      <x:c r="T204" s="28"/>
    </x:row>
    <x:row r="205" spans="1:20">
      <x:c r="A205" s="21">
        <x:v>2448</x:v>
      </x:c>
      <x:c r="B205" s="22" t="s">
        <x:v>70</x:v>
      </x:c>
      <x:c r="C205" s="22" t="s">
        <x:v>104</x:v>
      </x:c>
      <x:c r="D205" s="22" t="s">
        <x:v>808</x:v>
      </x:c>
      <x:c r="E205" s="22" t="s">
        <x:v>792</x:v>
      </x:c>
      <x:c r="F205" s="22" t="s">
        <x:v>231</x:v>
      </x:c>
      <x:c r="G205" s="22">
        <x:v>2</x:v>
      </x:c>
      <x:c r="H205" s="23">
        <x:v>0</x:v>
      </x:c>
      <x:c r="I205" s="23">
        <x:v>435725575</x:v>
      </x:c>
      <x:c r="J205" s="23">
        <x:f>H205-I205</x:f>
      </x:c>
      <x:c r="K205" s="22">
        <x:v>3</x:v>
      </x:c>
      <x:c r="L205" s="24" t="s">
        <x:v>550</x:v>
      </x:c>
      <x:c r="M205" s="24">
        <x:v>1396</x:v>
      </x:c>
      <x:c r="N205" s="27" t="s">
        <x:v>550</x:v>
      </x:c>
      <x:c r="O205" s="27">
        <x:v>1396</x:v>
      </x:c>
      <x:c r="P205" s="26"/>
      <x:c r="Q205" s="27">
        <x:v>1</x:v>
      </x:c>
      <x:c r="R205" s="27"/>
      <x:c r="S205" s="22">
        <x:f>IF(N205="","تکمیل نشده",IF(N205="بدون تفصیلی (ثبت روی خود معین)","OK",IF(N205="ادغام با تفصیلی دیگر",IF(O205="","کلید مقصد خالی است",IF(IFERROR(MATCH(O205*1,$A:$A,0),0)=0,"کلید مقصد در این فهرست نیست",IF(O205*1=A205,"ادغام با خودش","OK"))),IF(Q205="","سطح شناور خالی است",IF(AND(FALSE,OR(Q205=1,Q205=2)),"سطح ۱ و ۲ این معین مال فعالیت و مرکز هزینه است","OK")))))</x:f>
      </x:c>
      <x:c r="T205" s="28"/>
    </x:row>
    <x:row r="206" spans="1:20">
      <x:c r="A206" s="21">
        <x:v>2451</x:v>
      </x:c>
      <x:c r="B206" s="22" t="s">
        <x:v>70</x:v>
      </x:c>
      <x:c r="C206" s="22" t="s">
        <x:v>104</x:v>
      </x:c>
      <x:c r="D206" s="22" t="s">
        <x:v>809</x:v>
      </x:c>
      <x:c r="E206" s="22" t="s">
        <x:v>810</x:v>
      </x:c>
      <x:c r="F206" s="22" t="s">
        <x:v>231</x:v>
      </x:c>
      <x:c r="G206" s="22">
        <x:v>2</x:v>
      </x:c>
      <x:c r="H206" s="23">
        <x:v>75735000</x:v>
      </x:c>
      <x:c r="I206" s="23">
        <x:v>75735000</x:v>
      </x:c>
      <x:c r="J206" s="23">
        <x:f>H206-I206</x:f>
      </x:c>
      <x:c r="K206" s="22">
        <x:v>1</x:v>
      </x:c>
      <x:c r="L206" s="24" t="s">
        <x:v>548</x:v>
      </x:c>
      <x:c r="M206" s="24"/>
      <x:c r="N206" s="27" t="s">
        <x:v>548</x:v>
      </x:c>
      <x:c r="O206" s="27"/>
      <x:c r="P206" s="26"/>
      <x:c r="Q206" s="27">
        <x:v>1</x:v>
      </x:c>
      <x:c r="R206" s="27"/>
      <x:c r="S206" s="22">
        <x:f>IF(N206="","تکمیل نشده",IF(N206="بدون تفصیلی (ثبت روی خود معین)","OK",IF(N206="ادغام با تفصیلی دیگر",IF(O206="","کلید مقصد خالی است",IF(IFERROR(MATCH(O206*1,$A:$A,0),0)=0,"کلید مقصد در این فهرست نیست",IF(O206*1=A206,"ادغام با خودش","OK"))),IF(Q206="","سطح شناور خالی است",IF(AND(FALSE,OR(Q206=1,Q206=2)),"سطح ۱ و ۲ این معین مال فعالیت و مرکز هزینه است","OK")))))</x:f>
      </x:c>
      <x:c r="T206" s="28"/>
    </x:row>
    <x:row r="207" spans="1:20">
      <x:c r="A207" s="21">
        <x:v>3814</x:v>
      </x:c>
      <x:c r="B207" s="22" t="s">
        <x:v>70</x:v>
      </x:c>
      <x:c r="C207" s="22" t="s">
        <x:v>104</x:v>
      </x:c>
      <x:c r="D207" s="22" t="s">
        <x:v>811</x:v>
      </x:c>
      <x:c r="E207" s="22" t="s">
        <x:v>812</x:v>
      </x:c>
      <x:c r="F207" s="22" t="s">
        <x:v>231</x:v>
      </x:c>
      <x:c r="G207" s="22">
        <x:v>2</x:v>
      </x:c>
      <x:c r="H207" s="23">
        <x:v>420195000</x:v>
      </x:c>
      <x:c r="I207" s="23">
        <x:v>420195000</x:v>
      </x:c>
      <x:c r="J207" s="23">
        <x:f>H207-I207</x:f>
      </x:c>
      <x:c r="K207" s="22">
        <x:v>1</x:v>
      </x:c>
      <x:c r="L207" s="24" t="s">
        <x:v>548</x:v>
      </x:c>
      <x:c r="M207" s="24"/>
      <x:c r="N207" s="27" t="s">
        <x:v>548</x:v>
      </x:c>
      <x:c r="O207" s="27"/>
      <x:c r="P207" s="26"/>
      <x:c r="Q207" s="27">
        <x:v>1</x:v>
      </x:c>
      <x:c r="R207" s="27"/>
      <x:c r="S207" s="22">
        <x:f>IF(N207="","تکمیل نشده",IF(N207="بدون تفصیلی (ثبت روی خود معین)","OK",IF(N207="ادغام با تفصیلی دیگر",IF(O207="","کلید مقصد خالی است",IF(IFERROR(MATCH(O207*1,$A:$A,0),0)=0,"کلید مقصد در این فهرست نیست",IF(O207*1=A207,"ادغام با خودش","OK"))),IF(Q207="","سطح شناور خالی است",IF(AND(FALSE,OR(Q207=1,Q207=2)),"سطح ۱ و ۲ این معین مال فعالیت و مرکز هزینه است","OK")))))</x:f>
      </x:c>
      <x:c r="T207" s="28"/>
    </x:row>
    <x:row r="208" spans="1:20">
      <x:c r="A208" s="21">
        <x:v>3845</x:v>
      </x:c>
      <x:c r="B208" s="22" t="s">
        <x:v>70</x:v>
      </x:c>
      <x:c r="C208" s="22" t="s">
        <x:v>104</x:v>
      </x:c>
      <x:c r="D208" s="22" t="s">
        <x:v>813</x:v>
      </x:c>
      <x:c r="E208" s="22" t="s">
        <x:v>709</x:v>
      </x:c>
      <x:c r="F208" s="22" t="s">
        <x:v>231</x:v>
      </x:c>
      <x:c r="G208" s="22">
        <x:v>2</x:v>
      </x:c>
      <x:c r="H208" s="23">
        <x:v>588055000</x:v>
      </x:c>
      <x:c r="I208" s="23">
        <x:v>780200000</x:v>
      </x:c>
      <x:c r="J208" s="23">
        <x:f>H208-I208</x:f>
      </x:c>
      <x:c r="K208" s="22">
        <x:v>3</x:v>
      </x:c>
      <x:c r="L208" s="24" t="s">
        <x:v>550</x:v>
      </x:c>
      <x:c r="M208" s="24">
        <x:v>3844</x:v>
      </x:c>
      <x:c r="N208" s="27" t="s">
        <x:v>550</x:v>
      </x:c>
      <x:c r="O208" s="27">
        <x:v>3844</x:v>
      </x:c>
      <x:c r="P208" s="26"/>
      <x:c r="Q208" s="27">
        <x:v>1</x:v>
      </x:c>
      <x:c r="R208" s="27"/>
      <x:c r="S208" s="22">
        <x:f>IF(N208="","تکمیل نشده",IF(N208="بدون تفصیلی (ثبت روی خود معین)","OK",IF(N208="ادغام با تفصیلی دیگر",IF(O208="","کلید مقصد خالی است",IF(IFERROR(MATCH(O208*1,$A:$A,0),0)=0,"کلید مقصد در این فهرست نیست",IF(O208*1=A208,"ادغام با خودش","OK"))),IF(Q208="","سطح شناور خالی است",IF(AND(FALSE,OR(Q208=1,Q208=2)),"سطح ۱ و ۲ این معین مال فعالیت و مرکز هزینه است","OK")))))</x:f>
      </x:c>
      <x:c r="T208" s="28"/>
    </x:row>
    <x:row r="209" spans="1:20">
      <x:c r="A209" s="21">
        <x:v>3846</x:v>
      </x:c>
      <x:c r="B209" s="22" t="s">
        <x:v>70</x:v>
      </x:c>
      <x:c r="C209" s="22" t="s">
        <x:v>104</x:v>
      </x:c>
      <x:c r="D209" s="22" t="s">
        <x:v>814</x:v>
      </x:c>
      <x:c r="E209" s="22" t="s">
        <x:v>815</x:v>
      </x:c>
      <x:c r="F209" s="22" t="s">
        <x:v>231</x:v>
      </x:c>
      <x:c r="G209" s="22">
        <x:v>2</x:v>
      </x:c>
      <x:c r="H209" s="23">
        <x:v>842461000</x:v>
      </x:c>
      <x:c r="I209" s="23">
        <x:v>1231400000</x:v>
      </x:c>
      <x:c r="J209" s="23">
        <x:f>H209-I209</x:f>
      </x:c>
      <x:c r="K209" s="22">
        <x:v>1</x:v>
      </x:c>
      <x:c r="L209" s="24" t="s">
        <x:v>548</x:v>
      </x:c>
      <x:c r="M209" s="24"/>
      <x:c r="N209" s="27" t="s">
        <x:v>548</x:v>
      </x:c>
      <x:c r="O209" s="27"/>
      <x:c r="P209" s="26"/>
      <x:c r="Q209" s="27">
        <x:v>1</x:v>
      </x:c>
      <x:c r="R209" s="27"/>
      <x:c r="S209" s="22">
        <x:f>IF(N209="","تکمیل نشده",IF(N209="بدون تفصیلی (ثبت روی خود معین)","OK",IF(N209="ادغام با تفصیلی دیگر",IF(O209="","کلید مقصد خالی است",IF(IFERROR(MATCH(O209*1,$A:$A,0),0)=0,"کلید مقصد در این فهرست نیست",IF(O209*1=A209,"ادغام با خودش","OK"))),IF(Q209="","سطح شناور خالی است",IF(AND(FALSE,OR(Q209=1,Q209=2)),"سطح ۱ و ۲ این معین مال فعالیت و مرکز هزینه است","OK")))))</x:f>
      </x:c>
      <x:c r="T209" s="28"/>
    </x:row>
    <x:row r="210" spans="1:20">
      <x:c r="A210" s="21">
        <x:v>11104</x:v>
      </x:c>
      <x:c r="B210" s="22" t="s">
        <x:v>70</x:v>
      </x:c>
      <x:c r="C210" s="22" t="s">
        <x:v>162</x:v>
      </x:c>
      <x:c r="D210" s="22" t="s">
        <x:v>544</x:v>
      </x:c>
      <x:c r="E210" s="22" t="s">
        <x:v>255</x:v>
      </x:c>
      <x:c r="F210" s="22" t="s">
        <x:v>255</x:v>
      </x:c>
      <x:c r="G210" s="22">
        <x:v>1</x:v>
      </x:c>
      <x:c r="H210" s="23">
        <x:v>0</x:v>
      </x:c>
      <x:c r="I210" s="23">
        <x:v>7000000</x:v>
      </x:c>
      <x:c r="J210" s="23">
        <x:f>H210-I210</x:f>
      </x:c>
      <x:c r="K210" s="22">
        <x:v>1</x:v>
      </x:c>
      <x:c r="L210" s="24" t="s">
        <x:v>545</x:v>
      </x:c>
      <x:c r="M210" s="24"/>
      <x:c r="N210" s="27" t="s">
        <x:v>545</x:v>
      </x:c>
      <x:c r="O210" s="27"/>
      <x:c r="P210" s="26"/>
      <x:c r="Q210" s="27"/>
      <x:c r="R210" s="27"/>
      <x:c r="S210" s="22">
        <x:f>IF(N210="","تکمیل نشده",IF(N210="بدون تفصیلی (ثبت روی خود معین)","OK",IF(N210="ادغام با تفصیلی دیگر",IF(O210="","کلید مقصد خالی است",IF(IFERROR(MATCH(O210*1,$A:$A,0),0)=0,"کلید مقصد در این فهرست نیست",IF(O210*1=A210,"ادغام با خودش","OK"))),IF(Q210="","سطح شناور خالی است",IF(AND(FALSE,OR(Q210=1,Q210=2)),"سطح ۱ و ۲ این معین مال فعالیت و مرکز هزینه است","OK")))))</x:f>
      </x:c>
      <x:c r="T210" s="28"/>
    </x:row>
    <x:row r="211" spans="1:20">
      <x:c r="A211" s="21">
        <x:v>11170</x:v>
      </x:c>
      <x:c r="B211" s="22" t="s">
        <x:v>73</x:v>
      </x:c>
      <x:c r="C211" s="22" t="s">
        <x:v>227</x:v>
      </x:c>
      <x:c r="D211" s="22" t="s">
        <x:v>544</x:v>
      </x:c>
      <x:c r="E211" s="22" t="s">
        <x:v>256</x:v>
      </x:c>
      <x:c r="F211" s="22" t="s">
        <x:v>256</x:v>
      </x:c>
      <x:c r="G211" s="22">
        <x:v>7</x:v>
      </x:c>
      <x:c r="H211" s="23">
        <x:v>526001</x:v>
      </x:c>
      <x:c r="I211" s="23">
        <x:v>67104000</x:v>
      </x:c>
      <x:c r="J211" s="23">
        <x:f>H211-I211</x:f>
      </x:c>
      <x:c r="K211" s="22">
        <x:v>1</x:v>
      </x:c>
      <x:c r="L211" s="24" t="s">
        <x:v>545</x:v>
      </x:c>
      <x:c r="M211" s="24"/>
      <x:c r="N211" s="27" t="s">
        <x:v>545</x:v>
      </x:c>
      <x:c r="O211" s="27"/>
      <x:c r="P211" s="26"/>
      <x:c r="Q211" s="27"/>
      <x:c r="R211" s="27"/>
      <x:c r="S211" s="22">
        <x:f>IF(N211="","تکمیل نشده",IF(N211="بدون تفصیلی (ثبت روی خود معین)","OK",IF(N211="ادغام با تفصیلی دیگر",IF(O211="","کلید مقصد خالی است",IF(IFERROR(MATCH(O211*1,$A:$A,0),0)=0,"کلید مقصد در این فهرست نیست",IF(O211*1=A211,"ادغام با خودش","OK"))),IF(Q211="","سطح شناور خالی است",IF(AND(FALSE,OR(Q211=1,Q211=2)),"سطح ۱ و ۲ این معین مال فعالیت و مرکز هزینه است","OK")))))</x:f>
      </x:c>
      <x:c r="T211" s="28"/>
    </x:row>
    <x:row r="212" spans="1:20">
      <x:c r="A212" s="21">
        <x:v>2463</x:v>
      </x:c>
      <x:c r="B212" s="22" t="s">
        <x:v>81</x:v>
      </x:c>
      <x:c r="C212" s="22" t="s">
        <x:v>155</x:v>
      </x:c>
      <x:c r="D212" s="22" t="s">
        <x:v>816</x:v>
      </x:c>
      <x:c r="E212" s="22" t="s">
        <x:v>817</x:v>
      </x:c>
      <x:c r="F212" s="22" t="s">
        <x:v>257</x:v>
      </x:c>
      <x:c r="G212" s="22">
        <x:v>6</x:v>
      </x:c>
      <x:c r="H212" s="23">
        <x:v>12775713065</x:v>
      </x:c>
      <x:c r="I212" s="23">
        <x:v>2555142613</x:v>
      </x:c>
      <x:c r="J212" s="23">
        <x:f>H212-I212</x:f>
      </x:c>
      <x:c r="K212" s="22">
        <x:v>2</x:v>
      </x:c>
      <x:c r="L212" s="24" t="s">
        <x:v>548</x:v>
      </x:c>
      <x:c r="M212" s="24"/>
      <x:c r="N212" s="27" t="s">
        <x:v>548</x:v>
      </x:c>
      <x:c r="O212" s="27"/>
      <x:c r="P212" s="26"/>
      <x:c r="Q212" s="27">
        <x:v>1</x:v>
      </x:c>
      <x:c r="R212" s="27"/>
      <x:c r="S212" s="22">
        <x:f>IF(N212="","تکمیل نشده",IF(N212="بدون تفصیلی (ثبت روی خود معین)","OK",IF(N212="ادغام با تفصیلی دیگر",IF(O212="","کلید مقصد خالی است",IF(IFERROR(MATCH(O212*1,$A:$A,0),0)=0,"کلید مقصد در این فهرست نیست",IF(O212*1=A212,"ادغام با خودش","OK"))),IF(Q212="","سطح شناور خالی است",IF(AND(FALSE,OR(Q212=1,Q212=2)),"سطح ۱ و ۲ این معین مال فعالیت و مرکز هزینه است","OK")))))</x:f>
      </x:c>
      <x:c r="T212" s="28"/>
    </x:row>
    <x:row r="213" spans="1:20">
      <x:c r="A213" s="21">
        <x:v>2464</x:v>
      </x:c>
      <x:c r="B213" s="22" t="s">
        <x:v>81</x:v>
      </x:c>
      <x:c r="C213" s="22" t="s">
        <x:v>155</x:v>
      </x:c>
      <x:c r="D213" s="22" t="s">
        <x:v>818</x:v>
      </x:c>
      <x:c r="E213" s="22" t="s">
        <x:v>819</x:v>
      </x:c>
      <x:c r="F213" s="22" t="s">
        <x:v>257</x:v>
      </x:c>
      <x:c r="G213" s="22">
        <x:v>6</x:v>
      </x:c>
      <x:c r="H213" s="23">
        <x:v>3922743440</x:v>
      </x:c>
      <x:c r="I213" s="23">
        <x:v>5576539500</x:v>
      </x:c>
      <x:c r="J213" s="23">
        <x:f>H213-I213</x:f>
      </x:c>
      <x:c r="K213" s="22">
        <x:v>2</x:v>
      </x:c>
      <x:c r="L213" s="24" t="s">
        <x:v>548</x:v>
      </x:c>
      <x:c r="M213" s="24"/>
      <x:c r="N213" s="27" t="s">
        <x:v>548</x:v>
      </x:c>
      <x:c r="O213" s="27"/>
      <x:c r="P213" s="26"/>
      <x:c r="Q213" s="27">
        <x:v>1</x:v>
      </x:c>
      <x:c r="R213" s="27"/>
      <x:c r="S213" s="22">
        <x:f>IF(N213="","تکمیل نشده",IF(N213="بدون تفصیلی (ثبت روی خود معین)","OK",IF(N213="ادغام با تفصیلی دیگر",IF(O213="","کلید مقصد خالی است",IF(IFERROR(MATCH(O213*1,$A:$A,0),0)=0,"کلید مقصد در این فهرست نیست",IF(O213*1=A213,"ادغام با خودش","OK"))),IF(Q213="","سطح شناور خالی است",IF(AND(FALSE,OR(Q213=1,Q213=2)),"سطح ۱ و ۲ این معین مال فعالیت و مرکز هزینه است","OK")))))</x:f>
      </x:c>
      <x:c r="T213" s="28"/>
    </x:row>
    <x:row r="214" spans="1:20">
      <x:c r="A214" s="21">
        <x:v>2465</x:v>
      </x:c>
      <x:c r="B214" s="22" t="s">
        <x:v>81</x:v>
      </x:c>
      <x:c r="C214" s="22" t="s">
        <x:v>155</x:v>
      </x:c>
      <x:c r="D214" s="22" t="s">
        <x:v>820</x:v>
      </x:c>
      <x:c r="E214" s="22" t="s">
        <x:v>821</x:v>
      </x:c>
      <x:c r="F214" s="22" t="s">
        <x:v>257</x:v>
      </x:c>
      <x:c r="G214" s="22">
        <x:v>6</x:v>
      </x:c>
      <x:c r="H214" s="23">
        <x:v>14041638450</x:v>
      </x:c>
      <x:c r="I214" s="23">
        <x:v>2808327690</x:v>
      </x:c>
      <x:c r="J214" s="23">
        <x:f>H214-I214</x:f>
      </x:c>
      <x:c r="K214" s="22">
        <x:v>2</x:v>
      </x:c>
      <x:c r="L214" s="24" t="s">
        <x:v>548</x:v>
      </x:c>
      <x:c r="M214" s="24"/>
      <x:c r="N214" s="27" t="s">
        <x:v>548</x:v>
      </x:c>
      <x:c r="O214" s="27"/>
      <x:c r="P214" s="26"/>
      <x:c r="Q214" s="27">
        <x:v>1</x:v>
      </x:c>
      <x:c r="R214" s="27"/>
      <x:c r="S214" s="22">
        <x:f>IF(N214="","تکمیل نشده",IF(N214="بدون تفصیلی (ثبت روی خود معین)","OK",IF(N214="ادغام با تفصیلی دیگر",IF(O214="","کلید مقصد خالی است",IF(IFERROR(MATCH(O214*1,$A:$A,0),0)=0,"کلید مقصد در این فهرست نیست",IF(O214*1=A214,"ادغام با خودش","OK"))),IF(Q214="","سطح شناور خالی است",IF(AND(FALSE,OR(Q214=1,Q214=2)),"سطح ۱ و ۲ این معین مال فعالیت و مرکز هزینه است","OK")))))</x:f>
      </x:c>
      <x:c r="T214" s="28"/>
    </x:row>
    <x:row r="215" spans="1:20">
      <x:c r="A215" s="21">
        <x:v>2466</x:v>
      </x:c>
      <x:c r="B215" s="22" t="s">
        <x:v>81</x:v>
      </x:c>
      <x:c r="C215" s="22" t="s">
        <x:v>155</x:v>
      </x:c>
      <x:c r="D215" s="22" t="s">
        <x:v>822</x:v>
      </x:c>
      <x:c r="E215" s="22" t="s">
        <x:v>823</x:v>
      </x:c>
      <x:c r="F215" s="22" t="s">
        <x:v>257</x:v>
      </x:c>
      <x:c r="G215" s="22">
        <x:v>6</x:v>
      </x:c>
      <x:c r="H215" s="23">
        <x:v>17440606490</x:v>
      </x:c>
      <x:c r="I215" s="23">
        <x:v>3488121298</x:v>
      </x:c>
      <x:c r="J215" s="23">
        <x:f>H215-I215</x:f>
      </x:c>
      <x:c r="K215" s="22">
        <x:v>2</x:v>
      </x:c>
      <x:c r="L215" s="24" t="s">
        <x:v>548</x:v>
      </x:c>
      <x:c r="M215" s="24"/>
      <x:c r="N215" s="27" t="s">
        <x:v>548</x:v>
      </x:c>
      <x:c r="O215" s="27"/>
      <x:c r="P215" s="26"/>
      <x:c r="Q215" s="27">
        <x:v>1</x:v>
      </x:c>
      <x:c r="R215" s="27"/>
      <x:c r="S215" s="22">
        <x:f>IF(N215="","تکمیل نشده",IF(N215="بدون تفصیلی (ثبت روی خود معین)","OK",IF(N215="ادغام با تفصیلی دیگر",IF(O215="","کلید مقصد خالی است",IF(IFERROR(MATCH(O215*1,$A:$A,0),0)=0,"کلید مقصد در این فهرست نیست",IF(O215*1=A215,"ادغام با خودش","OK"))),IF(Q215="","سطح شناور خالی است",IF(AND(FALSE,OR(Q215=1,Q215=2)),"سطح ۱ و ۲ این معین مال فعالیت و مرکز هزینه است","OK")))))</x:f>
      </x:c>
      <x:c r="T215" s="28"/>
    </x:row>
    <x:row r="216" spans="1:20">
      <x:c r="A216" s="21">
        <x:v>2468</x:v>
      </x:c>
      <x:c r="B216" s="22" t="s">
        <x:v>81</x:v>
      </x:c>
      <x:c r="C216" s="22" t="s">
        <x:v>155</x:v>
      </x:c>
      <x:c r="D216" s="22" t="s">
        <x:v>824</x:v>
      </x:c>
      <x:c r="E216" s="22" t="s">
        <x:v>825</x:v>
      </x:c>
      <x:c r="F216" s="22" t="s">
        <x:v>257</x:v>
      </x:c>
      <x:c r="G216" s="22">
        <x:v>6</x:v>
      </x:c>
      <x:c r="H216" s="23">
        <x:v>19780879565</x:v>
      </x:c>
      <x:c r="I216" s="23">
        <x:v>3956175913</x:v>
      </x:c>
      <x:c r="J216" s="23">
        <x:f>H216-I216</x:f>
      </x:c>
      <x:c r="K216" s="22">
        <x:v>1</x:v>
      </x:c>
      <x:c r="L216" s="24" t="s">
        <x:v>548</x:v>
      </x:c>
      <x:c r="M216" s="24"/>
      <x:c r="N216" s="27" t="s">
        <x:v>548</x:v>
      </x:c>
      <x:c r="O216" s="27"/>
      <x:c r="P216" s="26"/>
      <x:c r="Q216" s="27">
        <x:v>1</x:v>
      </x:c>
      <x:c r="R216" s="27"/>
      <x:c r="S216" s="22">
        <x:f>IF(N216="","تکمیل نشده",IF(N216="بدون تفصیلی (ثبت روی خود معین)","OK",IF(N216="ادغام با تفصیلی دیگر",IF(O216="","کلید مقصد خالی است",IF(IFERROR(MATCH(O216*1,$A:$A,0),0)=0,"کلید مقصد در این فهرست نیست",IF(O216*1=A216,"ادغام با خودش","OK"))),IF(Q216="","سطح شناور خالی است",IF(AND(FALSE,OR(Q216=1,Q216=2)),"سطح ۱ و ۲ این معین مال فعالیت و مرکز هزینه است","OK")))))</x:f>
      </x:c>
      <x:c r="T216" s="28"/>
    </x:row>
    <x:row r="217" spans="1:20">
      <x:c r="A217" s="21">
        <x:v>2469</x:v>
      </x:c>
      <x:c r="B217" s="22" t="s">
        <x:v>81</x:v>
      </x:c>
      <x:c r="C217" s="22" t="s">
        <x:v>155</x:v>
      </x:c>
      <x:c r="D217" s="22" t="s">
        <x:v>826</x:v>
      </x:c>
      <x:c r="E217" s="22" t="s">
        <x:v>827</x:v>
      </x:c>
      <x:c r="F217" s="22" t="s">
        <x:v>257</x:v>
      </x:c>
      <x:c r="G217" s="22">
        <x:v>6</x:v>
      </x:c>
      <x:c r="H217" s="23">
        <x:v>18945067750</x:v>
      </x:c>
      <x:c r="I217" s="23">
        <x:v>3789013550</x:v>
      </x:c>
      <x:c r="J217" s="23">
        <x:f>H217-I217</x:f>
      </x:c>
      <x:c r="K217" s="22">
        <x:v>2</x:v>
      </x:c>
      <x:c r="L217" s="24" t="s">
        <x:v>548</x:v>
      </x:c>
      <x:c r="M217" s="24"/>
      <x:c r="N217" s="27" t="s">
        <x:v>548</x:v>
      </x:c>
      <x:c r="O217" s="27"/>
      <x:c r="P217" s="26"/>
      <x:c r="Q217" s="27">
        <x:v>1</x:v>
      </x:c>
      <x:c r="R217" s="27"/>
      <x:c r="S217" s="22">
        <x:f>IF(N217="","تکمیل نشده",IF(N217="بدون تفصیلی (ثبت روی خود معین)","OK",IF(N217="ادغام با تفصیلی دیگر",IF(O217="","کلید مقصد خالی است",IF(IFERROR(MATCH(O217*1,$A:$A,0),0)=0,"کلید مقصد در این فهرست نیست",IF(O217*1=A217,"ادغام با خودش","OK"))),IF(Q217="","سطح شناور خالی است",IF(AND(FALSE,OR(Q217=1,Q217=2)),"سطح ۱ و ۲ این معین مال فعالیت و مرکز هزینه است","OK")))))</x:f>
      </x:c>
      <x:c r="T217" s="28"/>
    </x:row>
    <x:row r="218" spans="1:20">
      <x:c r="A218" s="21">
        <x:v>2470</x:v>
      </x:c>
      <x:c r="B218" s="22" t="s">
        <x:v>81</x:v>
      </x:c>
      <x:c r="C218" s="22" t="s">
        <x:v>155</x:v>
      </x:c>
      <x:c r="D218" s="22" t="s">
        <x:v>828</x:v>
      </x:c>
      <x:c r="E218" s="22" t="s">
        <x:v>829</x:v>
      </x:c>
      <x:c r="F218" s="22" t="s">
        <x:v>257</x:v>
      </x:c>
      <x:c r="G218" s="22">
        <x:v>6</x:v>
      </x:c>
      <x:c r="H218" s="23">
        <x:v>11706796800</x:v>
      </x:c>
      <x:c r="I218" s="23">
        <x:v>4833000900</x:v>
      </x:c>
      <x:c r="J218" s="23">
        <x:f>H218-I218</x:f>
      </x:c>
      <x:c r="K218" s="22">
        <x:v>2</x:v>
      </x:c>
      <x:c r="L218" s="24" t="s">
        <x:v>548</x:v>
      </x:c>
      <x:c r="M218" s="24"/>
      <x:c r="N218" s="27" t="s">
        <x:v>548</x:v>
      </x:c>
      <x:c r="O218" s="27"/>
      <x:c r="P218" s="26"/>
      <x:c r="Q218" s="27">
        <x:v>1</x:v>
      </x:c>
      <x:c r="R218" s="27"/>
      <x:c r="S218" s="22">
        <x:f>IF(N218="","تکمیل نشده",IF(N218="بدون تفصیلی (ثبت روی خود معین)","OK",IF(N218="ادغام با تفصیلی دیگر",IF(O218="","کلید مقصد خالی است",IF(IFERROR(MATCH(O218*1,$A:$A,0),0)=0,"کلید مقصد در این فهرست نیست",IF(O218*1=A218,"ادغام با خودش","OK"))),IF(Q218="","سطح شناور خالی است",IF(AND(FALSE,OR(Q218=1,Q218=2)),"سطح ۱ و ۲ این معین مال فعالیت و مرکز هزینه است","OK")))))</x:f>
      </x:c>
      <x:c r="T218" s="28"/>
    </x:row>
    <x:row r="219" spans="1:20">
      <x:c r="A219" s="21">
        <x:v>2471</x:v>
      </x:c>
      <x:c r="B219" s="22" t="s">
        <x:v>81</x:v>
      </x:c>
      <x:c r="C219" s="22" t="s">
        <x:v>155</x:v>
      </x:c>
      <x:c r="D219" s="22" t="s">
        <x:v>830</x:v>
      </x:c>
      <x:c r="E219" s="22" t="s">
        <x:v>649</x:v>
      </x:c>
      <x:c r="F219" s="22" t="s">
        <x:v>257</x:v>
      </x:c>
      <x:c r="G219" s="22">
        <x:v>6</x:v>
      </x:c>
      <x:c r="H219" s="23">
        <x:v>11367040652</x:v>
      </x:c>
      <x:c r="I219" s="23">
        <x:v>4135933463</x:v>
      </x:c>
      <x:c r="J219" s="23">
        <x:f>H219-I219</x:f>
      </x:c>
      <x:c r="K219" s="22">
        <x:v>3</x:v>
      </x:c>
      <x:c r="L219" s="24" t="s">
        <x:v>550</x:v>
      </x:c>
      <x:c r="M219" s="24">
        <x:v>560</x:v>
      </x:c>
      <x:c r="N219" s="27" t="s">
        <x:v>550</x:v>
      </x:c>
      <x:c r="O219" s="27">
        <x:v>560</x:v>
      </x:c>
      <x:c r="P219" s="26"/>
      <x:c r="Q219" s="27">
        <x:v>1</x:v>
      </x:c>
      <x:c r="R219" s="27"/>
      <x:c r="S219" s="22">
        <x:f>IF(N219="","تکمیل نشده",IF(N219="بدون تفصیلی (ثبت روی خود معین)","OK",IF(N219="ادغام با تفصیلی دیگر",IF(O219="","کلید مقصد خالی است",IF(IFERROR(MATCH(O219*1,$A:$A,0),0)=0,"کلید مقصد در این فهرست نیست",IF(O219*1=A219,"ادغام با خودش","OK"))),IF(Q219="","سطح شناور خالی است",IF(AND(FALSE,OR(Q219=1,Q219=2)),"سطح ۱ و ۲ این معین مال فعالیت و مرکز هزینه است","OK")))))</x:f>
      </x:c>
      <x:c r="T219" s="28"/>
    </x:row>
    <x:row r="220" spans="1:20">
      <x:c r="A220" s="21">
        <x:v>2473</x:v>
      </x:c>
      <x:c r="B220" s="22" t="s">
        <x:v>81</x:v>
      </x:c>
      <x:c r="C220" s="22" t="s">
        <x:v>155</x:v>
      </x:c>
      <x:c r="D220" s="22" t="s">
        <x:v>831</x:v>
      </x:c>
      <x:c r="E220" s="22" t="s">
        <x:v>832</x:v>
      </x:c>
      <x:c r="F220" s="22" t="s">
        <x:v>257</x:v>
      </x:c>
      <x:c r="G220" s="22">
        <x:v>6</x:v>
      </x:c>
      <x:c r="H220" s="23">
        <x:v>16939119400</x:v>
      </x:c>
      <x:c r="I220" s="23">
        <x:v>3387823880</x:v>
      </x:c>
      <x:c r="J220" s="23">
        <x:f>H220-I220</x:f>
      </x:c>
      <x:c r="K220" s="22">
        <x:v>3</x:v>
      </x:c>
      <x:c r="L220" s="24" t="s">
        <x:v>548</x:v>
      </x:c>
      <x:c r="M220" s="24"/>
      <x:c r="N220" s="27" t="s">
        <x:v>548</x:v>
      </x:c>
      <x:c r="O220" s="27"/>
      <x:c r="P220" s="26"/>
      <x:c r="Q220" s="27">
        <x:v>1</x:v>
      </x:c>
      <x:c r="R220" s="27"/>
      <x:c r="S220" s="22">
        <x:f>IF(N220="","تکمیل نشده",IF(N220="بدون تفصیلی (ثبت روی خود معین)","OK",IF(N220="ادغام با تفصیلی دیگر",IF(O220="","کلید مقصد خالی است",IF(IFERROR(MATCH(O220*1,$A:$A,0),0)=0,"کلید مقصد در این فهرست نیست",IF(O220*1=A220,"ادغام با خودش","OK"))),IF(Q220="","سطح شناور خالی است",IF(AND(FALSE,OR(Q220=1,Q220=2)),"سطح ۱ و ۲ این معین مال فعالیت و مرکز هزینه است","OK")))))</x:f>
      </x:c>
      <x:c r="T220" s="28"/>
    </x:row>
    <x:row r="221" spans="1:20">
      <x:c r="A221" s="21">
        <x:v>3666</x:v>
      </x:c>
      <x:c r="B221" s="22" t="s">
        <x:v>81</x:v>
      </x:c>
      <x:c r="C221" s="22" t="s">
        <x:v>155</x:v>
      </x:c>
      <x:c r="D221" s="22" t="s">
        <x:v>833</x:v>
      </x:c>
      <x:c r="E221" s="22" t="s">
        <x:v>663</x:v>
      </x:c>
      <x:c r="F221" s="22" t="s">
        <x:v>257</x:v>
      </x:c>
      <x:c r="G221" s="22">
        <x:v>2</x:v>
      </x:c>
      <x:c r="H221" s="23">
        <x:v>0</x:v>
      </x:c>
      <x:c r="I221" s="23">
        <x:v>4507702763</x:v>
      </x:c>
      <x:c r="J221" s="23">
        <x:f>H221-I221</x:f>
      </x:c>
      <x:c r="K221" s="22">
        <x:v>3</x:v>
      </x:c>
      <x:c r="L221" s="24" t="s">
        <x:v>550</x:v>
      </x:c>
      <x:c r="M221" s="24">
        <x:v>587</x:v>
      </x:c>
      <x:c r="N221" s="27" t="s">
        <x:v>550</x:v>
      </x:c>
      <x:c r="O221" s="27">
        <x:v>587</x:v>
      </x:c>
      <x:c r="P221" s="26"/>
      <x:c r="Q221" s="27">
        <x:v>1</x:v>
      </x:c>
      <x:c r="R221" s="27"/>
      <x:c r="S221" s="22">
        <x:f>IF(N221="","تکمیل نشده",IF(N221="بدون تفصیلی (ثبت روی خود معین)","OK",IF(N221="ادغام با تفصیلی دیگر",IF(O221="","کلید مقصد خالی است",IF(IFERROR(MATCH(O221*1,$A:$A,0),0)=0,"کلید مقصد در این فهرست نیست",IF(O221*1=A221,"ادغام با خودش","OK"))),IF(Q221="","سطح شناور خالی است",IF(AND(FALSE,OR(Q221=1,Q221=2)),"سطح ۱ و ۲ این معین مال فعالیت و مرکز هزینه است","OK")))))</x:f>
      </x:c>
      <x:c r="T221" s="28"/>
    </x:row>
    <x:row r="222" spans="1:20">
      <x:c r="A222" s="21">
        <x:v>2474</x:v>
      </x:c>
      <x:c r="B222" s="22" t="s">
        <x:v>81</x:v>
      </x:c>
      <x:c r="C222" s="22" t="s">
        <x:v>155</x:v>
      </x:c>
      <x:c r="D222" s="22" t="s">
        <x:v>834</x:v>
      </x:c>
      <x:c r="E222" s="22" t="s">
        <x:v>748</x:v>
      </x:c>
      <x:c r="F222" s="22" t="s">
        <x:v>257</x:v>
      </x:c>
      <x:c r="G222" s="22">
        <x:v>6</x:v>
      </x:c>
      <x:c r="H222" s="23">
        <x:v>13317268215</x:v>
      </x:c>
      <x:c r="I222" s="23">
        <x:v>2663453643</x:v>
      </x:c>
      <x:c r="J222" s="23">
        <x:f>H222-I222</x:f>
      </x:c>
      <x:c r="K222" s="22">
        <x:v>3</x:v>
      </x:c>
      <x:c r="L222" s="24" t="s">
        <x:v>550</x:v>
      </x:c>
      <x:c r="M222" s="24">
        <x:v>1626</x:v>
      </x:c>
      <x:c r="N222" s="27" t="s">
        <x:v>550</x:v>
      </x:c>
      <x:c r="O222" s="27">
        <x:v>1626</x:v>
      </x:c>
      <x:c r="P222" s="26"/>
      <x:c r="Q222" s="27">
        <x:v>1</x:v>
      </x:c>
      <x:c r="R222" s="27"/>
      <x:c r="S222" s="22">
        <x:f>IF(N222="","تکمیل نشده",IF(N222="بدون تفصیلی (ثبت روی خود معین)","OK",IF(N222="ادغام با تفصیلی دیگر",IF(O222="","کلید مقصد خالی است",IF(IFERROR(MATCH(O222*1,$A:$A,0),0)=0,"کلید مقصد در این فهرست نیست",IF(O222*1=A222,"ادغام با خودش","OK"))),IF(Q222="","سطح شناور خالی است",IF(AND(FALSE,OR(Q222=1,Q222=2)),"سطح ۱ و ۲ این معین مال فعالیت و مرکز هزینه است","OK")))))</x:f>
      </x:c>
      <x:c r="T222" s="28"/>
    </x:row>
    <x:row r="223" spans="1:20">
      <x:c r="A223" s="21">
        <x:v>2475</x:v>
      </x:c>
      <x:c r="B223" s="22" t="s">
        <x:v>81</x:v>
      </x:c>
      <x:c r="C223" s="22" t="s">
        <x:v>155</x:v>
      </x:c>
      <x:c r="D223" s="22" t="s">
        <x:v>835</x:v>
      </x:c>
      <x:c r="E223" s="22" t="s">
        <x:v>661</x:v>
      </x:c>
      <x:c r="F223" s="22" t="s">
        <x:v>257</x:v>
      </x:c>
      <x:c r="G223" s="22">
        <x:v>6</x:v>
      </x:c>
      <x:c r="H223" s="23">
        <x:v>9896011860</x:v>
      </x:c>
      <x:c r="I223" s="23">
        <x:v>3613913706</x:v>
      </x:c>
      <x:c r="J223" s="23">
        <x:f>H223-I223</x:f>
      </x:c>
      <x:c r="K223" s="22">
        <x:v>3</x:v>
      </x:c>
      <x:c r="L223" s="24" t="s">
        <x:v>550</x:v>
      </x:c>
      <x:c r="M223" s="24">
        <x:v>586</x:v>
      </x:c>
      <x:c r="N223" s="27" t="s">
        <x:v>550</x:v>
      </x:c>
      <x:c r="O223" s="27">
        <x:v>586</x:v>
      </x:c>
      <x:c r="P223" s="26"/>
      <x:c r="Q223" s="27">
        <x:v>1</x:v>
      </x:c>
      <x:c r="R223" s="27"/>
      <x:c r="S223" s="22">
        <x:f>IF(N223="","تکمیل نشده",IF(N223="بدون تفصیلی (ثبت روی خود معین)","OK",IF(N223="ادغام با تفصیلی دیگر",IF(O223="","کلید مقصد خالی است",IF(IFERROR(MATCH(O223*1,$A:$A,0),0)=0,"کلید مقصد در این فهرست نیست",IF(O223*1=A223,"ادغام با خودش","OK"))),IF(Q223="","سطح شناور خالی است",IF(AND(FALSE,OR(Q223=1,Q223=2)),"سطح ۱ و ۲ این معین مال فعالیت و مرکز هزینه است","OK")))))</x:f>
      </x:c>
      <x:c r="T223" s="28"/>
    </x:row>
    <x:row r="224" spans="1:20">
      <x:c r="A224" s="21">
        <x:v>2478</x:v>
      </x:c>
      <x:c r="B224" s="22" t="s">
        <x:v>81</x:v>
      </x:c>
      <x:c r="C224" s="22" t="s">
        <x:v>155</x:v>
      </x:c>
      <x:c r="D224" s="22" t="s">
        <x:v>836</x:v>
      </x:c>
      <x:c r="E224" s="22" t="s">
        <x:v>726</x:v>
      </x:c>
      <x:c r="F224" s="22" t="s">
        <x:v>257</x:v>
      </x:c>
      <x:c r="G224" s="22">
        <x:v>6</x:v>
      </x:c>
      <x:c r="H224" s="23">
        <x:v>10876697720</x:v>
      </x:c>
      <x:c r="I224" s="23">
        <x:v>3965539200</x:v>
      </x:c>
      <x:c r="J224" s="23">
        <x:f>H224-I224</x:f>
      </x:c>
      <x:c r="K224" s="22">
        <x:v>3</x:v>
      </x:c>
      <x:c r="L224" s="24" t="s">
        <x:v>550</x:v>
      </x:c>
      <x:c r="M224" s="24">
        <x:v>1538</x:v>
      </x:c>
      <x:c r="N224" s="27" t="s">
        <x:v>550</x:v>
      </x:c>
      <x:c r="O224" s="27">
        <x:v>1538</x:v>
      </x:c>
      <x:c r="P224" s="26"/>
      <x:c r="Q224" s="27">
        <x:v>1</x:v>
      </x:c>
      <x:c r="R224" s="27"/>
      <x:c r="S224" s="22">
        <x:f>IF(N224="","تکمیل نشده",IF(N224="بدون تفصیلی (ثبت روی خود معین)","OK",IF(N224="ادغام با تفصیلی دیگر",IF(O224="","کلید مقصد خالی است",IF(IFERROR(MATCH(O224*1,$A:$A,0),0)=0,"کلید مقصد در این فهرست نیست",IF(O224*1=A224,"ادغام با خودش","OK"))),IF(Q224="","سطح شناور خالی است",IF(AND(FALSE,OR(Q224=1,Q224=2)),"سطح ۱ و ۲ این معین مال فعالیت و مرکز هزینه است","OK")))))</x:f>
      </x:c>
      <x:c r="T224" s="28"/>
    </x:row>
    <x:row r="225" spans="1:20">
      <x:c r="A225" s="21">
        <x:v>3681</x:v>
      </x:c>
      <x:c r="B225" s="22" t="s">
        <x:v>81</x:v>
      </x:c>
      <x:c r="C225" s="22" t="s">
        <x:v>155</x:v>
      </x:c>
      <x:c r="D225" s="22" t="s">
        <x:v>837</x:v>
      </x:c>
      <x:c r="E225" s="22" t="s">
        <x:v>838</x:v>
      </x:c>
      <x:c r="F225" s="22" t="s">
        <x:v>257</x:v>
      </x:c>
      <x:c r="G225" s="22">
        <x:v>2</x:v>
      </x:c>
      <x:c r="H225" s="23">
        <x:v>0</x:v>
      </x:c>
      <x:c r="I225" s="23">
        <x:v>4197895013</x:v>
      </x:c>
      <x:c r="J225" s="23">
        <x:f>H225-I225</x:f>
      </x:c>
      <x:c r="K225" s="22">
        <x:v>2</x:v>
      </x:c>
      <x:c r="L225" s="24" t="s">
        <x:v>548</x:v>
      </x:c>
      <x:c r="M225" s="24"/>
      <x:c r="N225" s="27" t="s">
        <x:v>548</x:v>
      </x:c>
      <x:c r="O225" s="27"/>
      <x:c r="P225" s="26"/>
      <x:c r="Q225" s="27">
        <x:v>1</x:v>
      </x:c>
      <x:c r="R225" s="27"/>
      <x:c r="S225" s="22">
        <x:f>IF(N225="","تکمیل نشده",IF(N225="بدون تفصیلی (ثبت روی خود معین)","OK",IF(N225="ادغام با تفصیلی دیگر",IF(O225="","کلید مقصد خالی است",IF(IFERROR(MATCH(O225*1,$A:$A,0),0)=0,"کلید مقصد در این فهرست نیست",IF(O225*1=A225,"ادغام با خودش","OK"))),IF(Q225="","سطح شناور خالی است",IF(AND(FALSE,OR(Q225=1,Q225=2)),"سطح ۱ و ۲ این معین مال فعالیت و مرکز هزینه است","OK")))))</x:f>
      </x:c>
      <x:c r="T225" s="28"/>
    </x:row>
    <x:row r="226" spans="1:20">
      <x:c r="A226" s="21">
        <x:v>3659</x:v>
      </x:c>
      <x:c r="B226" s="22" t="s">
        <x:v>81</x:v>
      </x:c>
      <x:c r="C226" s="22" t="s">
        <x:v>155</x:v>
      </x:c>
      <x:c r="D226" s="22" t="s">
        <x:v>839</x:v>
      </x:c>
      <x:c r="E226" s="22" t="s">
        <x:v>840</x:v>
      </x:c>
      <x:c r="F226" s="22" t="s">
        <x:v>257</x:v>
      </x:c>
      <x:c r="G226" s="22">
        <x:v>2</x:v>
      </x:c>
      <x:c r="H226" s="23">
        <x:v>0</x:v>
      </x:c>
      <x:c r="I226" s="23">
        <x:v>3576447386</x:v>
      </x:c>
      <x:c r="J226" s="23">
        <x:f>H226-I226</x:f>
      </x:c>
      <x:c r="K226" s="22">
        <x:v>2</x:v>
      </x:c>
      <x:c r="L226" s="24" t="s">
        <x:v>548</x:v>
      </x:c>
      <x:c r="M226" s="24"/>
      <x:c r="N226" s="27" t="s">
        <x:v>548</x:v>
      </x:c>
      <x:c r="O226" s="27"/>
      <x:c r="P226" s="26"/>
      <x:c r="Q226" s="27">
        <x:v>1</x:v>
      </x:c>
      <x:c r="R226" s="27"/>
      <x:c r="S226" s="22">
        <x:f>IF(N226="","تکمیل نشده",IF(N226="بدون تفصیلی (ثبت روی خود معین)","OK",IF(N226="ادغام با تفصیلی دیگر",IF(O226="","کلید مقصد خالی است",IF(IFERROR(MATCH(O226*1,$A:$A,0),0)=0,"کلید مقصد در این فهرست نیست",IF(O226*1=A226,"ادغام با خودش","OK"))),IF(Q226="","سطح شناور خالی است",IF(AND(FALSE,OR(Q226=1,Q226=2)),"سطح ۱ و ۲ این معین مال فعالیت و مرکز هزینه است","OK")))))</x:f>
      </x:c>
      <x:c r="T226" s="28"/>
    </x:row>
    <x:row r="227" spans="1:20">
      <x:c r="A227" s="21">
        <x:v>3768</x:v>
      </x:c>
      <x:c r="B227" s="22" t="s">
        <x:v>81</x:v>
      </x:c>
      <x:c r="C227" s="22" t="s">
        <x:v>155</x:v>
      </x:c>
      <x:c r="D227" s="22" t="s">
        <x:v>841</x:v>
      </x:c>
      <x:c r="E227" s="22" t="s">
        <x:v>667</x:v>
      </x:c>
      <x:c r="F227" s="22" t="s">
        <x:v>257</x:v>
      </x:c>
      <x:c r="G227" s="22">
        <x:v>2</x:v>
      </x:c>
      <x:c r="H227" s="23">
        <x:v>0</x:v>
      </x:c>
      <x:c r="I227" s="23">
        <x:v>3442716905</x:v>
      </x:c>
      <x:c r="J227" s="23">
        <x:f>H227-I227</x:f>
      </x:c>
      <x:c r="K227" s="22">
        <x:v>3</x:v>
      </x:c>
      <x:c r="L227" s="24" t="s">
        <x:v>550</x:v>
      </x:c>
      <x:c r="M227" s="24">
        <x:v>3772</x:v>
      </x:c>
      <x:c r="N227" s="27" t="s">
        <x:v>550</x:v>
      </x:c>
      <x:c r="O227" s="27">
        <x:v>3772</x:v>
      </x:c>
      <x:c r="P227" s="26"/>
      <x:c r="Q227" s="27">
        <x:v>1</x:v>
      </x:c>
      <x:c r="R227" s="27"/>
      <x:c r="S227" s="22">
        <x:f>IF(N227="","تکمیل نشده",IF(N227="بدون تفصیلی (ثبت روی خود معین)","OK",IF(N227="ادغام با تفصیلی دیگر",IF(O227="","کلید مقصد خالی است",IF(IFERROR(MATCH(O227*1,$A:$A,0),0)=0,"کلید مقصد در این فهرست نیست",IF(O227*1=A227,"ادغام با خودش","OK"))),IF(Q227="","سطح شناور خالی است",IF(AND(FALSE,OR(Q227=1,Q227=2)),"سطح ۱ و ۲ این معین مال فعالیت و مرکز هزینه است","OK")))))</x:f>
      </x:c>
      <x:c r="T227" s="28"/>
    </x:row>
    <x:row r="228" spans="1:20">
      <x:c r="A228" s="21">
        <x:v>3664</x:v>
      </x:c>
      <x:c r="B228" s="22" t="s">
        <x:v>81</x:v>
      </x:c>
      <x:c r="C228" s="22" t="s">
        <x:v>155</x:v>
      </x:c>
      <x:c r="D228" s="22" t="s">
        <x:v>842</x:v>
      </x:c>
      <x:c r="E228" s="22" t="s">
        <x:v>843</x:v>
      </x:c>
      <x:c r="F228" s="22" t="s">
        <x:v>257</x:v>
      </x:c>
      <x:c r="G228" s="22">
        <x:v>2</x:v>
      </x:c>
      <x:c r="H228" s="23">
        <x:v>0</x:v>
      </x:c>
      <x:c r="I228" s="23">
        <x:v>3759179865</x:v>
      </x:c>
      <x:c r="J228" s="23">
        <x:f>H228-I228</x:f>
      </x:c>
      <x:c r="K228" s="22">
        <x:v>2</x:v>
      </x:c>
      <x:c r="L228" s="24" t="s">
        <x:v>548</x:v>
      </x:c>
      <x:c r="M228" s="24"/>
      <x:c r="N228" s="27" t="s">
        <x:v>548</x:v>
      </x:c>
      <x:c r="O228" s="27"/>
      <x:c r="P228" s="26"/>
      <x:c r="Q228" s="27">
        <x:v>1</x:v>
      </x:c>
      <x:c r="R228" s="27"/>
      <x:c r="S228" s="22">
        <x:f>IF(N228="","تکمیل نشده",IF(N228="بدون تفصیلی (ثبت روی خود معین)","OK",IF(N228="ادغام با تفصیلی دیگر",IF(O228="","کلید مقصد خالی است",IF(IFERROR(MATCH(O228*1,$A:$A,0),0)=0,"کلید مقصد در این فهرست نیست",IF(O228*1=A228,"ادغام با خودش","OK"))),IF(Q228="","سطح شناور خالی است",IF(AND(FALSE,OR(Q228=1,Q228=2)),"سطح ۱ و ۲ این معین مال فعالیت و مرکز هزینه است","OK")))))</x:f>
      </x:c>
      <x:c r="T228" s="28"/>
    </x:row>
    <x:row r="229" spans="1:20">
      <x:c r="A229" s="21">
        <x:v>3701</x:v>
      </x:c>
      <x:c r="B229" s="22" t="s">
        <x:v>81</x:v>
      </x:c>
      <x:c r="C229" s="22" t="s">
        <x:v>155</x:v>
      </x:c>
      <x:c r="D229" s="22" t="s">
        <x:v>844</x:v>
      </x:c>
      <x:c r="E229" s="22" t="s">
        <x:v>845</x:v>
      </x:c>
      <x:c r="F229" s="22" t="s">
        <x:v>257</x:v>
      </x:c>
      <x:c r="G229" s="22">
        <x:v>2</x:v>
      </x:c>
      <x:c r="H229" s="23">
        <x:v>1201167706</x:v>
      </x:c>
      <x:c r="I229" s="23">
        <x:v>1201167706</x:v>
      </x:c>
      <x:c r="J229" s="23">
        <x:f>H229-I229</x:f>
      </x:c>
      <x:c r="K229" s="22">
        <x:v>2</x:v>
      </x:c>
      <x:c r="L229" s="24" t="s">
        <x:v>548</x:v>
      </x:c>
      <x:c r="M229" s="24"/>
      <x:c r="N229" s="27" t="s">
        <x:v>548</x:v>
      </x:c>
      <x:c r="O229" s="27"/>
      <x:c r="P229" s="26"/>
      <x:c r="Q229" s="27">
        <x:v>1</x:v>
      </x:c>
      <x:c r="R229" s="27"/>
      <x:c r="S229" s="22">
        <x:f>IF(N229="","تکمیل نشده",IF(N229="بدون تفصیلی (ثبت روی خود معین)","OK",IF(N229="ادغام با تفصیلی دیگر",IF(O229="","کلید مقصد خالی است",IF(IFERROR(MATCH(O229*1,$A:$A,0),0)=0,"کلید مقصد در این فهرست نیست",IF(O229*1=A229,"ادغام با خودش","OK"))),IF(Q229="","سطح شناور خالی است",IF(AND(FALSE,OR(Q229=1,Q229=2)),"سطح ۱ و ۲ این معین مال فعالیت و مرکز هزینه است","OK")))))</x:f>
      </x:c>
      <x:c r="T229" s="28"/>
    </x:row>
    <x:row r="230" spans="1:20">
      <x:c r="A230" s="21">
        <x:v>2479</x:v>
      </x:c>
      <x:c r="B230" s="22" t="s">
        <x:v>81</x:v>
      </x:c>
      <x:c r="C230" s="22" t="s">
        <x:v>155</x:v>
      </x:c>
      <x:c r="D230" s="22" t="s">
        <x:v>846</x:v>
      </x:c>
      <x:c r="E230" s="22" t="s">
        <x:v>847</x:v>
      </x:c>
      <x:c r="F230" s="22" t="s">
        <x:v>257</x:v>
      </x:c>
      <x:c r="G230" s="22">
        <x:v>5</x:v>
      </x:c>
      <x:c r="H230" s="23">
        <x:v>2587201400</x:v>
      </x:c>
      <x:c r="I230" s="23">
        <x:v>646800350</x:v>
      </x:c>
      <x:c r="J230" s="23">
        <x:f>H230-I230</x:f>
      </x:c>
      <x:c r="K230" s="22">
        <x:v>2</x:v>
      </x:c>
      <x:c r="L230" s="24" t="s">
        <x:v>548</x:v>
      </x:c>
      <x:c r="M230" s="24"/>
      <x:c r="N230" s="27" t="s">
        <x:v>548</x:v>
      </x:c>
      <x:c r="O230" s="27"/>
      <x:c r="P230" s="26"/>
      <x:c r="Q230" s="27">
        <x:v>1</x:v>
      </x:c>
      <x:c r="R230" s="27"/>
      <x:c r="S230" s="22">
        <x:f>IF(N230="","تکمیل نشده",IF(N230="بدون تفصیلی (ثبت روی خود معین)","OK",IF(N230="ادغام با تفصیلی دیگر",IF(O230="","کلید مقصد خالی است",IF(IFERROR(MATCH(O230*1,$A:$A,0),0)=0,"کلید مقصد در این فهرست نیست",IF(O230*1=A230,"ادغام با خودش","OK"))),IF(Q230="","سطح شناور خالی است",IF(AND(FALSE,OR(Q230=1,Q230=2)),"سطح ۱ و ۲ این معین مال فعالیت و مرکز هزینه است","OK")))))</x:f>
      </x:c>
      <x:c r="T230" s="28"/>
    </x:row>
    <x:row r="231" spans="1:20">
      <x:c r="A231" s="21">
        <x:v>2480</x:v>
      </x:c>
      <x:c r="B231" s="22" t="s">
        <x:v>81</x:v>
      </x:c>
      <x:c r="C231" s="22" t="s">
        <x:v>155</x:v>
      </x:c>
      <x:c r="D231" s="22" t="s">
        <x:v>848</x:v>
      </x:c>
      <x:c r="E231" s="22" t="s">
        <x:v>849</x:v>
      </x:c>
      <x:c r="F231" s="22" t="s">
        <x:v>257</x:v>
      </x:c>
      <x:c r="G231" s="22">
        <x:v>6</x:v>
      </x:c>
      <x:c r="H231" s="23">
        <x:v>14041638450</x:v>
      </x:c>
      <x:c r="I231" s="23">
        <x:v>2808327690</x:v>
      </x:c>
      <x:c r="J231" s="23">
        <x:f>H231-I231</x:f>
      </x:c>
      <x:c r="K231" s="22">
        <x:v>2</x:v>
      </x:c>
      <x:c r="L231" s="24" t="s">
        <x:v>548</x:v>
      </x:c>
      <x:c r="M231" s="24"/>
      <x:c r="N231" s="27" t="s">
        <x:v>548</x:v>
      </x:c>
      <x:c r="O231" s="27"/>
      <x:c r="P231" s="26"/>
      <x:c r="Q231" s="27">
        <x:v>1</x:v>
      </x:c>
      <x:c r="R231" s="27"/>
      <x:c r="S231" s="22">
        <x:f>IF(N231="","تکمیل نشده",IF(N231="بدون تفصیلی (ثبت روی خود معین)","OK",IF(N231="ادغام با تفصیلی دیگر",IF(O231="","کلید مقصد خالی است",IF(IFERROR(MATCH(O231*1,$A:$A,0),0)=0,"کلید مقصد در این فهرست نیست",IF(O231*1=A231,"ادغام با خودش","OK"))),IF(Q231="","سطح شناور خالی است",IF(AND(FALSE,OR(Q231=1,Q231=2)),"سطح ۱ و ۲ این معین مال فعالیت و مرکز هزینه است","OK")))))</x:f>
      </x:c>
      <x:c r="T231" s="28"/>
    </x:row>
    <x:row r="232" spans="1:20">
      <x:c r="A232" s="21">
        <x:v>2481</x:v>
      </x:c>
      <x:c r="B232" s="22" t="s">
        <x:v>81</x:v>
      </x:c>
      <x:c r="C232" s="22" t="s">
        <x:v>155</x:v>
      </x:c>
      <x:c r="D232" s="22" t="s">
        <x:v>850</x:v>
      </x:c>
      <x:c r="E232" s="22" t="s">
        <x:v>851</x:v>
      </x:c>
      <x:c r="F232" s="22" t="s">
        <x:v>257</x:v>
      </x:c>
      <x:c r="G232" s="22">
        <x:v>6</x:v>
      </x:c>
      <x:c r="H232" s="23">
        <x:v>9096750242</x:v>
      </x:c>
      <x:c r="I232" s="23">
        <x:v>2139678240</x:v>
      </x:c>
      <x:c r="J232" s="23">
        <x:f>H232-I232</x:f>
      </x:c>
      <x:c r="K232" s="22">
        <x:v>2</x:v>
      </x:c>
      <x:c r="L232" s="24" t="s">
        <x:v>548</x:v>
      </x:c>
      <x:c r="M232" s="24"/>
      <x:c r="N232" s="27" t="s">
        <x:v>548</x:v>
      </x:c>
      <x:c r="O232" s="27"/>
      <x:c r="P232" s="26"/>
      <x:c r="Q232" s="27">
        <x:v>1</x:v>
      </x:c>
      <x:c r="R232" s="27"/>
      <x:c r="S232" s="22">
        <x:f>IF(N232="","تکمیل نشده",IF(N232="بدون تفصیلی (ثبت روی خود معین)","OK",IF(N232="ادغام با تفصیلی دیگر",IF(O232="","کلید مقصد خالی است",IF(IFERROR(MATCH(O232*1,$A:$A,0),0)=0,"کلید مقصد در این فهرست نیست",IF(O232*1=A232,"ادغام با خودش","OK"))),IF(Q232="","سطح شناور خالی است",IF(AND(FALSE,OR(Q232=1,Q232=2)),"سطح ۱ و ۲ این معین مال فعالیت و مرکز هزینه است","OK")))))</x:f>
      </x:c>
      <x:c r="T232" s="28"/>
    </x:row>
    <x:row r="233" spans="1:20">
      <x:c r="A233" s="21">
        <x:v>2483</x:v>
      </x:c>
      <x:c r="B233" s="22" t="s">
        <x:v>81</x:v>
      </x:c>
      <x:c r="C233" s="22" t="s">
        <x:v>155</x:v>
      </x:c>
      <x:c r="D233" s="22" t="s">
        <x:v>852</x:v>
      </x:c>
      <x:c r="E233" s="22" t="s">
        <x:v>853</x:v>
      </x:c>
      <x:c r="F233" s="22" t="s">
        <x:v>257</x:v>
      </x:c>
      <x:c r="G233" s="22">
        <x:v>6</x:v>
      </x:c>
      <x:c r="H233" s="23">
        <x:v>11198795870</x:v>
      </x:c>
      <x:c r="I233" s="23">
        <x:v>2239759174</x:v>
      </x:c>
      <x:c r="J233" s="23">
        <x:f>H233-I233</x:f>
      </x:c>
      <x:c r="K233" s="22">
        <x:v>3</x:v>
      </x:c>
      <x:c r="L233" s="24" t="s">
        <x:v>550</x:v>
      </x:c>
      <x:c r="M233" s="24">
        <x:v>1551</x:v>
      </x:c>
      <x:c r="N233" s="27" t="s">
        <x:v>550</x:v>
      </x:c>
      <x:c r="O233" s="27">
        <x:v>1551</x:v>
      </x:c>
      <x:c r="P233" s="26"/>
      <x:c r="Q233" s="27">
        <x:v>1</x:v>
      </x:c>
      <x:c r="R233" s="27"/>
      <x:c r="S233" s="22">
        <x:f>IF(N233="","تکمیل نشده",IF(N233="بدون تفصیلی (ثبت روی خود معین)","OK",IF(N233="ادغام با تفصیلی دیگر",IF(O233="","کلید مقصد خالی است",IF(IFERROR(MATCH(O233*1,$A:$A,0),0)=0,"کلید مقصد در این فهرست نیست",IF(O233*1=A233,"ادغام با خودش","OK"))),IF(Q233="","سطح شناور خالی است",IF(AND(FALSE,OR(Q233=1,Q233=2)),"سطح ۱ و ۲ این معین مال فعالیت و مرکز هزینه است","OK")))))</x:f>
      </x:c>
      <x:c r="T233" s="28"/>
    </x:row>
    <x:row r="234" spans="1:20">
      <x:c r="A234" s="21">
        <x:v>2484</x:v>
      </x:c>
      <x:c r="B234" s="22" t="s">
        <x:v>81</x:v>
      </x:c>
      <x:c r="C234" s="22" t="s">
        <x:v>155</x:v>
      </x:c>
      <x:c r="D234" s="22" t="s">
        <x:v>854</x:v>
      </x:c>
      <x:c r="E234" s="22" t="s">
        <x:v>855</x:v>
      </x:c>
      <x:c r="F234" s="22" t="s">
        <x:v>257</x:v>
      </x:c>
      <x:c r="G234" s="22">
        <x:v>6</x:v>
      </x:c>
      <x:c r="H234" s="23">
        <x:v>11839463514</x:v>
      </x:c>
      <x:c r="I234" s="23">
        <x:v>2741462745</x:v>
      </x:c>
      <x:c r="J234" s="23">
        <x:f>H234-I234</x:f>
      </x:c>
      <x:c r="K234" s="22">
        <x:v>2</x:v>
      </x:c>
      <x:c r="L234" s="24" t="s">
        <x:v>548</x:v>
      </x:c>
      <x:c r="M234" s="24"/>
      <x:c r="N234" s="27" t="s">
        <x:v>548</x:v>
      </x:c>
      <x:c r="O234" s="27"/>
      <x:c r="P234" s="26"/>
      <x:c r="Q234" s="27">
        <x:v>1</x:v>
      </x:c>
      <x:c r="R234" s="27"/>
      <x:c r="S234" s="22">
        <x:f>IF(N234="","تکمیل نشده",IF(N234="بدون تفصیلی (ثبت روی خود معین)","OK",IF(N234="ادغام با تفصیلی دیگر",IF(O234="","کلید مقصد خالی است",IF(IFERROR(MATCH(O234*1,$A:$A,0),0)=0,"کلید مقصد در این فهرست نیست",IF(O234*1=A234,"ادغام با خودش","OK"))),IF(Q234="","سطح شناور خالی است",IF(AND(FALSE,OR(Q234=1,Q234=2)),"سطح ۱ و ۲ این معین مال فعالیت و مرکز هزینه است","OK")))))</x:f>
      </x:c>
      <x:c r="T234" s="28"/>
    </x:row>
    <x:row r="235" spans="1:20">
      <x:c r="A235" s="21">
        <x:v>2485</x:v>
      </x:c>
      <x:c r="B235" s="22" t="s">
        <x:v>81</x:v>
      </x:c>
      <x:c r="C235" s="22" t="s">
        <x:v>155</x:v>
      </x:c>
      <x:c r="D235" s="22" t="s">
        <x:v>856</x:v>
      </x:c>
      <x:c r="E235" s="22" t="s">
        <x:v>857</x:v>
      </x:c>
      <x:c r="F235" s="22" t="s">
        <x:v>257</x:v>
      </x:c>
      <x:c r="G235" s="22">
        <x:v>6</x:v>
      </x:c>
      <x:c r="H235" s="23">
        <x:v>11701365375</x:v>
      </x:c>
      <x:c r="I235" s="23">
        <x:v>2340273075</x:v>
      </x:c>
      <x:c r="J235" s="23">
        <x:f>H235-I235</x:f>
      </x:c>
      <x:c r="K235" s="22">
        <x:v>2</x:v>
      </x:c>
      <x:c r="L235" s="24" t="s">
        <x:v>548</x:v>
      </x:c>
      <x:c r="M235" s="24"/>
      <x:c r="N235" s="27" t="s">
        <x:v>548</x:v>
      </x:c>
      <x:c r="O235" s="27"/>
      <x:c r="P235" s="26"/>
      <x:c r="Q235" s="27">
        <x:v>1</x:v>
      </x:c>
      <x:c r="R235" s="27"/>
      <x:c r="S235" s="22">
        <x:f>IF(N235="","تکمیل نشده",IF(N235="بدون تفصیلی (ثبت روی خود معین)","OK",IF(N235="ادغام با تفصیلی دیگر",IF(O235="","کلید مقصد خالی است",IF(IFERROR(MATCH(O235*1,$A:$A,0),0)=0,"کلید مقصد در این فهرست نیست",IF(O235*1=A235,"ادغام با خودش","OK"))),IF(Q235="","سطح شناور خالی است",IF(AND(FALSE,OR(Q235=1,Q235=2)),"سطح ۱ و ۲ این معین مال فعالیت و مرکز هزینه است","OK")))))</x:f>
      </x:c>
      <x:c r="T235" s="28"/>
    </x:row>
    <x:row r="236" spans="1:20">
      <x:c r="A236" s="21">
        <x:v>2486</x:v>
      </x:c>
      <x:c r="B236" s="22" t="s">
        <x:v>81</x:v>
      </x:c>
      <x:c r="C236" s="22" t="s">
        <x:v>155</x:v>
      </x:c>
      <x:c r="D236" s="22" t="s">
        <x:v>858</x:v>
      </x:c>
      <x:c r="E236" s="22" t="s">
        <x:v>741</x:v>
      </x:c>
      <x:c r="F236" s="22" t="s">
        <x:v>257</x:v>
      </x:c>
      <x:c r="G236" s="22">
        <x:v>6</x:v>
      </x:c>
      <x:c r="H236" s="23">
        <x:v>6903671950</x:v>
      </x:c>
      <x:c r="I236" s="23">
        <x:v>1380734390</x:v>
      </x:c>
      <x:c r="J236" s="23">
        <x:f>H236-I236</x:f>
      </x:c>
      <x:c r="K236" s="22">
        <x:v>2</x:v>
      </x:c>
      <x:c r="L236" s="24" t="s">
        <x:v>550</x:v>
      </x:c>
      <x:c r="M236" s="24">
        <x:v>3645</x:v>
      </x:c>
      <x:c r="N236" s="27" t="s">
        <x:v>550</x:v>
      </x:c>
      <x:c r="O236" s="27">
        <x:v>3645</x:v>
      </x:c>
      <x:c r="P236" s="26"/>
      <x:c r="Q236" s="27">
        <x:v>1</x:v>
      </x:c>
      <x:c r="R236" s="27"/>
      <x:c r="S236" s="22">
        <x:f>IF(N236="","تکمیل نشده",IF(N236="بدون تفصیلی (ثبت روی خود معین)","OK",IF(N236="ادغام با تفصیلی دیگر",IF(O236="","کلید مقصد خالی است",IF(IFERROR(MATCH(O236*1,$A:$A,0),0)=0,"کلید مقصد در این فهرست نیست",IF(O236*1=A236,"ادغام با خودش","OK"))),IF(Q236="","سطح شناور خالی است",IF(AND(FALSE,OR(Q236=1,Q236=2)),"سطح ۱ و ۲ این معین مال فعالیت و مرکز هزینه است","OK")))))</x:f>
      </x:c>
      <x:c r="T236" s="28"/>
    </x:row>
    <x:row r="237" spans="1:20">
      <x:c r="A237" s="21">
        <x:v>2487</x:v>
      </x:c>
      <x:c r="B237" s="22" t="s">
        <x:v>81</x:v>
      </x:c>
      <x:c r="C237" s="22" t="s">
        <x:v>155</x:v>
      </x:c>
      <x:c r="D237" s="22" t="s">
        <x:v>859</x:v>
      </x:c>
      <x:c r="E237" s="22" t="s">
        <x:v>860</x:v>
      </x:c>
      <x:c r="F237" s="22" t="s">
        <x:v>257</x:v>
      </x:c>
      <x:c r="G237" s="22">
        <x:v>6</x:v>
      </x:c>
      <x:c r="H237" s="23">
        <x:v>9741927625</x:v>
      </x:c>
      <x:c r="I237" s="23">
        <x:v>2161966555</x:v>
      </x:c>
      <x:c r="J237" s="23">
        <x:f>H237-I237</x:f>
      </x:c>
      <x:c r="K237" s="22">
        <x:v>2</x:v>
      </x:c>
      <x:c r="L237" s="24" t="s">
        <x:v>548</x:v>
      </x:c>
      <x:c r="M237" s="24"/>
      <x:c r="N237" s="27" t="s">
        <x:v>548</x:v>
      </x:c>
      <x:c r="O237" s="27"/>
      <x:c r="P237" s="26"/>
      <x:c r="Q237" s="27">
        <x:v>1</x:v>
      </x:c>
      <x:c r="R237" s="27"/>
      <x:c r="S237" s="22">
        <x:f>IF(N237="","تکمیل نشده",IF(N237="بدون تفصیلی (ثبت روی خود معین)","OK",IF(N237="ادغام با تفصیلی دیگر",IF(O237="","کلید مقصد خالی است",IF(IFERROR(MATCH(O237*1,$A:$A,0),0)=0,"کلید مقصد در این فهرست نیست",IF(O237*1=A237,"ادغام با خودش","OK"))),IF(Q237="","سطح شناور خالی است",IF(AND(FALSE,OR(Q237=1,Q237=2)),"سطح ۱ و ۲ این معین مال فعالیت و مرکز هزینه است","OK")))))</x:f>
      </x:c>
      <x:c r="T237" s="28"/>
    </x:row>
    <x:row r="238" spans="1:20">
      <x:c r="A238" s="21">
        <x:v>2488</x:v>
      </x:c>
      <x:c r="B238" s="22" t="s">
        <x:v>81</x:v>
      </x:c>
      <x:c r="C238" s="22" t="s">
        <x:v>155</x:v>
      </x:c>
      <x:c r="D238" s="22" t="s">
        <x:v>861</x:v>
      </x:c>
      <x:c r="E238" s="22" t="s">
        <x:v>862</x:v>
      </x:c>
      <x:c r="F238" s="22" t="s">
        <x:v>257</x:v>
      </x:c>
      <x:c r="G238" s="22">
        <x:v>6</x:v>
      </x:c>
      <x:c r="H238" s="23">
        <x:v>9583975452</x:v>
      </x:c>
      <x:c r="I238" s="23">
        <x:v>3214654276</x:v>
      </x:c>
      <x:c r="J238" s="23">
        <x:f>H238-I238</x:f>
      </x:c>
      <x:c r="K238" s="22">
        <x:v>2</x:v>
      </x:c>
      <x:c r="L238" s="24" t="s">
        <x:v>548</x:v>
      </x:c>
      <x:c r="M238" s="24"/>
      <x:c r="N238" s="27" t="s">
        <x:v>548</x:v>
      </x:c>
      <x:c r="O238" s="27"/>
      <x:c r="P238" s="26"/>
      <x:c r="Q238" s="27">
        <x:v>1</x:v>
      </x:c>
      <x:c r="R238" s="27"/>
      <x:c r="S238" s="22">
        <x:f>IF(N238="","تکمیل نشده",IF(N238="بدون تفصیلی (ثبت روی خود معین)","OK",IF(N238="ادغام با تفصیلی دیگر",IF(O238="","کلید مقصد خالی است",IF(IFERROR(MATCH(O238*1,$A:$A,0),0)=0,"کلید مقصد در این فهرست نیست",IF(O238*1=A238,"ادغام با خودش","OK"))),IF(Q238="","سطح شناور خالی است",IF(AND(FALSE,OR(Q238=1,Q238=2)),"سطح ۱ و ۲ این معین مال فعالیت و مرکز هزینه است","OK")))))</x:f>
      </x:c>
      <x:c r="T238" s="28"/>
    </x:row>
    <x:row r="239" spans="1:20">
      <x:c r="A239" s="21">
        <x:v>2489</x:v>
      </x:c>
      <x:c r="B239" s="22" t="s">
        <x:v>81</x:v>
      </x:c>
      <x:c r="C239" s="22" t="s">
        <x:v>155</x:v>
      </x:c>
      <x:c r="D239" s="22" t="s">
        <x:v>863</x:v>
      </x:c>
      <x:c r="E239" s="22" t="s">
        <x:v>682</x:v>
      </x:c>
      <x:c r="F239" s="22" t="s">
        <x:v>257</x:v>
      </x:c>
      <x:c r="G239" s="22">
        <x:v>6</x:v>
      </x:c>
      <x:c r="H239" s="23">
        <x:v>3636466890</x:v>
      </x:c>
      <x:c r="I239" s="23">
        <x:v>742527282</x:v>
      </x:c>
      <x:c r="J239" s="23">
        <x:f>H239-I239</x:f>
      </x:c>
      <x:c r="K239" s="22">
        <x:v>3</x:v>
      </x:c>
      <x:c r="L239" s="24" t="s">
        <x:v>550</x:v>
      </x:c>
      <x:c r="M239" s="24">
        <x:v>664</x:v>
      </x:c>
      <x:c r="N239" s="27" t="s">
        <x:v>550</x:v>
      </x:c>
      <x:c r="O239" s="27">
        <x:v>664</x:v>
      </x:c>
      <x:c r="P239" s="26"/>
      <x:c r="Q239" s="27">
        <x:v>1</x:v>
      </x:c>
      <x:c r="R239" s="27"/>
      <x:c r="S239" s="22">
        <x:f>IF(N239="","تکمیل نشده",IF(N239="بدون تفصیلی (ثبت روی خود معین)","OK",IF(N239="ادغام با تفصیلی دیگر",IF(O239="","کلید مقصد خالی است",IF(IFERROR(MATCH(O239*1,$A:$A,0),0)=0,"کلید مقصد در این فهرست نیست",IF(O239*1=A239,"ادغام با خودش","OK"))),IF(Q239="","سطح شناور خالی است",IF(AND(FALSE,OR(Q239=1,Q239=2)),"سطح ۱ و ۲ این معین مال فعالیت و مرکز هزینه است","OK")))))</x:f>
      </x:c>
      <x:c r="T239" s="28"/>
    </x:row>
    <x:row r="240" spans="1:20">
      <x:c r="A240" s="21">
        <x:v>2490</x:v>
      </x:c>
      <x:c r="B240" s="22" t="s">
        <x:v>81</x:v>
      </x:c>
      <x:c r="C240" s="22" t="s">
        <x:v>155</x:v>
      </x:c>
      <x:c r="D240" s="22" t="s">
        <x:v>864</x:v>
      </x:c>
      <x:c r="E240" s="22" t="s">
        <x:v>865</x:v>
      </x:c>
      <x:c r="F240" s="22" t="s">
        <x:v>257</x:v>
      </x:c>
      <x:c r="G240" s="22">
        <x:v>6</x:v>
      </x:c>
      <x:c r="H240" s="23">
        <x:v>12347726512</x:v>
      </x:c>
      <x:c r="I240" s="23">
        <x:v>3848505588</x:v>
      </x:c>
      <x:c r="J240" s="23">
        <x:f>H240-I240</x:f>
      </x:c>
      <x:c r="K240" s="22">
        <x:v>2</x:v>
      </x:c>
      <x:c r="L240" s="24" t="s">
        <x:v>548</x:v>
      </x:c>
      <x:c r="M240" s="24"/>
      <x:c r="N240" s="27" t="s">
        <x:v>548</x:v>
      </x:c>
      <x:c r="O240" s="27"/>
      <x:c r="P240" s="26"/>
      <x:c r="Q240" s="27">
        <x:v>1</x:v>
      </x:c>
      <x:c r="R240" s="27"/>
      <x:c r="S240" s="22">
        <x:f>IF(N240="","تکمیل نشده",IF(N240="بدون تفصیلی (ثبت روی خود معین)","OK",IF(N240="ادغام با تفصیلی دیگر",IF(O240="","کلید مقصد خالی است",IF(IFERROR(MATCH(O240*1,$A:$A,0),0)=0,"کلید مقصد در این فهرست نیست",IF(O240*1=A240,"ادغام با خودش","OK"))),IF(Q240="","سطح شناور خالی است",IF(AND(FALSE,OR(Q240=1,Q240=2)),"سطح ۱ و ۲ این معین مال فعالیت و مرکز هزینه است","OK")))))</x:f>
      </x:c>
      <x:c r="T240" s="28"/>
    </x:row>
    <x:row r="241" spans="1:20">
      <x:c r="A241" s="21">
        <x:v>3607</x:v>
      </x:c>
      <x:c r="B241" s="22" t="s">
        <x:v>81</x:v>
      </x:c>
      <x:c r="C241" s="22" t="s">
        <x:v>155</x:v>
      </x:c>
      <x:c r="D241" s="22" t="s">
        <x:v>866</x:v>
      </x:c>
      <x:c r="E241" s="22" t="s">
        <x:v>867</x:v>
      </x:c>
      <x:c r="F241" s="22" t="s">
        <x:v>257</x:v>
      </x:c>
      <x:c r="G241" s="22">
        <x:v>2</x:v>
      </x:c>
      <x:c r="H241" s="23">
        <x:v>0</x:v>
      </x:c>
      <x:c r="I241" s="23">
        <x:v>3067096725</x:v>
      </x:c>
      <x:c r="J241" s="23">
        <x:f>H241-I241</x:f>
      </x:c>
      <x:c r="K241" s="22">
        <x:v>2</x:v>
      </x:c>
      <x:c r="L241" s="24" t="s">
        <x:v>548</x:v>
      </x:c>
      <x:c r="M241" s="24"/>
      <x:c r="N241" s="27" t="s">
        <x:v>548</x:v>
      </x:c>
      <x:c r="O241" s="27"/>
      <x:c r="P241" s="26"/>
      <x:c r="Q241" s="27">
        <x:v>1</x:v>
      </x:c>
      <x:c r="R241" s="27"/>
      <x:c r="S241" s="22">
        <x:f>IF(N241="","تکمیل نشده",IF(N241="بدون تفصیلی (ثبت روی خود معین)","OK",IF(N241="ادغام با تفصیلی دیگر",IF(O241="","کلید مقصد خالی است",IF(IFERROR(MATCH(O241*1,$A:$A,0),0)=0,"کلید مقصد در این فهرست نیست",IF(O241*1=A241,"ادغام با خودش","OK"))),IF(Q241="","سطح شناور خالی است",IF(AND(FALSE,OR(Q241=1,Q241=2)),"سطح ۱ و ۲ این معین مال فعالیت و مرکز هزینه است","OK")))))</x:f>
      </x:c>
      <x:c r="T241" s="28"/>
    </x:row>
    <x:row r="242" spans="1:20">
      <x:c r="A242" s="21">
        <x:v>2492</x:v>
      </x:c>
      <x:c r="B242" s="22" t="s">
        <x:v>81</x:v>
      </x:c>
      <x:c r="C242" s="22" t="s">
        <x:v>155</x:v>
      </x:c>
      <x:c r="D242" s="22" t="s">
        <x:v>868</x:v>
      </x:c>
      <x:c r="E242" s="22" t="s">
        <x:v>869</x:v>
      </x:c>
      <x:c r="F242" s="22" t="s">
        <x:v>257</x:v>
      </x:c>
      <x:c r="G242" s="22">
        <x:v>6</x:v>
      </x:c>
      <x:c r="H242" s="23">
        <x:v>952407520</x:v>
      </x:c>
      <x:c r="I242" s="23">
        <x:v>857236809</x:v>
      </x:c>
      <x:c r="J242" s="23">
        <x:f>H242-I242</x:f>
      </x:c>
      <x:c r="K242" s="22">
        <x:v>2</x:v>
      </x:c>
      <x:c r="L242" s="24" t="s">
        <x:v>548</x:v>
      </x:c>
      <x:c r="M242" s="24"/>
      <x:c r="N242" s="27" t="s">
        <x:v>548</x:v>
      </x:c>
      <x:c r="O242" s="27"/>
      <x:c r="P242" s="26"/>
      <x:c r="Q242" s="27">
        <x:v>1</x:v>
      </x:c>
      <x:c r="R242" s="27"/>
      <x:c r="S242" s="22">
        <x:f>IF(N242="","تکمیل نشده",IF(N242="بدون تفصیلی (ثبت روی خود معین)","OK",IF(N242="ادغام با تفصیلی دیگر",IF(O242="","کلید مقصد خالی است",IF(IFERROR(MATCH(O242*1,$A:$A,0),0)=0,"کلید مقصد در این فهرست نیست",IF(O242*1=A242,"ادغام با خودش","OK"))),IF(Q242="","سطح شناور خالی است",IF(AND(FALSE,OR(Q242=1,Q242=2)),"سطح ۱ و ۲ این معین مال فعالیت و مرکز هزینه است","OK")))))</x:f>
      </x:c>
      <x:c r="T242" s="28"/>
    </x:row>
    <x:row r="243" spans="1:20">
      <x:c r="A243" s="21">
        <x:v>3819</x:v>
      </x:c>
      <x:c r="B243" s="22" t="s">
        <x:v>81</x:v>
      </x:c>
      <x:c r="C243" s="22" t="s">
        <x:v>155</x:v>
      </x:c>
      <x:c r="D243" s="22" t="s">
        <x:v>870</x:v>
      </x:c>
      <x:c r="E243" s="22" t="s">
        <x:v>684</x:v>
      </x:c>
      <x:c r="F243" s="22" t="s">
        <x:v>257</x:v>
      </x:c>
      <x:c r="G243" s="22">
        <x:v>2</x:v>
      </x:c>
      <x:c r="H243" s="23">
        <x:v>0</x:v>
      </x:c>
      <x:c r="I243" s="23">
        <x:v>2008670033</x:v>
      </x:c>
      <x:c r="J243" s="23">
        <x:f>H243-I243</x:f>
      </x:c>
      <x:c r="K243" s="22">
        <x:v>3</x:v>
      </x:c>
      <x:c r="L243" s="24" t="s">
        <x:v>550</x:v>
      </x:c>
      <x:c r="M243" s="24">
        <x:v>3818</x:v>
      </x:c>
      <x:c r="N243" s="27" t="s">
        <x:v>550</x:v>
      </x:c>
      <x:c r="O243" s="27">
        <x:v>3818</x:v>
      </x:c>
      <x:c r="P243" s="26"/>
      <x:c r="Q243" s="27">
        <x:v>1</x:v>
      </x:c>
      <x:c r="R243" s="27"/>
      <x:c r="S243" s="22">
        <x:f>IF(N243="","تکمیل نشده",IF(N243="بدون تفصیلی (ثبت روی خود معین)","OK",IF(N243="ادغام با تفصیلی دیگر",IF(O243="","کلید مقصد خالی است",IF(IFERROR(MATCH(O243*1,$A:$A,0),0)=0,"کلید مقصد در این فهرست نیست",IF(O243*1=A243,"ادغام با خودش","OK"))),IF(Q243="","سطح شناور خالی است",IF(AND(FALSE,OR(Q243=1,Q243=2)),"سطح ۱ و ۲ این معین مال فعالیت و مرکز هزینه است","OK")))))</x:f>
      </x:c>
      <x:c r="T243" s="28"/>
    </x:row>
    <x:row r="244" spans="1:20">
      <x:c r="A244" s="21">
        <x:v>3603</x:v>
      </x:c>
      <x:c r="B244" s="22" t="s">
        <x:v>81</x:v>
      </x:c>
      <x:c r="C244" s="22" t="s">
        <x:v>155</x:v>
      </x:c>
      <x:c r="D244" s="22" t="s">
        <x:v>871</x:v>
      </x:c>
      <x:c r="E244" s="22" t="s">
        <x:v>872</x:v>
      </x:c>
      <x:c r="F244" s="22" t="s">
        <x:v>257</x:v>
      </x:c>
      <x:c r="G244" s="22">
        <x:v>2</x:v>
      </x:c>
      <x:c r="H244" s="23">
        <x:v>0</x:v>
      </x:c>
      <x:c r="I244" s="23">
        <x:v>2943173625</x:v>
      </x:c>
      <x:c r="J244" s="23">
        <x:f>H244-I244</x:f>
      </x:c>
      <x:c r="K244" s="22">
        <x:v>2</x:v>
      </x:c>
      <x:c r="L244" s="24" t="s">
        <x:v>548</x:v>
      </x:c>
      <x:c r="M244" s="24"/>
      <x:c r="N244" s="27" t="s">
        <x:v>548</x:v>
      </x:c>
      <x:c r="O244" s="27"/>
      <x:c r="P244" s="26"/>
      <x:c r="Q244" s="27">
        <x:v>1</x:v>
      </x:c>
      <x:c r="R244" s="27"/>
      <x:c r="S244" s="22">
        <x:f>IF(N244="","تکمیل نشده",IF(N244="بدون تفصیلی (ثبت روی خود معین)","OK",IF(N244="ادغام با تفصیلی دیگر",IF(O244="","کلید مقصد خالی است",IF(IFERROR(MATCH(O244*1,$A:$A,0),0)=0,"کلید مقصد در این فهرست نیست",IF(O244*1=A244,"ادغام با خودش","OK"))),IF(Q244="","سطح شناور خالی است",IF(AND(FALSE,OR(Q244=1,Q244=2)),"سطح ۱ و ۲ این معین مال فعالیت و مرکز هزینه است","OK")))))</x:f>
      </x:c>
      <x:c r="T244" s="28"/>
    </x:row>
    <x:row r="245" spans="1:20">
      <x:c r="A245" s="21">
        <x:v>2493</x:v>
      </x:c>
      <x:c r="B245" s="22" t="s">
        <x:v>81</x:v>
      </x:c>
      <x:c r="C245" s="22" t="s">
        <x:v>155</x:v>
      </x:c>
      <x:c r="D245" s="22" t="s">
        <x:v>873</x:v>
      </x:c>
      <x:c r="E245" s="22" t="s">
        <x:v>874</x:v>
      </x:c>
      <x:c r="F245" s="22" t="s">
        <x:v>257</x:v>
      </x:c>
      <x:c r="G245" s="22">
        <x:v>6</x:v>
      </x:c>
      <x:c r="H245" s="23">
        <x:v>8304394400</x:v>
      </x:c>
      <x:c r="I245" s="23">
        <x:v>3167685360</x:v>
      </x:c>
      <x:c r="J245" s="23">
        <x:f>H245-I245</x:f>
      </x:c>
      <x:c r="K245" s="22">
        <x:v>2</x:v>
      </x:c>
      <x:c r="L245" s="24" t="s">
        <x:v>548</x:v>
      </x:c>
      <x:c r="M245" s="24"/>
      <x:c r="N245" s="27" t="s">
        <x:v>548</x:v>
      </x:c>
      <x:c r="O245" s="27"/>
      <x:c r="P245" s="26"/>
      <x:c r="Q245" s="27">
        <x:v>1</x:v>
      </x:c>
      <x:c r="R245" s="27"/>
      <x:c r="S245" s="22">
        <x:f>IF(N245="","تکمیل نشده",IF(N245="بدون تفصیلی (ثبت روی خود معین)","OK",IF(N245="ادغام با تفصیلی دیگر",IF(O245="","کلید مقصد خالی است",IF(IFERROR(MATCH(O245*1,$A:$A,0),0)=0,"کلید مقصد در این فهرست نیست",IF(O245*1=A245,"ادغام با خودش","OK"))),IF(Q245="","سطح شناور خالی است",IF(AND(FALSE,OR(Q245=1,Q245=2)),"سطح ۱ و ۲ این معین مال فعالیت و مرکز هزینه است","OK")))))</x:f>
      </x:c>
      <x:c r="T245" s="28"/>
    </x:row>
    <x:row r="246" spans="1:20">
      <x:c r="A246" s="21">
        <x:v>3704</x:v>
      </x:c>
      <x:c r="B246" s="22" t="s">
        <x:v>81</x:v>
      </x:c>
      <x:c r="C246" s="22" t="s">
        <x:v>155</x:v>
      </x:c>
      <x:c r="D246" s="22" t="s">
        <x:v>875</x:v>
      </x:c>
      <x:c r="E246" s="22" t="s">
        <x:v>876</x:v>
      </x:c>
      <x:c r="F246" s="22" t="s">
        <x:v>257</x:v>
      </x:c>
      <x:c r="G246" s="22">
        <x:v>2</x:v>
      </x:c>
      <x:c r="H246" s="23">
        <x:v>0</x:v>
      </x:c>
      <x:c r="I246" s="23">
        <x:v>3160039050</x:v>
      </x:c>
      <x:c r="J246" s="23">
        <x:f>H246-I246</x:f>
      </x:c>
      <x:c r="K246" s="22">
        <x:v>2</x:v>
      </x:c>
      <x:c r="L246" s="24" t="s">
        <x:v>548</x:v>
      </x:c>
      <x:c r="M246" s="24"/>
      <x:c r="N246" s="27" t="s">
        <x:v>548</x:v>
      </x:c>
      <x:c r="O246" s="27"/>
      <x:c r="P246" s="26"/>
      <x:c r="Q246" s="27">
        <x:v>1</x:v>
      </x:c>
      <x:c r="R246" s="27"/>
      <x:c r="S246" s="22">
        <x:f>IF(N246="","تکمیل نشده",IF(N246="بدون تفصیلی (ثبت روی خود معین)","OK",IF(N246="ادغام با تفصیلی دیگر",IF(O246="","کلید مقصد خالی است",IF(IFERROR(MATCH(O246*1,$A:$A,0),0)=0,"کلید مقصد در این فهرست نیست",IF(O246*1=A246,"ادغام با خودش","OK"))),IF(Q246="","سطح شناور خالی است",IF(AND(FALSE,OR(Q246=1,Q246=2)),"سطح ۱ و ۲ این معین مال فعالیت و مرکز هزینه است","OK")))))</x:f>
      </x:c>
      <x:c r="T246" s="28"/>
    </x:row>
    <x:row r="247" spans="1:20">
      <x:c r="A247" s="21">
        <x:v>2494</x:v>
      </x:c>
      <x:c r="B247" s="22" t="s">
        <x:v>81</x:v>
      </x:c>
      <x:c r="C247" s="22" t="s">
        <x:v>155</x:v>
      </x:c>
      <x:c r="D247" s="22" t="s">
        <x:v>877</x:v>
      </x:c>
      <x:c r="E247" s="22" t="s">
        <x:v>743</x:v>
      </x:c>
      <x:c r="F247" s="22" t="s">
        <x:v>257</x:v>
      </x:c>
      <x:c r="G247" s="22">
        <x:v>6</x:v>
      </x:c>
      <x:c r="H247" s="23">
        <x:v>13428709790</x:v>
      </x:c>
      <x:c r="I247" s="23">
        <x:v>2685741958</x:v>
      </x:c>
      <x:c r="J247" s="23">
        <x:f>H247-I247</x:f>
      </x:c>
      <x:c r="K247" s="22">
        <x:v>4</x:v>
      </x:c>
      <x:c r="L247" s="24" t="s">
        <x:v>550</x:v>
      </x:c>
      <x:c r="M247" s="24">
        <x:v>576</x:v>
      </x:c>
      <x:c r="N247" s="27" t="s">
        <x:v>550</x:v>
      </x:c>
      <x:c r="O247" s="27">
        <x:v>576</x:v>
      </x:c>
      <x:c r="P247" s="26"/>
      <x:c r="Q247" s="27">
        <x:v>1</x:v>
      </x:c>
      <x:c r="R247" s="27"/>
      <x:c r="S247" s="22">
        <x:f>IF(N247="","تکمیل نشده",IF(N247="بدون تفصیلی (ثبت روی خود معین)","OK",IF(N247="ادغام با تفصیلی دیگر",IF(O247="","کلید مقصد خالی است",IF(IFERROR(MATCH(O247*1,$A:$A,0),0)=0,"کلید مقصد در این فهرست نیست",IF(O247*1=A247,"ادغام با خودش","OK"))),IF(Q247="","سطح شناور خالی است",IF(AND(FALSE,OR(Q247=1,Q247=2)),"سطح ۱ و ۲ این معین مال فعالیت و مرکز هزینه است","OK")))))</x:f>
      </x:c>
      <x:c r="T247" s="28"/>
    </x:row>
    <x:row r="248" spans="1:20">
      <x:c r="A248" s="21">
        <x:v>2495</x:v>
      </x:c>
      <x:c r="B248" s="22" t="s">
        <x:v>81</x:v>
      </x:c>
      <x:c r="C248" s="22" t="s">
        <x:v>155</x:v>
      </x:c>
      <x:c r="D248" s="22" t="s">
        <x:v>878</x:v>
      </x:c>
      <x:c r="E248" s="22" t="s">
        <x:v>879</x:v>
      </x:c>
      <x:c r="F248" s="22" t="s">
        <x:v>257</x:v>
      </x:c>
      <x:c r="G248" s="22">
        <x:v>6</x:v>
      </x:c>
      <x:c r="H248" s="23">
        <x:v>11991113472</x:v>
      </x:c>
      <x:c r="I248" s="23">
        <x:v>3653394571</x:v>
      </x:c>
      <x:c r="J248" s="23">
        <x:f>H248-I248</x:f>
      </x:c>
      <x:c r="K248" s="22">
        <x:v>2</x:v>
      </x:c>
      <x:c r="L248" s="24" t="s">
        <x:v>548</x:v>
      </x:c>
      <x:c r="M248" s="24"/>
      <x:c r="N248" s="27" t="s">
        <x:v>548</x:v>
      </x:c>
      <x:c r="O248" s="27"/>
      <x:c r="P248" s="26"/>
      <x:c r="Q248" s="27">
        <x:v>1</x:v>
      </x:c>
      <x:c r="R248" s="27"/>
      <x:c r="S248" s="22">
        <x:f>IF(N248="","تکمیل نشده",IF(N248="بدون تفصیلی (ثبت روی خود معین)","OK",IF(N248="ادغام با تفصیلی دیگر",IF(O248="","کلید مقصد خالی است",IF(IFERROR(MATCH(O248*1,$A:$A,0),0)=0,"کلید مقصد در این فهرست نیست",IF(O248*1=A248,"ادغام با خودش","OK"))),IF(Q248="","سطح شناور خالی است",IF(AND(FALSE,OR(Q248=1,Q248=2)),"سطح ۱ و ۲ این معین مال فعالیت و مرکز هزینه است","OK")))))</x:f>
      </x:c>
      <x:c r="T248" s="28"/>
    </x:row>
    <x:row r="249" spans="1:20">
      <x:c r="A249" s="21">
        <x:v>2496</x:v>
      </x:c>
      <x:c r="B249" s="22" t="s">
        <x:v>81</x:v>
      </x:c>
      <x:c r="C249" s="22" t="s">
        <x:v>155</x:v>
      </x:c>
      <x:c r="D249" s="22" t="s">
        <x:v>880</x:v>
      </x:c>
      <x:c r="E249" s="22" t="s">
        <x:v>881</x:v>
      </x:c>
      <x:c r="F249" s="22" t="s">
        <x:v>257</x:v>
      </x:c>
      <x:c r="G249" s="22">
        <x:v>6</x:v>
      </x:c>
      <x:c r="H249" s="23">
        <x:v>9485079048</x:v>
      </x:c>
      <x:c r="I249" s="23">
        <x:v>2773946116</x:v>
      </x:c>
      <x:c r="J249" s="23">
        <x:f>H249-I249</x:f>
      </x:c>
      <x:c r="K249" s="22">
        <x:v>2</x:v>
      </x:c>
      <x:c r="L249" s="24" t="s">
        <x:v>548</x:v>
      </x:c>
      <x:c r="M249" s="24"/>
      <x:c r="N249" s="27" t="s">
        <x:v>548</x:v>
      </x:c>
      <x:c r="O249" s="27"/>
      <x:c r="P249" s="26"/>
      <x:c r="Q249" s="27">
        <x:v>1</x:v>
      </x:c>
      <x:c r="R249" s="27"/>
      <x:c r="S249" s="22">
        <x:f>IF(N249="","تکمیل نشده",IF(N249="بدون تفصیلی (ثبت روی خود معین)","OK",IF(N249="ادغام با تفصیلی دیگر",IF(O249="","کلید مقصد خالی است",IF(IFERROR(MATCH(O249*1,$A:$A,0),0)=0,"کلید مقصد در این فهرست نیست",IF(O249*1=A249,"ادغام با خودش","OK"))),IF(Q249="","سطح شناور خالی است",IF(AND(FALSE,OR(Q249=1,Q249=2)),"سطح ۱ و ۲ این معین مال فعالیت و مرکز هزینه است","OK")))))</x:f>
      </x:c>
      <x:c r="T249" s="28"/>
    </x:row>
    <x:row r="250" spans="1:20">
      <x:c r="A250" s="21">
        <x:v>2497</x:v>
      </x:c>
      <x:c r="B250" s="22" t="s">
        <x:v>81</x:v>
      </x:c>
      <x:c r="C250" s="22" t="s">
        <x:v>155</x:v>
      </x:c>
      <x:c r="D250" s="22" t="s">
        <x:v>882</x:v>
      </x:c>
      <x:c r="E250" s="22" t="s">
        <x:v>883</x:v>
      </x:c>
      <x:c r="F250" s="22" t="s">
        <x:v>257</x:v>
      </x:c>
      <x:c r="G250" s="22">
        <x:v>6</x:v>
      </x:c>
      <x:c r="H250" s="23">
        <x:v>5527502120</x:v>
      </x:c>
      <x:c r="I250" s="23">
        <x:v>1669082236</x:v>
      </x:c>
      <x:c r="J250" s="23">
        <x:f>H250-I250</x:f>
      </x:c>
      <x:c r="K250" s="22">
        <x:v>3</x:v>
      </x:c>
      <x:c r="L250" s="24" t="s">
        <x:v>550</x:v>
      </x:c>
      <x:c r="M250" s="24">
        <x:v>562</x:v>
      </x:c>
      <x:c r="N250" s="27" t="s">
        <x:v>550</x:v>
      </x:c>
      <x:c r="O250" s="27">
        <x:v>562</x:v>
      </x:c>
      <x:c r="P250" s="26"/>
      <x:c r="Q250" s="27">
        <x:v>1</x:v>
      </x:c>
      <x:c r="R250" s="27"/>
      <x:c r="S250" s="22">
        <x:f>IF(N250="","تکمیل نشده",IF(N250="بدون تفصیلی (ثبت روی خود معین)","OK",IF(N250="ادغام با تفصیلی دیگر",IF(O250="","کلید مقصد خالی است",IF(IFERROR(MATCH(O250*1,$A:$A,0),0)=0,"کلید مقصد در این فهرست نیست",IF(O250*1=A250,"ادغام با خودش","OK"))),IF(Q250="","سطح شناور خالی است",IF(AND(FALSE,OR(Q250=1,Q250=2)),"سطح ۱ و ۲ این معین مال فعالیت و مرکز هزینه است","OK")))))</x:f>
      </x:c>
      <x:c r="T250" s="28"/>
    </x:row>
    <x:row r="251" spans="1:20">
      <x:c r="A251" s="21">
        <x:v>2498</x:v>
      </x:c>
      <x:c r="B251" s="22" t="s">
        <x:v>81</x:v>
      </x:c>
      <x:c r="C251" s="22" t="s">
        <x:v>155</x:v>
      </x:c>
      <x:c r="D251" s="22" t="s">
        <x:v>884</x:v>
      </x:c>
      <x:c r="E251" s="22" t="s">
        <x:v>655</x:v>
      </x:c>
      <x:c r="F251" s="22" t="s">
        <x:v>257</x:v>
      </x:c>
      <x:c r="G251" s="22">
        <x:v>6</x:v>
      </x:c>
      <x:c r="H251" s="23">
        <x:v>10163471640</x:v>
      </x:c>
      <x:c r="I251" s="23">
        <x:v>3717693000</x:v>
      </x:c>
      <x:c r="J251" s="23">
        <x:f>H251-I251</x:f>
      </x:c>
      <x:c r="K251" s="22">
        <x:v>5</x:v>
      </x:c>
      <x:c r="L251" s="24" t="s">
        <x:v>550</x:v>
      </x:c>
      <x:c r="M251" s="24">
        <x:v>563</x:v>
      </x:c>
      <x:c r="N251" s="27" t="s">
        <x:v>550</x:v>
      </x:c>
      <x:c r="O251" s="27">
        <x:v>563</x:v>
      </x:c>
      <x:c r="P251" s="26"/>
      <x:c r="Q251" s="27">
        <x:v>1</x:v>
      </x:c>
      <x:c r="R251" s="27"/>
      <x:c r="S251" s="22">
        <x:f>IF(N251="","تکمیل نشده",IF(N251="بدون تفصیلی (ثبت روی خود معین)","OK",IF(N251="ادغام با تفصیلی دیگر",IF(O251="","کلید مقصد خالی است",IF(IFERROR(MATCH(O251*1,$A:$A,0),0)=0,"کلید مقصد در این فهرست نیست",IF(O251*1=A251,"ادغام با خودش","OK"))),IF(Q251="","سطح شناور خالی است",IF(AND(FALSE,OR(Q251=1,Q251=2)),"سطح ۱ و ۲ این معین مال فعالیت و مرکز هزینه است","OK")))))</x:f>
      </x:c>
      <x:c r="T251" s="28"/>
    </x:row>
    <x:row r="252" spans="1:20">
      <x:c r="A252" s="21">
        <x:v>2499</x:v>
      </x:c>
      <x:c r="B252" s="22" t="s">
        <x:v>81</x:v>
      </x:c>
      <x:c r="C252" s="22" t="s">
        <x:v>155</x:v>
      </x:c>
      <x:c r="D252" s="22" t="s">
        <x:v>885</x:v>
      </x:c>
      <x:c r="E252" s="22" t="s">
        <x:v>886</x:v>
      </x:c>
      <x:c r="F252" s="22" t="s">
        <x:v>257</x:v>
      </x:c>
      <x:c r="G252" s="22">
        <x:v>6</x:v>
      </x:c>
      <x:c r="H252" s="23">
        <x:v>6310503375</x:v>
      </x:c>
      <x:c r="I252" s="23">
        <x:v>1262100675</x:v>
      </x:c>
      <x:c r="J252" s="23">
        <x:f>H252-I252</x:f>
      </x:c>
      <x:c r="K252" s="22">
        <x:v>2</x:v>
      </x:c>
      <x:c r="L252" s="24" t="s">
        <x:v>548</x:v>
      </x:c>
      <x:c r="M252" s="24"/>
      <x:c r="N252" s="27" t="s">
        <x:v>548</x:v>
      </x:c>
      <x:c r="O252" s="27"/>
      <x:c r="P252" s="26"/>
      <x:c r="Q252" s="27">
        <x:v>1</x:v>
      </x:c>
      <x:c r="R252" s="27"/>
      <x:c r="S252" s="22">
        <x:f>IF(N252="","تکمیل نشده",IF(N252="بدون تفصیلی (ثبت روی خود معین)","OK",IF(N252="ادغام با تفصیلی دیگر",IF(O252="","کلید مقصد خالی است",IF(IFERROR(MATCH(O252*1,$A:$A,0),0)=0,"کلید مقصد در این فهرست نیست",IF(O252*1=A252,"ادغام با خودش","OK"))),IF(Q252="","سطح شناور خالی است",IF(AND(FALSE,OR(Q252=1,Q252=2)),"سطح ۱ و ۲ این معین مال فعالیت و مرکز هزینه است","OK")))))</x:f>
      </x:c>
      <x:c r="T252" s="28"/>
    </x:row>
    <x:row r="253" spans="1:20">
      <x:c r="A253" s="21">
        <x:v>3665</x:v>
      </x:c>
      <x:c r="B253" s="22" t="s">
        <x:v>81</x:v>
      </x:c>
      <x:c r="C253" s="22" t="s">
        <x:v>155</x:v>
      </x:c>
      <x:c r="D253" s="22" t="s">
        <x:v>887</x:v>
      </x:c>
      <x:c r="E253" s="22" t="s">
        <x:v>888</x:v>
      </x:c>
      <x:c r="F253" s="22" t="s">
        <x:v>257</x:v>
      </x:c>
      <x:c r="G253" s="22">
        <x:v>2</x:v>
      </x:c>
      <x:c r="H253" s="23">
        <x:v>0</x:v>
      </x:c>
      <x:c r="I253" s="23">
        <x:v>2425196342</x:v>
      </x:c>
      <x:c r="J253" s="23">
        <x:f>H253-I253</x:f>
      </x:c>
      <x:c r="K253" s="22">
        <x:v>2</x:v>
      </x:c>
      <x:c r="L253" s="24" t="s">
        <x:v>548</x:v>
      </x:c>
      <x:c r="M253" s="24"/>
      <x:c r="N253" s="27" t="s">
        <x:v>548</x:v>
      </x:c>
      <x:c r="O253" s="27"/>
      <x:c r="P253" s="26"/>
      <x:c r="Q253" s="27">
        <x:v>1</x:v>
      </x:c>
      <x:c r="R253" s="27"/>
      <x:c r="S253" s="22">
        <x:f>IF(N253="","تکمیل نشده",IF(N253="بدون تفصیلی (ثبت روی خود معین)","OK",IF(N253="ادغام با تفصیلی دیگر",IF(O253="","کلید مقصد خالی است",IF(IFERROR(MATCH(O253*1,$A:$A,0),0)=0,"کلید مقصد در این فهرست نیست",IF(O253*1=A253,"ادغام با خودش","OK"))),IF(Q253="","سطح شناور خالی است",IF(AND(FALSE,OR(Q253=1,Q253=2)),"سطح ۱ و ۲ این معین مال فعالیت و مرکز هزینه است","OK")))))</x:f>
      </x:c>
      <x:c r="T253" s="28"/>
    </x:row>
    <x:row r="254" spans="1:20">
      <x:c r="A254" s="21">
        <x:v>2500</x:v>
      </x:c>
      <x:c r="B254" s="22" t="s">
        <x:v>81</x:v>
      </x:c>
      <x:c r="C254" s="22" t="s">
        <x:v>155</x:v>
      </x:c>
      <x:c r="D254" s="22" t="s">
        <x:v>889</x:v>
      </x:c>
      <x:c r="E254" s="22" t="s">
        <x:v>890</x:v>
      </x:c>
      <x:c r="F254" s="22" t="s">
        <x:v>257</x:v>
      </x:c>
      <x:c r="G254" s="22">
        <x:v>6</x:v>
      </x:c>
      <x:c r="H254" s="23">
        <x:v>4571391959</x:v>
      </x:c>
      <x:c r="I254" s="23">
        <x:v>1089229847</x:v>
      </x:c>
      <x:c r="J254" s="23">
        <x:f>H254-I254</x:f>
      </x:c>
      <x:c r="K254" s="22">
        <x:v>3</x:v>
      </x:c>
      <x:c r="L254" s="24" t="s">
        <x:v>550</x:v>
      </x:c>
      <x:c r="M254" s="24">
        <x:v>1534</x:v>
      </x:c>
      <x:c r="N254" s="27" t="s">
        <x:v>550</x:v>
      </x:c>
      <x:c r="O254" s="27">
        <x:v>1534</x:v>
      </x:c>
      <x:c r="P254" s="26"/>
      <x:c r="Q254" s="27">
        <x:v>1</x:v>
      </x:c>
      <x:c r="R254" s="27"/>
      <x:c r="S254" s="22">
        <x:f>IF(N254="","تکمیل نشده",IF(N254="بدون تفصیلی (ثبت روی خود معین)","OK",IF(N254="ادغام با تفصیلی دیگر",IF(O254="","کلید مقصد خالی است",IF(IFERROR(MATCH(O254*1,$A:$A,0),0)=0,"کلید مقصد در این فهرست نیست",IF(O254*1=A254,"ادغام با خودش","OK"))),IF(Q254="","سطح شناور خالی است",IF(AND(FALSE,OR(Q254=1,Q254=2)),"سطح ۱ و ۲ این معین مال فعالیت و مرکز هزینه است","OK")))))</x:f>
      </x:c>
      <x:c r="T254" s="28"/>
    </x:row>
    <x:row r="255" spans="1:20">
      <x:c r="A255" s="21">
        <x:v>3661</x:v>
      </x:c>
      <x:c r="B255" s="22" t="s">
        <x:v>81</x:v>
      </x:c>
      <x:c r="C255" s="22" t="s">
        <x:v>155</x:v>
      </x:c>
      <x:c r="D255" s="22" t="s">
        <x:v>891</x:v>
      </x:c>
      <x:c r="E255" s="22" t="s">
        <x:v>665</x:v>
      </x:c>
      <x:c r="F255" s="22" t="s">
        <x:v>257</x:v>
      </x:c>
      <x:c r="G255" s="22">
        <x:v>2</x:v>
      </x:c>
      <x:c r="H255" s="23">
        <x:v>0</x:v>
      </x:c>
      <x:c r="I255" s="23">
        <x:v>1691167652</x:v>
      </x:c>
      <x:c r="J255" s="23">
        <x:f>H255-I255</x:f>
      </x:c>
      <x:c r="K255" s="22">
        <x:v>3</x:v>
      </x:c>
      <x:c r="L255" s="24" t="s">
        <x:v>550</x:v>
      </x:c>
      <x:c r="M255" s="24">
        <x:v>588</x:v>
      </x:c>
      <x:c r="N255" s="27" t="s">
        <x:v>550</x:v>
      </x:c>
      <x:c r="O255" s="27">
        <x:v>588</x:v>
      </x:c>
      <x:c r="P255" s="26"/>
      <x:c r="Q255" s="27">
        <x:v>1</x:v>
      </x:c>
      <x:c r="R255" s="27"/>
      <x:c r="S255" s="22">
        <x:f>IF(N255="","تکمیل نشده",IF(N255="بدون تفصیلی (ثبت روی خود معین)","OK",IF(N255="ادغام با تفصیلی دیگر",IF(O255="","کلید مقصد خالی است",IF(IFERROR(MATCH(O255*1,$A:$A,0),0)=0,"کلید مقصد در این فهرست نیست",IF(O255*1=A255,"ادغام با خودش","OK"))),IF(Q255="","سطح شناور خالی است",IF(AND(FALSE,OR(Q255=1,Q255=2)),"سطح ۱ و ۲ این معین مال فعالیت و مرکز هزینه است","OK")))))</x:f>
      </x:c>
      <x:c r="T255" s="28"/>
    </x:row>
    <x:row r="256" spans="1:20">
      <x:c r="A256" s="21">
        <x:v>2501</x:v>
      </x:c>
      <x:c r="B256" s="22" t="s">
        <x:v>81</x:v>
      </x:c>
      <x:c r="C256" s="22" t="s">
        <x:v>155</x:v>
      </x:c>
      <x:c r="D256" s="22" t="s">
        <x:v>892</x:v>
      </x:c>
      <x:c r="E256" s="22" t="s">
        <x:v>893</x:v>
      </x:c>
      <x:c r="F256" s="22" t="s">
        <x:v>257</x:v>
      </x:c>
      <x:c r="G256" s="22">
        <x:v>6</x:v>
      </x:c>
      <x:c r="H256" s="23">
        <x:v>6151574940</x:v>
      </x:c>
      <x:c r="I256" s="23">
        <x:v>2323558125</x:v>
      </x:c>
      <x:c r="J256" s="23">
        <x:f>H256-I256</x:f>
      </x:c>
      <x:c r="K256" s="22">
        <x:v>2</x:v>
      </x:c>
      <x:c r="L256" s="24" t="s">
        <x:v>548</x:v>
      </x:c>
      <x:c r="M256" s="24"/>
      <x:c r="N256" s="27" t="s">
        <x:v>548</x:v>
      </x:c>
      <x:c r="O256" s="27"/>
      <x:c r="P256" s="26"/>
      <x:c r="Q256" s="27">
        <x:v>1</x:v>
      </x:c>
      <x:c r="R256" s="27"/>
      <x:c r="S256" s="22">
        <x:f>IF(N256="","تکمیل نشده",IF(N256="بدون تفصیلی (ثبت روی خود معین)","OK",IF(N256="ادغام با تفصیلی دیگر",IF(O256="","کلید مقصد خالی است",IF(IFERROR(MATCH(O256*1,$A:$A,0),0)=0,"کلید مقصد در این فهرست نیست",IF(O256*1=A256,"ادغام با خودش","OK"))),IF(Q256="","سطح شناور خالی است",IF(AND(FALSE,OR(Q256=1,Q256=2)),"سطح ۱ و ۲ این معین مال فعالیت و مرکز هزینه است","OK")))))</x:f>
      </x:c>
      <x:c r="T256" s="28"/>
    </x:row>
    <x:row r="257" spans="1:20">
      <x:c r="A257" s="21">
        <x:v>2502</x:v>
      </x:c>
      <x:c r="B257" s="22" t="s">
        <x:v>81</x:v>
      </x:c>
      <x:c r="C257" s="22" t="s">
        <x:v>155</x:v>
      </x:c>
      <x:c r="D257" s="22" t="s">
        <x:v>894</x:v>
      </x:c>
      <x:c r="E257" s="22" t="s">
        <x:v>895</x:v>
      </x:c>
      <x:c r="F257" s="22" t="s">
        <x:v>257</x:v>
      </x:c>
      <x:c r="G257" s="22">
        <x:v>6</x:v>
      </x:c>
      <x:c r="H257" s="23">
        <x:v>8113835498</x:v>
      </x:c>
      <x:c r="I257" s="23">
        <x:v>1831119488</x:v>
      </x:c>
      <x:c r="J257" s="23">
        <x:f>H257-I257</x:f>
      </x:c>
      <x:c r="K257" s="22">
        <x:v>2</x:v>
      </x:c>
      <x:c r="L257" s="24" t="s">
        <x:v>548</x:v>
      </x:c>
      <x:c r="M257" s="24"/>
      <x:c r="N257" s="27" t="s">
        <x:v>548</x:v>
      </x:c>
      <x:c r="O257" s="27"/>
      <x:c r="P257" s="26"/>
      <x:c r="Q257" s="27">
        <x:v>1</x:v>
      </x:c>
      <x:c r="R257" s="27"/>
      <x:c r="S257" s="22">
        <x:f>IF(N257="","تکمیل نشده",IF(N257="بدون تفصیلی (ثبت روی خود معین)","OK",IF(N257="ادغام با تفصیلی دیگر",IF(O257="","کلید مقصد خالی است",IF(IFERROR(MATCH(O257*1,$A:$A,0),0)=0,"کلید مقصد در این فهرست نیست",IF(O257*1=A257,"ادغام با خودش","OK"))),IF(Q257="","سطح شناور خالی است",IF(AND(FALSE,OR(Q257=1,Q257=2)),"سطح ۱ و ۲ این معین مال فعالیت و مرکز هزینه است","OK")))))</x:f>
      </x:c>
      <x:c r="T257" s="28"/>
    </x:row>
    <x:row r="258" spans="1:20">
      <x:c r="A258" s="21">
        <x:v>2503</x:v>
      </x:c>
      <x:c r="B258" s="22" t="s">
        <x:v>81</x:v>
      </x:c>
      <x:c r="C258" s="22" t="s">
        <x:v>155</x:v>
      </x:c>
      <x:c r="D258" s="22" t="s">
        <x:v>896</x:v>
      </x:c>
      <x:c r="E258" s="22" t="s">
        <x:v>897</x:v>
      </x:c>
      <x:c r="F258" s="22" t="s">
        <x:v>257</x:v>
      </x:c>
      <x:c r="G258" s="22">
        <x:v>6</x:v>
      </x:c>
      <x:c r="H258" s="23">
        <x:v>2297682240</x:v>
      </x:c>
      <x:c r="I258" s="23">
        <x:v>459536448</x:v>
      </x:c>
      <x:c r="J258" s="23">
        <x:f>H258-I258</x:f>
      </x:c>
      <x:c r="K258" s="22">
        <x:v>2</x:v>
      </x:c>
      <x:c r="L258" s="24" t="s">
        <x:v>548</x:v>
      </x:c>
      <x:c r="M258" s="24"/>
      <x:c r="N258" s="27" t="s">
        <x:v>548</x:v>
      </x:c>
      <x:c r="O258" s="27"/>
      <x:c r="P258" s="26"/>
      <x:c r="Q258" s="27">
        <x:v>1</x:v>
      </x:c>
      <x:c r="R258" s="27"/>
      <x:c r="S258" s="22">
        <x:f>IF(N258="","تکمیل نشده",IF(N258="بدون تفصیلی (ثبت روی خود معین)","OK",IF(N258="ادغام با تفصیلی دیگر",IF(O258="","کلید مقصد خالی است",IF(IFERROR(MATCH(O258*1,$A:$A,0),0)=0,"کلید مقصد در این فهرست نیست",IF(O258*1=A258,"ادغام با خودش","OK"))),IF(Q258="","سطح شناور خالی است",IF(AND(FALSE,OR(Q258=1,Q258=2)),"سطح ۱ و ۲ این معین مال فعالیت و مرکز هزینه است","OK")))))</x:f>
      </x:c>
      <x:c r="T258" s="28"/>
    </x:row>
    <x:row r="259" spans="1:20">
      <x:c r="A259" s="21">
        <x:v>2504</x:v>
      </x:c>
      <x:c r="B259" s="22" t="s">
        <x:v>81</x:v>
      </x:c>
      <x:c r="C259" s="22" t="s">
        <x:v>155</x:v>
      </x:c>
      <x:c r="D259" s="22" t="s">
        <x:v>898</x:v>
      </x:c>
      <x:c r="E259" s="22" t="s">
        <x:v>899</x:v>
      </x:c>
      <x:c r="F259" s="22" t="s">
        <x:v>257</x:v>
      </x:c>
      <x:c r="G259" s="22">
        <x:v>6</x:v>
      </x:c>
      <x:c r="H259" s="23">
        <x:v>3048283980</x:v>
      </x:c>
      <x:c r="I259" s="23">
        <x:v>994222437</x:v>
      </x:c>
      <x:c r="J259" s="23">
        <x:f>H259-I259</x:f>
      </x:c>
      <x:c r="K259" s="22">
        <x:v>2</x:v>
      </x:c>
      <x:c r="L259" s="24" t="s">
        <x:v>548</x:v>
      </x:c>
      <x:c r="M259" s="24"/>
      <x:c r="N259" s="27" t="s">
        <x:v>548</x:v>
      </x:c>
      <x:c r="O259" s="27"/>
      <x:c r="P259" s="26"/>
      <x:c r="Q259" s="27">
        <x:v>1</x:v>
      </x:c>
      <x:c r="R259" s="27"/>
      <x:c r="S259" s="22">
        <x:f>IF(N259="","تکمیل نشده",IF(N259="بدون تفصیلی (ثبت روی خود معین)","OK",IF(N259="ادغام با تفصیلی دیگر",IF(O259="","کلید مقصد خالی است",IF(IFERROR(MATCH(O259*1,$A:$A,0),0)=0,"کلید مقصد در این فهرست نیست",IF(O259*1=A259,"ادغام با خودش","OK"))),IF(Q259="","سطح شناور خالی است",IF(AND(FALSE,OR(Q259=1,Q259=2)),"سطح ۱ و ۲ این معین مال فعالیت و مرکز هزینه است","OK")))))</x:f>
      </x:c>
      <x:c r="T259" s="28"/>
    </x:row>
    <x:row r="260" spans="1:20">
      <x:c r="A260" s="21">
        <x:v>2505</x:v>
      </x:c>
      <x:c r="B260" s="22" t="s">
        <x:v>81</x:v>
      </x:c>
      <x:c r="C260" s="22" t="s">
        <x:v>155</x:v>
      </x:c>
      <x:c r="D260" s="22" t="s">
        <x:v>900</x:v>
      </x:c>
      <x:c r="E260" s="22" t="s">
        <x:v>901</x:v>
      </x:c>
      <x:c r="F260" s="22" t="s">
        <x:v>257</x:v>
      </x:c>
      <x:c r="G260" s="22">
        <x:v>6</x:v>
      </x:c>
      <x:c r="H260" s="23">
        <x:v>5527502120</x:v>
      </x:c>
      <x:c r="I260" s="23">
        <x:v>1723856905</x:v>
      </x:c>
      <x:c r="J260" s="23">
        <x:f>H260-I260</x:f>
      </x:c>
      <x:c r="K260" s="22">
        <x:v>2</x:v>
      </x:c>
      <x:c r="L260" s="24" t="s">
        <x:v>548</x:v>
      </x:c>
      <x:c r="M260" s="24"/>
      <x:c r="N260" s="27" t="s">
        <x:v>548</x:v>
      </x:c>
      <x:c r="O260" s="27"/>
      <x:c r="P260" s="26"/>
      <x:c r="Q260" s="27">
        <x:v>1</x:v>
      </x:c>
      <x:c r="R260" s="27"/>
      <x:c r="S260" s="22">
        <x:f>IF(N260="","تکمیل نشده",IF(N260="بدون تفصیلی (ثبت روی خود معین)","OK",IF(N260="ادغام با تفصیلی دیگر",IF(O260="","کلید مقصد خالی است",IF(IFERROR(MATCH(O260*1,$A:$A,0),0)=0,"کلید مقصد در این فهرست نیست",IF(O260*1=A260,"ادغام با خودش","OK"))),IF(Q260="","سطح شناور خالی است",IF(AND(FALSE,OR(Q260=1,Q260=2)),"سطح ۱ و ۲ این معین مال فعالیت و مرکز هزینه است","OK")))))</x:f>
      </x:c>
      <x:c r="T260" s="28"/>
    </x:row>
    <x:row r="261" spans="1:20">
      <x:c r="A261" s="21">
        <x:v>2506</x:v>
      </x:c>
      <x:c r="B261" s="22" t="s">
        <x:v>81</x:v>
      </x:c>
      <x:c r="C261" s="22" t="s">
        <x:v>155</x:v>
      </x:c>
      <x:c r="D261" s="22" t="s">
        <x:v>902</x:v>
      </x:c>
      <x:c r="E261" s="22" t="s">
        <x:v>903</x:v>
      </x:c>
      <x:c r="F261" s="22" t="s">
        <x:v>257</x:v>
      </x:c>
      <x:c r="G261" s="22">
        <x:v>6</x:v>
      </x:c>
      <x:c r="H261" s="23">
        <x:v>8647866220</x:v>
      </x:c>
      <x:c r="I261" s="23">
        <x:v>3191019825</x:v>
      </x:c>
      <x:c r="J261" s="23">
        <x:f>H261-I261</x:f>
      </x:c>
      <x:c r="K261" s="22">
        <x:v>2</x:v>
      </x:c>
      <x:c r="L261" s="24" t="s">
        <x:v>548</x:v>
      </x:c>
      <x:c r="M261" s="24"/>
      <x:c r="N261" s="27" t="s">
        <x:v>548</x:v>
      </x:c>
      <x:c r="O261" s="27"/>
      <x:c r="P261" s="26"/>
      <x:c r="Q261" s="27">
        <x:v>1</x:v>
      </x:c>
      <x:c r="R261" s="27"/>
      <x:c r="S261" s="22">
        <x:f>IF(N261="","تکمیل نشده",IF(N261="بدون تفصیلی (ثبت روی خود معین)","OK",IF(N261="ادغام با تفصیلی دیگر",IF(O261="","کلید مقصد خالی است",IF(IFERROR(MATCH(O261*1,$A:$A,0),0)=0,"کلید مقصد در این فهرست نیست",IF(O261*1=A261,"ادغام با خودش","OK"))),IF(Q261="","سطح شناور خالی است",IF(AND(FALSE,OR(Q261=1,Q261=2)),"سطح ۱ و ۲ این معین مال فعالیت و مرکز هزینه است","OK")))))</x:f>
      </x:c>
      <x:c r="T261" s="28"/>
    </x:row>
    <x:row r="262" spans="1:20">
      <x:c r="A262" s="21">
        <x:v>2507</x:v>
      </x:c>
      <x:c r="B262" s="22" t="s">
        <x:v>81</x:v>
      </x:c>
      <x:c r="C262" s="22" t="s">
        <x:v>155</x:v>
      </x:c>
      <x:c r="D262" s="22" t="s">
        <x:v>904</x:v>
      </x:c>
      <x:c r="E262" s="22" t="s">
        <x:v>905</x:v>
      </x:c>
      <x:c r="F262" s="22" t="s">
        <x:v>257</x:v>
      </x:c>
      <x:c r="G262" s="22">
        <x:v>6</x:v>
      </x:c>
      <x:c r="H262" s="23">
        <x:v>8781596112</x:v>
      </x:c>
      <x:c r="I262" s="23">
        <x:v>3237490988</x:v>
      </x:c>
      <x:c r="J262" s="23">
        <x:f>H262-I262</x:f>
      </x:c>
      <x:c r="K262" s="22">
        <x:v>2</x:v>
      </x:c>
      <x:c r="L262" s="24" t="s">
        <x:v>548</x:v>
      </x:c>
      <x:c r="M262" s="24"/>
      <x:c r="N262" s="27" t="s">
        <x:v>548</x:v>
      </x:c>
      <x:c r="O262" s="27"/>
      <x:c r="P262" s="26"/>
      <x:c r="Q262" s="27">
        <x:v>1</x:v>
      </x:c>
      <x:c r="R262" s="27"/>
      <x:c r="S262" s="22">
        <x:f>IF(N262="","تکمیل نشده",IF(N262="بدون تفصیلی (ثبت روی خود معین)","OK",IF(N262="ادغام با تفصیلی دیگر",IF(O262="","کلید مقصد خالی است",IF(IFERROR(MATCH(O262*1,$A:$A,0),0)=0,"کلید مقصد در این فهرست نیست",IF(O262*1=A262,"ادغام با خودش","OK"))),IF(Q262="","سطح شناور خالی است",IF(AND(FALSE,OR(Q262=1,Q262=2)),"سطح ۱ و ۲ این معین مال فعالیت و مرکز هزینه است","OK")))))</x:f>
      </x:c>
      <x:c r="T262" s="28"/>
    </x:row>
    <x:row r="263" spans="1:20">
      <x:c r="A263" s="21">
        <x:v>2508</x:v>
      </x:c>
      <x:c r="B263" s="22" t="s">
        <x:v>81</x:v>
      </x:c>
      <x:c r="C263" s="22" t="s">
        <x:v>155</x:v>
      </x:c>
      <x:c r="D263" s="22" t="s">
        <x:v>906</x:v>
      </x:c>
      <x:c r="E263" s="22" t="s">
        <x:v>669</x:v>
      </x:c>
      <x:c r="F263" s="22" t="s">
        <x:v>257</x:v>
      </x:c>
      <x:c r="G263" s="22">
        <x:v>6</x:v>
      </x:c>
      <x:c r="H263" s="23">
        <x:v>13863331932</x:v>
      </x:c>
      <x:c r="I263" s="23">
        <x:v>4532229141</x:v>
      </x:c>
      <x:c r="J263" s="23">
        <x:f>H263-I263</x:f>
      </x:c>
      <x:c r="K263" s="22">
        <x:v>3</x:v>
      </x:c>
      <x:c r="L263" s="24" t="s">
        <x:v>550</x:v>
      </x:c>
      <x:c r="M263" s="24">
        <x:v>3842</x:v>
      </x:c>
      <x:c r="N263" s="27" t="s">
        <x:v>550</x:v>
      </x:c>
      <x:c r="O263" s="27">
        <x:v>3842</x:v>
      </x:c>
      <x:c r="P263" s="26"/>
      <x:c r="Q263" s="27">
        <x:v>1</x:v>
      </x:c>
      <x:c r="R263" s="27"/>
      <x:c r="S263" s="22">
        <x:f>IF(N263="","تکمیل نشده",IF(N263="بدون تفصیلی (ثبت روی خود معین)","OK",IF(N263="ادغام با تفصیلی دیگر",IF(O263="","کلید مقصد خالی است",IF(IFERROR(MATCH(O263*1,$A:$A,0),0)=0,"کلید مقصد در این فهرست نیست",IF(O263*1=A263,"ادغام با خودش","OK"))),IF(Q263="","سطح شناور خالی است",IF(AND(FALSE,OR(Q263=1,Q263=2)),"سطح ۱ و ۲ این معین مال فعالیت و مرکز هزینه است","OK")))))</x:f>
      </x:c>
      <x:c r="T263" s="28"/>
    </x:row>
    <x:row r="264" spans="1:20">
      <x:c r="A264" s="21">
        <x:v>3605</x:v>
      </x:c>
      <x:c r="B264" s="22" t="s">
        <x:v>81</x:v>
      </x:c>
      <x:c r="C264" s="22" t="s">
        <x:v>155</x:v>
      </x:c>
      <x:c r="D264" s="22" t="s">
        <x:v>907</x:v>
      </x:c>
      <x:c r="E264" s="22" t="s">
        <x:v>908</x:v>
      </x:c>
      <x:c r="F264" s="22" t="s">
        <x:v>257</x:v>
      </x:c>
      <x:c r="G264" s="22">
        <x:v>2</x:v>
      </x:c>
      <x:c r="H264" s="23">
        <x:v>0</x:v>
      </x:c>
      <x:c r="I264" s="23">
        <x:v>2927683238</x:v>
      </x:c>
      <x:c r="J264" s="23">
        <x:f>H264-I264</x:f>
      </x:c>
      <x:c r="K264" s="22">
        <x:v>2</x:v>
      </x:c>
      <x:c r="L264" s="24" t="s">
        <x:v>548</x:v>
      </x:c>
      <x:c r="M264" s="24"/>
      <x:c r="N264" s="27" t="s">
        <x:v>548</x:v>
      </x:c>
      <x:c r="O264" s="27"/>
      <x:c r="P264" s="26"/>
      <x:c r="Q264" s="27">
        <x:v>1</x:v>
      </x:c>
      <x:c r="R264" s="27"/>
      <x:c r="S264" s="22">
        <x:f>IF(N264="","تکمیل نشده",IF(N264="بدون تفصیلی (ثبت روی خود معین)","OK",IF(N264="ادغام با تفصیلی دیگر",IF(O264="","کلید مقصد خالی است",IF(IFERROR(MATCH(O264*1,$A:$A,0),0)=0,"کلید مقصد در این فهرست نیست",IF(O264*1=A264,"ادغام با خودش","OK"))),IF(Q264="","سطح شناور خالی است",IF(AND(FALSE,OR(Q264=1,Q264=2)),"سطح ۱ و ۲ این معین مال فعالیت و مرکز هزینه است","OK")))))</x:f>
      </x:c>
      <x:c r="T264" s="28"/>
    </x:row>
    <x:row r="265" spans="1:20">
      <x:c r="A265" s="21">
        <x:v>3838</x:v>
      </x:c>
      <x:c r="B265" s="22" t="s">
        <x:v>81</x:v>
      </x:c>
      <x:c r="C265" s="22" t="s">
        <x:v>155</x:v>
      </x:c>
      <x:c r="D265" s="22" t="s">
        <x:v>909</x:v>
      </x:c>
      <x:c r="E265" s="22" t="s">
        <x:v>910</x:v>
      </x:c>
      <x:c r="F265" s="22" t="s">
        <x:v>257</x:v>
      </x:c>
      <x:c r="G265" s="22">
        <x:v>2</x:v>
      </x:c>
      <x:c r="H265" s="23">
        <x:v>0</x:v>
      </x:c>
      <x:c r="I265" s="23">
        <x:v>1719433013</x:v>
      </x:c>
      <x:c r="J265" s="23">
        <x:f>H265-I265</x:f>
      </x:c>
      <x:c r="K265" s="22">
        <x:v>1</x:v>
      </x:c>
      <x:c r="L265" s="24" t="s">
        <x:v>548</x:v>
      </x:c>
      <x:c r="M265" s="24"/>
      <x:c r="N265" s="27" t="s">
        <x:v>548</x:v>
      </x:c>
      <x:c r="O265" s="27"/>
      <x:c r="P265" s="26"/>
      <x:c r="Q265" s="27">
        <x:v>1</x:v>
      </x:c>
      <x:c r="R265" s="27"/>
      <x:c r="S265" s="22">
        <x:f>IF(N265="","تکمیل نشده",IF(N265="بدون تفصیلی (ثبت روی خود معین)","OK",IF(N265="ادغام با تفصیلی دیگر",IF(O265="","کلید مقصد خالی است",IF(IFERROR(MATCH(O265*1,$A:$A,0),0)=0,"کلید مقصد در این فهرست نیست",IF(O265*1=A265,"ادغام با خودش","OK"))),IF(Q265="","سطح شناور خالی است",IF(AND(FALSE,OR(Q265=1,Q265=2)),"سطح ۱ و ۲ این معین مال فعالیت و مرکز هزینه است","OK")))))</x:f>
      </x:c>
      <x:c r="T265" s="28"/>
    </x:row>
    <x:row r="266" spans="1:20">
      <x:c r="A266" s="21">
        <x:v>3795</x:v>
      </x:c>
      <x:c r="B266" s="22" t="s">
        <x:v>81</x:v>
      </x:c>
      <x:c r="C266" s="22" t="s">
        <x:v>155</x:v>
      </x:c>
      <x:c r="D266" s="22" t="s">
        <x:v>911</x:v>
      </x:c>
      <x:c r="E266" s="22" t="s">
        <x:v>912</x:v>
      </x:c>
      <x:c r="F266" s="22" t="s">
        <x:v>257</x:v>
      </x:c>
      <x:c r="G266" s="22">
        <x:v>2</x:v>
      </x:c>
      <x:c r="H266" s="23">
        <x:v>0</x:v>
      </x:c>
      <x:c r="I266" s="23">
        <x:v>991384800</x:v>
      </x:c>
      <x:c r="J266" s="23">
        <x:f>H266-I266</x:f>
      </x:c>
      <x:c r="K266" s="22">
        <x:v>2</x:v>
      </x:c>
      <x:c r="L266" s="24" t="s">
        <x:v>548</x:v>
      </x:c>
      <x:c r="M266" s="24"/>
      <x:c r="N266" s="27" t="s">
        <x:v>548</x:v>
      </x:c>
      <x:c r="O266" s="27"/>
      <x:c r="P266" s="26"/>
      <x:c r="Q266" s="27">
        <x:v>1</x:v>
      </x:c>
      <x:c r="R266" s="27"/>
      <x:c r="S266" s="22">
        <x:f>IF(N266="","تکمیل نشده",IF(N266="بدون تفصیلی (ثبت روی خود معین)","OK",IF(N266="ادغام با تفصیلی دیگر",IF(O266="","کلید مقصد خالی است",IF(IFERROR(MATCH(O266*1,$A:$A,0),0)=0,"کلید مقصد در این فهرست نیست",IF(O266*1=A266,"ادغام با خودش","OK"))),IF(Q266="","سطح شناور خالی است",IF(AND(FALSE,OR(Q266=1,Q266=2)),"سطح ۱ و ۲ این معین مال فعالیت و مرکز هزینه است","OK")))))</x:f>
      </x:c>
      <x:c r="T266" s="28"/>
    </x:row>
    <x:row r="267" spans="1:20">
      <x:c r="A267" s="21">
        <x:v>3793</x:v>
      </x:c>
      <x:c r="B267" s="22" t="s">
        <x:v>81</x:v>
      </x:c>
      <x:c r="C267" s="22" t="s">
        <x:v>155</x:v>
      </x:c>
      <x:c r="D267" s="22" t="s">
        <x:v>913</x:v>
      </x:c>
      <x:c r="E267" s="22" t="s">
        <x:v>914</x:v>
      </x:c>
      <x:c r="F267" s="22" t="s">
        <x:v>257</x:v>
      </x:c>
      <x:c r="G267" s="22">
        <x:v>2</x:v>
      </x:c>
      <x:c r="H267" s="23">
        <x:v>0</x:v>
      </x:c>
      <x:c r="I267" s="23">
        <x:v>3312705763</x:v>
      </x:c>
      <x:c r="J267" s="23">
        <x:f>H267-I267</x:f>
      </x:c>
      <x:c r="K267" s="22">
        <x:v>2</x:v>
      </x:c>
      <x:c r="L267" s="24" t="s">
        <x:v>548</x:v>
      </x:c>
      <x:c r="M267" s="24"/>
      <x:c r="N267" s="27" t="s">
        <x:v>548</x:v>
      </x:c>
      <x:c r="O267" s="27"/>
      <x:c r="P267" s="26"/>
      <x:c r="Q267" s="27">
        <x:v>1</x:v>
      </x:c>
      <x:c r="R267" s="27"/>
      <x:c r="S267" s="22">
        <x:f>IF(N267="","تکمیل نشده",IF(N267="بدون تفصیلی (ثبت روی خود معین)","OK",IF(N267="ادغام با تفصیلی دیگر",IF(O267="","کلید مقصد خالی است",IF(IFERROR(MATCH(O267*1,$A:$A,0),0)=0,"کلید مقصد در این فهرست نیست",IF(O267*1=A267,"ادغام با خودش","OK"))),IF(Q267="","سطح شناور خالی است",IF(AND(FALSE,OR(Q267=1,Q267=2)),"سطح ۱ و ۲ این معین مال فعالیت و مرکز هزینه است","OK")))))</x:f>
      </x:c>
      <x:c r="T267" s="28"/>
    </x:row>
    <x:row r="268" spans="1:20">
      <x:c r="A268" s="21">
        <x:v>2512</x:v>
      </x:c>
      <x:c r="B268" s="22" t="s">
        <x:v>81</x:v>
      </x:c>
      <x:c r="C268" s="22" t="s">
        <x:v>258</x:v>
      </x:c>
      <x:c r="D268" s="22" t="s">
        <x:v>816</x:v>
      </x:c>
      <x:c r="E268" s="22" t="s">
        <x:v>817</x:v>
      </x:c>
      <x:c r="F268" s="22" t="s">
        <x:v>259</x:v>
      </x:c>
      <x:c r="G268" s="22">
        <x:v>6</x:v>
      </x:c>
      <x:c r="H268" s="23">
        <x:v>1801756370</x:v>
      </x:c>
      <x:c r="I268" s="23">
        <x:v>360351274</x:v>
      </x:c>
      <x:c r="J268" s="23">
        <x:f>H268-I268</x:f>
      </x:c>
      <x:c r="K268" s="22">
        <x:v>2</x:v>
      </x:c>
      <x:c r="L268" s="24" t="s">
        <x:v>550</x:v>
      </x:c>
      <x:c r="M268" s="24">
        <x:v>2463</x:v>
      </x:c>
      <x:c r="N268" s="27" t="s">
        <x:v>550</x:v>
      </x:c>
      <x:c r="O268" s="27">
        <x:v>2463</x:v>
      </x:c>
      <x:c r="P268" s="26"/>
      <x:c r="Q268" s="27">
        <x:v>1</x:v>
      </x:c>
      <x:c r="R268" s="27"/>
      <x:c r="S268" s="22">
        <x:f>IF(N268="","تکمیل نشده",IF(N268="بدون تفصیلی (ثبت روی خود معین)","OK",IF(N268="ادغام با تفصیلی دیگر",IF(O268="","کلید مقصد خالی است",IF(IFERROR(MATCH(O268*1,$A:$A,0),0)=0,"کلید مقصد در این فهرست نیست",IF(O268*1=A268,"ادغام با خودش","OK"))),IF(Q268="","سطح شناور خالی است",IF(AND(FALSE,OR(Q268=1,Q268=2)),"سطح ۱ و ۲ این معین مال فعالیت و مرکز هزینه است","OK")))))</x:f>
      </x:c>
      <x:c r="T268" s="28"/>
    </x:row>
    <x:row r="269" spans="1:20">
      <x:c r="A269" s="21">
        <x:v>2513</x:v>
      </x:c>
      <x:c r="B269" s="22" t="s">
        <x:v>81</x:v>
      </x:c>
      <x:c r="C269" s="22" t="s">
        <x:v>258</x:v>
      </x:c>
      <x:c r="D269" s="22" t="s">
        <x:v>818</x:v>
      </x:c>
      <x:c r="E269" s="22" t="s">
        <x:v>819</x:v>
      </x:c>
      <x:c r="F269" s="22" t="s">
        <x:v>259</x:v>
      </x:c>
      <x:c r="G269" s="22">
        <x:v>6</x:v>
      </x:c>
      <x:c r="H269" s="23">
        <x:v>1301220928</x:v>
      </x:c>
      <x:c r="I269" s="23">
        <x:v>459290241</x:v>
      </x:c>
      <x:c r="J269" s="23">
        <x:f>H269-I269</x:f>
      </x:c>
      <x:c r="K269" s="22">
        <x:v>2</x:v>
      </x:c>
      <x:c r="L269" s="24" t="s">
        <x:v>550</x:v>
      </x:c>
      <x:c r="M269" s="24">
        <x:v>2464</x:v>
      </x:c>
      <x:c r="N269" s="27" t="s">
        <x:v>550</x:v>
      </x:c>
      <x:c r="O269" s="27">
        <x:v>2464</x:v>
      </x:c>
      <x:c r="P269" s="26"/>
      <x:c r="Q269" s="27">
        <x:v>1</x:v>
      </x:c>
      <x:c r="R269" s="27"/>
      <x:c r="S269" s="22">
        <x:f>IF(N269="","تکمیل نشده",IF(N269="بدون تفصیلی (ثبت روی خود معین)","OK",IF(N269="ادغام با تفصیلی دیگر",IF(O269="","کلید مقصد خالی است",IF(IFERROR(MATCH(O269*1,$A:$A,0),0)=0,"کلید مقصد در این فهرست نیست",IF(O269*1=A269,"ادغام با خودش","OK"))),IF(Q269="","سطح شناور خالی است",IF(AND(FALSE,OR(Q269=1,Q269=2)),"سطح ۱ و ۲ این معین مال فعالیت و مرکز هزینه است","OK")))))</x:f>
      </x:c>
      <x:c r="T269" s="28"/>
    </x:row>
    <x:row r="270" spans="1:20">
      <x:c r="A270" s="21">
        <x:v>2514</x:v>
      </x:c>
      <x:c r="B270" s="22" t="s">
        <x:v>81</x:v>
      </x:c>
      <x:c r="C270" s="22" t="s">
        <x:v>258</x:v>
      </x:c>
      <x:c r="D270" s="22" t="s">
        <x:v>820</x:v>
      </x:c>
      <x:c r="E270" s="22" t="s">
        <x:v>821</x:v>
      </x:c>
      <x:c r="F270" s="22" t="s">
        <x:v>259</x:v>
      </x:c>
      <x:c r="G270" s="22">
        <x:v>6</x:v>
      </x:c>
      <x:c r="H270" s="23">
        <x:v>1324387425</x:v>
      </x:c>
      <x:c r="I270" s="23">
        <x:v>264877485</x:v>
      </x:c>
      <x:c r="J270" s="23">
        <x:f>H270-I270</x:f>
      </x:c>
      <x:c r="K270" s="22">
        <x:v>2</x:v>
      </x:c>
      <x:c r="L270" s="24" t="s">
        <x:v>550</x:v>
      </x:c>
      <x:c r="M270" s="24">
        <x:v>2465</x:v>
      </x:c>
      <x:c r="N270" s="27" t="s">
        <x:v>550</x:v>
      </x:c>
      <x:c r="O270" s="27">
        <x:v>2465</x:v>
      </x:c>
      <x:c r="P270" s="26"/>
      <x:c r="Q270" s="27">
        <x:v>1</x:v>
      </x:c>
      <x:c r="R270" s="27"/>
      <x:c r="S270" s="22">
        <x:f>IF(N270="","تکمیل نشده",IF(N270="بدون تفصیلی (ثبت روی خود معین)","OK",IF(N270="ادغام با تفصیلی دیگر",IF(O270="","کلید مقصد خالی است",IF(IFERROR(MATCH(O270*1,$A:$A,0),0)=0,"کلید مقصد در این فهرست نیست",IF(O270*1=A270,"ادغام با خودش","OK"))),IF(Q270="","سطح شناور خالی است",IF(AND(FALSE,OR(Q270=1,Q270=2)),"سطح ۱ و ۲ این معین مال فعالیت و مرکز هزینه است","OK")))))</x:f>
      </x:c>
      <x:c r="T270" s="28"/>
    </x:row>
    <x:row r="271" spans="1:20">
      <x:c r="A271" s="21">
        <x:v>2515</x:v>
      </x:c>
      <x:c r="B271" s="22" t="s">
        <x:v>81</x:v>
      </x:c>
      <x:c r="C271" s="22" t="s">
        <x:v>258</x:v>
      </x:c>
      <x:c r="D271" s="22" t="s">
        <x:v>822</x:v>
      </x:c>
      <x:c r="E271" s="22" t="s">
        <x:v>823</x:v>
      </x:c>
      <x:c r="F271" s="22" t="s">
        <x:v>259</x:v>
      </x:c>
      <x:c r="G271" s="22">
        <x:v>6</x:v>
      </x:c>
      <x:c r="H271" s="23">
        <x:v>1665836710</x:v>
      </x:c>
      <x:c r="I271" s="23">
        <x:v>333167342</x:v>
      </x:c>
      <x:c r="J271" s="23">
        <x:f>H271-I271</x:f>
      </x:c>
      <x:c r="K271" s="22">
        <x:v>2</x:v>
      </x:c>
      <x:c r="L271" s="24" t="s">
        <x:v>550</x:v>
      </x:c>
      <x:c r="M271" s="24">
        <x:v>2466</x:v>
      </x:c>
      <x:c r="N271" s="27" t="s">
        <x:v>550</x:v>
      </x:c>
      <x:c r="O271" s="27">
        <x:v>2466</x:v>
      </x:c>
      <x:c r="P271" s="26"/>
      <x:c r="Q271" s="27">
        <x:v>1</x:v>
      </x:c>
      <x:c r="R271" s="27"/>
      <x:c r="S271" s="22">
        <x:f>IF(N271="","تکمیل نشده",IF(N271="بدون تفصیلی (ثبت روی خود معین)","OK",IF(N271="ادغام با تفصیلی دیگر",IF(O271="","کلید مقصد خالی است",IF(IFERROR(MATCH(O271*1,$A:$A,0),0)=0,"کلید مقصد در این فهرست نیست",IF(O271*1=A271,"ادغام با خودش","OK"))),IF(Q271="","سطح شناور خالی است",IF(AND(FALSE,OR(Q271=1,Q271=2)),"سطح ۱ و ۲ این معین مال فعالیت و مرکز هزینه است","OK")))))</x:f>
      </x:c>
      <x:c r="T271" s="28"/>
    </x:row>
    <x:row r="272" spans="1:20">
      <x:c r="A272" s="21">
        <x:v>2517</x:v>
      </x:c>
      <x:c r="B272" s="22" t="s">
        <x:v>81</x:v>
      </x:c>
      <x:c r="C272" s="22" t="s">
        <x:v>258</x:v>
      </x:c>
      <x:c r="D272" s="22" t="s">
        <x:v>824</x:v>
      </x:c>
      <x:c r="E272" s="22" t="s">
        <x:v>915</x:v>
      </x:c>
      <x:c r="F272" s="22" t="s">
        <x:v>259</x:v>
      </x:c>
      <x:c r="G272" s="22">
        <x:v>6</x:v>
      </x:c>
      <x:c r="H272" s="23">
        <x:v>1380886350</x:v>
      </x:c>
      <x:c r="I272" s="23">
        <x:v>276177270</x:v>
      </x:c>
      <x:c r="J272" s="23">
        <x:f>H272-I272</x:f>
      </x:c>
      <x:c r="K272" s="22">
        <x:v>1</x:v>
      </x:c>
      <x:c r="L272" s="24" t="s">
        <x:v>548</x:v>
      </x:c>
      <x:c r="M272" s="24"/>
      <x:c r="N272" s="27" t="s">
        <x:v>548</x:v>
      </x:c>
      <x:c r="O272" s="27"/>
      <x:c r="P272" s="26"/>
      <x:c r="Q272" s="27">
        <x:v>1</x:v>
      </x:c>
      <x:c r="R272" s="27"/>
      <x:c r="S272" s="22">
        <x:f>IF(N272="","تکمیل نشده",IF(N272="بدون تفصیلی (ثبت روی خود معین)","OK",IF(N272="ادغام با تفصیلی دیگر",IF(O272="","کلید مقصد خالی است",IF(IFERROR(MATCH(O272*1,$A:$A,0),0)=0,"کلید مقصد در این فهرست نیست",IF(O272*1=A272,"ادغام با خودش","OK"))),IF(Q272="","سطح شناور خالی است",IF(AND(FALSE,OR(Q272=1,Q272=2)),"سطح ۱ و ۲ این معین مال فعالیت و مرکز هزینه است","OK")))))</x:f>
      </x:c>
      <x:c r="T272" s="28"/>
    </x:row>
    <x:row r="273" spans="1:20">
      <x:c r="A273" s="21">
        <x:v>2518</x:v>
      </x:c>
      <x:c r="B273" s="22" t="s">
        <x:v>81</x:v>
      </x:c>
      <x:c r="C273" s="22" t="s">
        <x:v>258</x:v>
      </x:c>
      <x:c r="D273" s="22" t="s">
        <x:v>826</x:v>
      </x:c>
      <x:c r="E273" s="22" t="s">
        <x:v>827</x:v>
      </x:c>
      <x:c r="F273" s="22" t="s">
        <x:v>259</x:v>
      </x:c>
      <x:c r="G273" s="22">
        <x:v>6</x:v>
      </x:c>
      <x:c r="H273" s="23">
        <x:v>2220303325</x:v>
      </x:c>
      <x:c r="I273" s="23">
        <x:v>444060665</x:v>
      </x:c>
      <x:c r="J273" s="23">
        <x:f>H273-I273</x:f>
      </x:c>
      <x:c r="K273" s="22">
        <x:v>2</x:v>
      </x:c>
      <x:c r="L273" s="24" t="s">
        <x:v>550</x:v>
      </x:c>
      <x:c r="M273" s="24">
        <x:v>2469</x:v>
      </x:c>
      <x:c r="N273" s="27" t="s">
        <x:v>550</x:v>
      </x:c>
      <x:c r="O273" s="27">
        <x:v>2469</x:v>
      </x:c>
      <x:c r="P273" s="26"/>
      <x:c r="Q273" s="27">
        <x:v>1</x:v>
      </x:c>
      <x:c r="R273" s="27"/>
      <x:c r="S273" s="22">
        <x:f>IF(N273="","تکمیل نشده",IF(N273="بدون تفصیلی (ثبت روی خود معین)","OK",IF(N273="ادغام با تفصیلی دیگر",IF(O273="","کلید مقصد خالی است",IF(IFERROR(MATCH(O273*1,$A:$A,0),0)=0,"کلید مقصد در این فهرست نیست",IF(O273*1=A273,"ادغام با خودش","OK"))),IF(Q273="","سطح شناور خالی است",IF(AND(FALSE,OR(Q273=1,Q273=2)),"سطح ۱ و ۲ این معین مال فعالیت و مرکز هزینه است","OK")))))</x:f>
      </x:c>
      <x:c r="T273" s="28"/>
    </x:row>
    <x:row r="274" spans="1:20">
      <x:c r="A274" s="21">
        <x:v>2519</x:v>
      </x:c>
      <x:c r="B274" s="22" t="s">
        <x:v>81</x:v>
      </x:c>
      <x:c r="C274" s="22" t="s">
        <x:v>258</x:v>
      </x:c>
      <x:c r="D274" s="22" t="s">
        <x:v>828</x:v>
      </x:c>
      <x:c r="E274" s="22" t="s">
        <x:v>829</x:v>
      </x:c>
      <x:c r="F274" s="22" t="s">
        <x:v>259</x:v>
      </x:c>
      <x:c r="G274" s="22">
        <x:v>6</x:v>
      </x:c>
      <x:c r="H274" s="23">
        <x:v>1602099704</x:v>
      </x:c>
      <x:c r="I274" s="23">
        <x:v>552133935</x:v>
      </x:c>
      <x:c r="J274" s="23">
        <x:f>H274-I274</x:f>
      </x:c>
      <x:c r="K274" s="22">
        <x:v>2</x:v>
      </x:c>
      <x:c r="L274" s="24" t="s">
        <x:v>550</x:v>
      </x:c>
      <x:c r="M274" s="24">
        <x:v>2470</x:v>
      </x:c>
      <x:c r="N274" s="27" t="s">
        <x:v>550</x:v>
      </x:c>
      <x:c r="O274" s="27">
        <x:v>2470</x:v>
      </x:c>
      <x:c r="P274" s="26"/>
      <x:c r="Q274" s="27">
        <x:v>1</x:v>
      </x:c>
      <x:c r="R274" s="27"/>
      <x:c r="S274" s="22">
        <x:f>IF(N274="","تکمیل نشده",IF(N274="بدون تفصیلی (ثبت روی خود معین)","OK",IF(N274="ادغام با تفصیلی دیگر",IF(O274="","کلید مقصد خالی است",IF(IFERROR(MATCH(O274*1,$A:$A,0),0)=0,"کلید مقصد در این فهرست نیست",IF(O274*1=A274,"ادغام با خودش","OK"))),IF(Q274="","سطح شناور خالی است",IF(AND(FALSE,OR(Q274=1,Q274=2)),"سطح ۱ و ۲ این معین مال فعالیت و مرکز هزینه است","OK")))))</x:f>
      </x:c>
      <x:c r="T274" s="28"/>
    </x:row>
    <x:row r="275" spans="1:20">
      <x:c r="A275" s="21">
        <x:v>2520</x:v>
      </x:c>
      <x:c r="B275" s="22" t="s">
        <x:v>81</x:v>
      </x:c>
      <x:c r="C275" s="22" t="s">
        <x:v>258</x:v>
      </x:c>
      <x:c r="D275" s="22" t="s">
        <x:v>830</x:v>
      </x:c>
      <x:c r="E275" s="22" t="s">
        <x:v>649</x:v>
      </x:c>
      <x:c r="F275" s="22" t="s">
        <x:v>259</x:v>
      </x:c>
      <x:c r="G275" s="22">
        <x:v>6</x:v>
      </x:c>
      <x:c r="H275" s="23">
        <x:v>511951228</x:v>
      </x:c>
      <x:c r="I275" s="23">
        <x:v>145374088</x:v>
      </x:c>
      <x:c r="J275" s="23">
        <x:f>H275-I275</x:f>
      </x:c>
      <x:c r="K275" s="22">
        <x:v>3</x:v>
      </x:c>
      <x:c r="L275" s="24" t="s">
        <x:v>550</x:v>
      </x:c>
      <x:c r="M275" s="24">
        <x:v>560</x:v>
      </x:c>
      <x:c r="N275" s="27" t="s">
        <x:v>550</x:v>
      </x:c>
      <x:c r="O275" s="27">
        <x:v>560</x:v>
      </x:c>
      <x:c r="P275" s="26"/>
      <x:c r="Q275" s="27">
        <x:v>1</x:v>
      </x:c>
      <x:c r="R275" s="27"/>
      <x:c r="S275" s="22">
        <x:f>IF(N275="","تکمیل نشده",IF(N275="بدون تفصیلی (ثبت روی خود معین)","OK",IF(N275="ادغام با تفصیلی دیگر",IF(O275="","کلید مقصد خالی است",IF(IFERROR(MATCH(O275*1,$A:$A,0),0)=0,"کلید مقصد در این فهرست نیست",IF(O275*1=A275,"ادغام با خودش","OK"))),IF(Q275="","سطح شناور خالی است",IF(AND(FALSE,OR(Q275=1,Q275=2)),"سطح ۱ و ۲ این معین مال فعالیت و مرکز هزینه است","OK")))))</x:f>
      </x:c>
      <x:c r="T275" s="28"/>
    </x:row>
    <x:row r="276" spans="1:20">
      <x:c r="A276" s="21">
        <x:v>2522</x:v>
      </x:c>
      <x:c r="B276" s="22" t="s">
        <x:v>81</x:v>
      </x:c>
      <x:c r="C276" s="22" t="s">
        <x:v>258</x:v>
      </x:c>
      <x:c r="D276" s="22" t="s">
        <x:v>831</x:v>
      </x:c>
      <x:c r="E276" s="22" t="s">
        <x:v>832</x:v>
      </x:c>
      <x:c r="F276" s="22" t="s">
        <x:v>259</x:v>
      </x:c>
      <x:c r="G276" s="22">
        <x:v>6</x:v>
      </x:c>
      <x:c r="H276" s="23">
        <x:v>1020726265</x:v>
      </x:c>
      <x:c r="I276" s="23">
        <x:v>204145253</x:v>
      </x:c>
      <x:c r="J276" s="23">
        <x:f>H276-I276</x:f>
      </x:c>
      <x:c r="K276" s="22">
        <x:v>3</x:v>
      </x:c>
      <x:c r="L276" s="24" t="s">
        <x:v>550</x:v>
      </x:c>
      <x:c r="M276" s="24">
        <x:v>2473</x:v>
      </x:c>
      <x:c r="N276" s="27" t="s">
        <x:v>550</x:v>
      </x:c>
      <x:c r="O276" s="27">
        <x:v>2473</x:v>
      </x:c>
      <x:c r="P276" s="26"/>
      <x:c r="Q276" s="27">
        <x:v>1</x:v>
      </x:c>
      <x:c r="R276" s="27"/>
      <x:c r="S276" s="22">
        <x:f>IF(N276="","تکمیل نشده",IF(N276="بدون تفصیلی (ثبت روی خود معین)","OK",IF(N276="ادغام با تفصیلی دیگر",IF(O276="","کلید مقصد خالی است",IF(IFERROR(MATCH(O276*1,$A:$A,0),0)=0,"کلید مقصد در این فهرست نیست",IF(O276*1=A276,"ادغام با خودش","OK"))),IF(Q276="","سطح شناور خالی است",IF(AND(FALSE,OR(Q276=1,Q276=2)),"سطح ۱ و ۲ این معین مال فعالیت و مرکز هزینه است","OK")))))</x:f>
      </x:c>
      <x:c r="T276" s="28"/>
    </x:row>
    <x:row r="277" spans="1:20">
      <x:c r="A277" s="21">
        <x:v>3668</x:v>
      </x:c>
      <x:c r="B277" s="22" t="s">
        <x:v>81</x:v>
      </x:c>
      <x:c r="C277" s="22" t="s">
        <x:v>258</x:v>
      </x:c>
      <x:c r="D277" s="22" t="s">
        <x:v>833</x:v>
      </x:c>
      <x:c r="E277" s="22" t="s">
        <x:v>916</x:v>
      </x:c>
      <x:c r="F277" s="22" t="s">
        <x:v>259</x:v>
      </x:c>
      <x:c r="G277" s="22">
        <x:v>2</x:v>
      </x:c>
      <x:c r="H277" s="23">
        <x:v>0</x:v>
      </x:c>
      <x:c r="I277" s="23">
        <x:v>128458375</x:v>
      </x:c>
      <x:c r="J277" s="23">
        <x:f>H277-I277</x:f>
      </x:c>
      <x:c r="K277" s="22">
        <x:v>3</x:v>
      </x:c>
      <x:c r="L277" s="24" t="s">
        <x:v>550</x:v>
      </x:c>
      <x:c r="M277" s="24">
        <x:v>587</x:v>
      </x:c>
      <x:c r="N277" s="27" t="s">
        <x:v>550</x:v>
      </x:c>
      <x:c r="O277" s="27">
        <x:v>587</x:v>
      </x:c>
      <x:c r="P277" s="26"/>
      <x:c r="Q277" s="27">
        <x:v>1</x:v>
      </x:c>
      <x:c r="R277" s="27"/>
      <x:c r="S277" s="22">
        <x:f>IF(N277="","تکمیل نشده",IF(N277="بدون تفصیلی (ثبت روی خود معین)","OK",IF(N277="ادغام با تفصیلی دیگر",IF(O277="","کلید مقصد خالی است",IF(IFERROR(MATCH(O277*1,$A:$A,0),0)=0,"کلید مقصد در این فهرست نیست",IF(O277*1=A277,"ادغام با خودش","OK"))),IF(Q277="","سطح شناور خالی است",IF(AND(FALSE,OR(Q277=1,Q277=2)),"سطح ۱ و ۲ این معین مال فعالیت و مرکز هزینه است","OK")))))</x:f>
      </x:c>
      <x:c r="T277" s="28"/>
    </x:row>
    <x:row r="278" spans="1:20">
      <x:c r="A278" s="21">
        <x:v>2523</x:v>
      </x:c>
      <x:c r="B278" s="22" t="s">
        <x:v>81</x:v>
      </x:c>
      <x:c r="C278" s="22" t="s">
        <x:v>258</x:v>
      </x:c>
      <x:c r="D278" s="22" t="s">
        <x:v>834</x:v>
      </x:c>
      <x:c r="E278" s="22" t="s">
        <x:v>748</x:v>
      </x:c>
      <x:c r="F278" s="22" t="s">
        <x:v>259</x:v>
      </x:c>
      <x:c r="G278" s="22">
        <x:v>6</x:v>
      </x:c>
      <x:c r="H278" s="23">
        <x:v>1027482955</x:v>
      </x:c>
      <x:c r="I278" s="23">
        <x:v>205496591</x:v>
      </x:c>
      <x:c r="J278" s="23">
        <x:f>H278-I278</x:f>
      </x:c>
      <x:c r="K278" s="22">
        <x:v>3</x:v>
      </x:c>
      <x:c r="L278" s="24" t="s">
        <x:v>550</x:v>
      </x:c>
      <x:c r="M278" s="24">
        <x:v>1626</x:v>
      </x:c>
      <x:c r="N278" s="27" t="s">
        <x:v>550</x:v>
      </x:c>
      <x:c r="O278" s="27">
        <x:v>1626</x:v>
      </x:c>
      <x:c r="P278" s="26"/>
      <x:c r="Q278" s="27">
        <x:v>1</x:v>
      </x:c>
      <x:c r="R278" s="27"/>
      <x:c r="S278" s="22">
        <x:f>IF(N278="","تکمیل نشده",IF(N278="بدون تفصیلی (ثبت روی خود معین)","OK",IF(N278="ادغام با تفصیلی دیگر",IF(O278="","کلید مقصد خالی است",IF(IFERROR(MATCH(O278*1,$A:$A,0),0)=0,"کلید مقصد در این فهرست نیست",IF(O278*1=A278,"ادغام با خودش","OK"))),IF(Q278="","سطح شناور خالی است",IF(AND(FALSE,OR(Q278=1,Q278=2)),"سطح ۱ و ۲ این معین مال فعالیت و مرکز هزینه است","OK")))))</x:f>
      </x:c>
      <x:c r="T278" s="28"/>
    </x:row>
    <x:row r="279" spans="1:20">
      <x:c r="A279" s="21">
        <x:v>2524</x:v>
      </x:c>
      <x:c r="B279" s="22" t="s">
        <x:v>81</x:v>
      </x:c>
      <x:c r="C279" s="22" t="s">
        <x:v>258</x:v>
      </x:c>
      <x:c r="D279" s="22" t="s">
        <x:v>835</x:v>
      </x:c>
      <x:c r="E279" s="22" t="s">
        <x:v>661</x:v>
      </x:c>
      <x:c r="F279" s="22" t="s">
        <x:v>259</x:v>
      </x:c>
      <x:c r="G279" s="22">
        <x:v>6</x:v>
      </x:c>
      <x:c r="H279" s="23">
        <x:v>349409932</x:v>
      </x:c>
      <x:c r="I279" s="23">
        <x:v>141497882</x:v>
      </x:c>
      <x:c r="J279" s="23">
        <x:f>H279-I279</x:f>
      </x:c>
      <x:c r="K279" s="22">
        <x:v>3</x:v>
      </x:c>
      <x:c r="L279" s="24" t="s">
        <x:v>550</x:v>
      </x:c>
      <x:c r="M279" s="24">
        <x:v>586</x:v>
      </x:c>
      <x:c r="N279" s="27" t="s">
        <x:v>550</x:v>
      </x:c>
      <x:c r="O279" s="27">
        <x:v>586</x:v>
      </x:c>
      <x:c r="P279" s="26"/>
      <x:c r="Q279" s="27">
        <x:v>1</x:v>
      </x:c>
      <x:c r="R279" s="27"/>
      <x:c r="S279" s="22">
        <x:f>IF(N279="","تکمیل نشده",IF(N279="بدون تفصیلی (ثبت روی خود معین)","OK",IF(N279="ادغام با تفصیلی دیگر",IF(O279="","کلید مقصد خالی است",IF(IFERROR(MATCH(O279*1,$A:$A,0),0)=0,"کلید مقصد در این فهرست نیست",IF(O279*1=A279,"ادغام با خودش","OK"))),IF(Q279="","سطح شناور خالی است",IF(AND(FALSE,OR(Q279=1,Q279=2)),"سطح ۱ و ۲ این معین مال فعالیت و مرکز هزینه است","OK")))))</x:f>
      </x:c>
      <x:c r="T279" s="28"/>
    </x:row>
    <x:row r="280" spans="1:20">
      <x:c r="A280" s="21">
        <x:v>2527</x:v>
      </x:c>
      <x:c r="B280" s="22" t="s">
        <x:v>81</x:v>
      </x:c>
      <x:c r="C280" s="22" t="s">
        <x:v>258</x:v>
      </x:c>
      <x:c r="D280" s="22" t="s">
        <x:v>836</x:v>
      </x:c>
      <x:c r="E280" s="22" t="s">
        <x:v>726</x:v>
      </x:c>
      <x:c r="F280" s="22" t="s">
        <x:v>259</x:v>
      </x:c>
      <x:c r="G280" s="22">
        <x:v>6</x:v>
      </x:c>
      <x:c r="H280" s="23">
        <x:v>539312272</x:v>
      </x:c>
      <x:c r="I280" s="23">
        <x:v>501564021</x:v>
      </x:c>
      <x:c r="J280" s="23">
        <x:f>H280-I280</x:f>
      </x:c>
      <x:c r="K280" s="22">
        <x:v>3</x:v>
      </x:c>
      <x:c r="L280" s="24" t="s">
        <x:v>550</x:v>
      </x:c>
      <x:c r="M280" s="24">
        <x:v>1538</x:v>
      </x:c>
      <x:c r="N280" s="27" t="s">
        <x:v>550</x:v>
      </x:c>
      <x:c r="O280" s="27">
        <x:v>1538</x:v>
      </x:c>
      <x:c r="P280" s="26"/>
      <x:c r="Q280" s="27">
        <x:v>1</x:v>
      </x:c>
      <x:c r="R280" s="27"/>
      <x:c r="S280" s="22">
        <x:f>IF(N280="","تکمیل نشده",IF(N280="بدون تفصیلی (ثبت روی خود معین)","OK",IF(N280="ادغام با تفصیلی دیگر",IF(O280="","کلید مقصد خالی است",IF(IFERROR(MATCH(O280*1,$A:$A,0),0)=0,"کلید مقصد در این فهرست نیست",IF(O280*1=A280,"ادغام با خودش","OK"))),IF(Q280="","سطح شناور خالی است",IF(AND(FALSE,OR(Q280=1,Q280=2)),"سطح ۱ و ۲ این معین مال فعالیت و مرکز هزینه است","OK")))))</x:f>
      </x:c>
      <x:c r="T280" s="28"/>
    </x:row>
    <x:row r="281" spans="1:20">
      <x:c r="A281" s="21">
        <x:v>3682</x:v>
      </x:c>
      <x:c r="B281" s="22" t="s">
        <x:v>81</x:v>
      </x:c>
      <x:c r="C281" s="22" t="s">
        <x:v>258</x:v>
      </x:c>
      <x:c r="D281" s="22" t="s">
        <x:v>837</x:v>
      </x:c>
      <x:c r="E281" s="22" t="s">
        <x:v>838</x:v>
      </x:c>
      <x:c r="F281" s="22" t="s">
        <x:v>259</x:v>
      </x:c>
      <x:c r="G281" s="22">
        <x:v>2</x:v>
      </x:c>
      <x:c r="H281" s="23">
        <x:v>0</x:v>
      </x:c>
      <x:c r="I281" s="23">
        <x:v>92654775</x:v>
      </x:c>
      <x:c r="J281" s="23">
        <x:f>H281-I281</x:f>
      </x:c>
      <x:c r="K281" s="22">
        <x:v>2</x:v>
      </x:c>
      <x:c r="L281" s="24" t="s">
        <x:v>550</x:v>
      </x:c>
      <x:c r="M281" s="24">
        <x:v>3681</x:v>
      </x:c>
      <x:c r="N281" s="27" t="s">
        <x:v>550</x:v>
      </x:c>
      <x:c r="O281" s="27">
        <x:v>3681</x:v>
      </x:c>
      <x:c r="P281" s="26"/>
      <x:c r="Q281" s="27">
        <x:v>1</x:v>
      </x:c>
      <x:c r="R281" s="27"/>
      <x:c r="S281" s="22">
        <x:f>IF(N281="","تکمیل نشده",IF(N281="بدون تفصیلی (ثبت روی خود معین)","OK",IF(N281="ادغام با تفصیلی دیگر",IF(O281="","کلید مقصد خالی است",IF(IFERROR(MATCH(O281*1,$A:$A,0),0)=0,"کلید مقصد در این فهرست نیست",IF(O281*1=A281,"ادغام با خودش","OK"))),IF(Q281="","سطح شناور خالی است",IF(AND(FALSE,OR(Q281=1,Q281=2)),"سطح ۱ و ۲ این معین مال فعالیت و مرکز هزینه است","OK")))))</x:f>
      </x:c>
      <x:c r="T281" s="28"/>
    </x:row>
    <x:row r="282" spans="1:20">
      <x:c r="A282" s="21">
        <x:v>3660</x:v>
      </x:c>
      <x:c r="B282" s="22" t="s">
        <x:v>81</x:v>
      </x:c>
      <x:c r="C282" s="22" t="s">
        <x:v>258</x:v>
      </x:c>
      <x:c r="D282" s="22" t="s">
        <x:v>839</x:v>
      </x:c>
      <x:c r="E282" s="22" t="s">
        <x:v>840</x:v>
      </x:c>
      <x:c r="F282" s="22" t="s">
        <x:v>259</x:v>
      </x:c>
      <x:c r="G282" s="22">
        <x:v>2</x:v>
      </x:c>
      <x:c r="H282" s="23">
        <x:v>0</x:v>
      </x:c>
      <x:c r="I282" s="23">
        <x:v>261873797</x:v>
      </x:c>
      <x:c r="J282" s="23">
        <x:f>H282-I282</x:f>
      </x:c>
      <x:c r="K282" s="22">
        <x:v>2</x:v>
      </x:c>
      <x:c r="L282" s="24" t="s">
        <x:v>550</x:v>
      </x:c>
      <x:c r="M282" s="24">
        <x:v>3659</x:v>
      </x:c>
      <x:c r="N282" s="27" t="s">
        <x:v>550</x:v>
      </x:c>
      <x:c r="O282" s="27">
        <x:v>3659</x:v>
      </x:c>
      <x:c r="P282" s="26"/>
      <x:c r="Q282" s="27">
        <x:v>1</x:v>
      </x:c>
      <x:c r="R282" s="27"/>
      <x:c r="S282" s="22">
        <x:f>IF(N282="","تکمیل نشده",IF(N282="بدون تفصیلی (ثبت روی خود معین)","OK",IF(N282="ادغام با تفصیلی دیگر",IF(O282="","کلید مقصد خالی است",IF(IFERROR(MATCH(O282*1,$A:$A,0),0)=0,"کلید مقصد در این فهرست نیست",IF(O282*1=A282,"ادغام با خودش","OK"))),IF(Q282="","سطح شناور خالی است",IF(AND(FALSE,OR(Q282=1,Q282=2)),"سطح ۱ و ۲ این معین مال فعالیت و مرکز هزینه است","OK")))))</x:f>
      </x:c>
      <x:c r="T282" s="28"/>
    </x:row>
    <x:row r="283" spans="1:20">
      <x:c r="A283" s="21">
        <x:v>3769</x:v>
      </x:c>
      <x:c r="B283" s="22" t="s">
        <x:v>81</x:v>
      </x:c>
      <x:c r="C283" s="22" t="s">
        <x:v>258</x:v>
      </x:c>
      <x:c r="D283" s="22" t="s">
        <x:v>841</x:v>
      </x:c>
      <x:c r="E283" s="22" t="s">
        <x:v>667</x:v>
      </x:c>
      <x:c r="F283" s="22" t="s">
        <x:v>259</x:v>
      </x:c>
      <x:c r="G283" s="22">
        <x:v>2</x:v>
      </x:c>
      <x:c r="H283" s="23">
        <x:v>0</x:v>
      </x:c>
      <x:c r="I283" s="23">
        <x:v>309682399</x:v>
      </x:c>
      <x:c r="J283" s="23">
        <x:f>H283-I283</x:f>
      </x:c>
      <x:c r="K283" s="22">
        <x:v>3</x:v>
      </x:c>
      <x:c r="L283" s="24" t="s">
        <x:v>550</x:v>
      </x:c>
      <x:c r="M283" s="24">
        <x:v>3772</x:v>
      </x:c>
      <x:c r="N283" s="27" t="s">
        <x:v>550</x:v>
      </x:c>
      <x:c r="O283" s="27">
        <x:v>3772</x:v>
      </x:c>
      <x:c r="P283" s="26"/>
      <x:c r="Q283" s="27">
        <x:v>1</x:v>
      </x:c>
      <x:c r="R283" s="27"/>
      <x:c r="S283" s="22">
        <x:f>IF(N283="","تکمیل نشده",IF(N283="بدون تفصیلی (ثبت روی خود معین)","OK",IF(N283="ادغام با تفصیلی دیگر",IF(O283="","کلید مقصد خالی است",IF(IFERROR(MATCH(O283*1,$A:$A,0),0)=0,"کلید مقصد در این فهرست نیست",IF(O283*1=A283,"ادغام با خودش","OK"))),IF(Q283="","سطح شناور خالی است",IF(AND(FALSE,OR(Q283=1,Q283=2)),"سطح ۱ و ۲ این معین مال فعالیت و مرکز هزینه است","OK")))))</x:f>
      </x:c>
      <x:c r="T283" s="28"/>
    </x:row>
    <x:row r="284" spans="1:20">
      <x:c r="A284" s="21">
        <x:v>3663</x:v>
      </x:c>
      <x:c r="B284" s="22" t="s">
        <x:v>81</x:v>
      </x:c>
      <x:c r="C284" s="22" t="s">
        <x:v>258</x:v>
      </x:c>
      <x:c r="D284" s="22" t="s">
        <x:v>842</x:v>
      </x:c>
      <x:c r="E284" s="22" t="s">
        <x:v>843</x:v>
      </x:c>
      <x:c r="F284" s="22" t="s">
        <x:v>259</x:v>
      </x:c>
      <x:c r="G284" s="22">
        <x:v>2</x:v>
      </x:c>
      <x:c r="H284" s="23">
        <x:v>0</x:v>
      </x:c>
      <x:c r="I284" s="23">
        <x:v>43144582</x:v>
      </x:c>
      <x:c r="J284" s="23">
        <x:f>H284-I284</x:f>
      </x:c>
      <x:c r="K284" s="22">
        <x:v>2</x:v>
      </x:c>
      <x:c r="L284" s="24" t="s">
        <x:v>550</x:v>
      </x:c>
      <x:c r="M284" s="24">
        <x:v>3664</x:v>
      </x:c>
      <x:c r="N284" s="27" t="s">
        <x:v>550</x:v>
      </x:c>
      <x:c r="O284" s="27">
        <x:v>3664</x:v>
      </x:c>
      <x:c r="P284" s="26"/>
      <x:c r="Q284" s="27">
        <x:v>1</x:v>
      </x:c>
      <x:c r="R284" s="27"/>
      <x:c r="S284" s="22">
        <x:f>IF(N284="","تکمیل نشده",IF(N284="بدون تفصیلی (ثبت روی خود معین)","OK",IF(N284="ادغام با تفصیلی دیگر",IF(O284="","کلید مقصد خالی است",IF(IFERROR(MATCH(O284*1,$A:$A,0),0)=0,"کلید مقصد در این فهرست نیست",IF(O284*1=A284,"ادغام با خودش","OK"))),IF(Q284="","سطح شناور خالی است",IF(AND(FALSE,OR(Q284=1,Q284=2)),"سطح ۱ و ۲ این معین مال فعالیت و مرکز هزینه است","OK")))))</x:f>
      </x:c>
      <x:c r="T284" s="28"/>
    </x:row>
    <x:row r="285" spans="1:20">
      <x:c r="A285" s="21">
        <x:v>3702</x:v>
      </x:c>
      <x:c r="B285" s="22" t="s">
        <x:v>81</x:v>
      </x:c>
      <x:c r="C285" s="22" t="s">
        <x:v>258</x:v>
      </x:c>
      <x:c r="D285" s="22" t="s">
        <x:v>844</x:v>
      </x:c>
      <x:c r="E285" s="22" t="s">
        <x:v>845</x:v>
      </x:c>
      <x:c r="F285" s="22" t="s">
        <x:v>259</x:v>
      </x:c>
      <x:c r="G285" s="22">
        <x:v>2</x:v>
      </x:c>
      <x:c r="H285" s="23">
        <x:v>36108078</x:v>
      </x:c>
      <x:c r="I285" s="23">
        <x:v>36108078</x:v>
      </x:c>
      <x:c r="J285" s="23">
        <x:f>H285-I285</x:f>
      </x:c>
      <x:c r="K285" s="22">
        <x:v>2</x:v>
      </x:c>
      <x:c r="L285" s="24" t="s">
        <x:v>550</x:v>
      </x:c>
      <x:c r="M285" s="24">
        <x:v>3701</x:v>
      </x:c>
      <x:c r="N285" s="27" t="s">
        <x:v>550</x:v>
      </x:c>
      <x:c r="O285" s="27">
        <x:v>3701</x:v>
      </x:c>
      <x:c r="P285" s="26"/>
      <x:c r="Q285" s="27">
        <x:v>1</x:v>
      </x:c>
      <x:c r="R285" s="27"/>
      <x:c r="S285" s="22">
        <x:f>IF(N285="","تکمیل نشده",IF(N285="بدون تفصیلی (ثبت روی خود معین)","OK",IF(N285="ادغام با تفصیلی دیگر",IF(O285="","کلید مقصد خالی است",IF(IFERROR(MATCH(O285*1,$A:$A,0),0)=0,"کلید مقصد در این فهرست نیست",IF(O285*1=A285,"ادغام با خودش","OK"))),IF(Q285="","سطح شناور خالی است",IF(AND(FALSE,OR(Q285=1,Q285=2)),"سطح ۱ و ۲ این معین مال فعالیت و مرکز هزینه است","OK")))))</x:f>
      </x:c>
      <x:c r="T285" s="28"/>
    </x:row>
    <x:row r="286" spans="1:20">
      <x:c r="A286" s="21">
        <x:v>2528</x:v>
      </x:c>
      <x:c r="B286" s="22" t="s">
        <x:v>81</x:v>
      </x:c>
      <x:c r="C286" s="22" t="s">
        <x:v>258</x:v>
      </x:c>
      <x:c r="D286" s="22" t="s">
        <x:v>846</x:v>
      </x:c>
      <x:c r="E286" s="22" t="s">
        <x:v>847</x:v>
      </x:c>
      <x:c r="F286" s="22" t="s">
        <x:v>259</x:v>
      </x:c>
      <x:c r="G286" s="22">
        <x:v>5</x:v>
      </x:c>
      <x:c r="H286" s="23">
        <x:v>49186852</x:v>
      </x:c>
      <x:c r="I286" s="23">
        <x:v>12296713</x:v>
      </x:c>
      <x:c r="J286" s="23">
        <x:f>H286-I286</x:f>
      </x:c>
      <x:c r="K286" s="22">
        <x:v>2</x:v>
      </x:c>
      <x:c r="L286" s="24" t="s">
        <x:v>550</x:v>
      </x:c>
      <x:c r="M286" s="24">
        <x:v>2479</x:v>
      </x:c>
      <x:c r="N286" s="27" t="s">
        <x:v>550</x:v>
      </x:c>
      <x:c r="O286" s="27">
        <x:v>2479</x:v>
      </x:c>
      <x:c r="P286" s="26"/>
      <x:c r="Q286" s="27">
        <x:v>1</x:v>
      </x:c>
      <x:c r="R286" s="27"/>
      <x:c r="S286" s="22">
        <x:f>IF(N286="","تکمیل نشده",IF(N286="بدون تفصیلی (ثبت روی خود معین)","OK",IF(N286="ادغام با تفصیلی دیگر",IF(O286="","کلید مقصد خالی است",IF(IFERROR(MATCH(O286*1,$A:$A,0),0)=0,"کلید مقصد در این فهرست نیست",IF(O286*1=A286,"ادغام با خودش","OK"))),IF(Q286="","سطح شناور خالی است",IF(AND(FALSE,OR(Q286=1,Q286=2)),"سطح ۱ و ۲ این معین مال فعالیت و مرکز هزینه است","OK")))))</x:f>
      </x:c>
      <x:c r="T286" s="28"/>
    </x:row>
    <x:row r="287" spans="1:20">
      <x:c r="A287" s="21">
        <x:v>2529</x:v>
      </x:c>
      <x:c r="B287" s="22" t="s">
        <x:v>81</x:v>
      </x:c>
      <x:c r="C287" s="22" t="s">
        <x:v>258</x:v>
      </x:c>
      <x:c r="D287" s="22" t="s">
        <x:v>848</x:v>
      </x:c>
      <x:c r="E287" s="22" t="s">
        <x:v>849</x:v>
      </x:c>
      <x:c r="F287" s="22" t="s">
        <x:v>259</x:v>
      </x:c>
      <x:c r="G287" s="22">
        <x:v>6</x:v>
      </x:c>
      <x:c r="H287" s="23">
        <x:v>1210799070</x:v>
      </x:c>
      <x:c r="I287" s="23">
        <x:v>242159814</x:v>
      </x:c>
      <x:c r="J287" s="23">
        <x:f>H287-I287</x:f>
      </x:c>
      <x:c r="K287" s="22">
        <x:v>2</x:v>
      </x:c>
      <x:c r="L287" s="24" t="s">
        <x:v>550</x:v>
      </x:c>
      <x:c r="M287" s="24">
        <x:v>2480</x:v>
      </x:c>
      <x:c r="N287" s="27" t="s">
        <x:v>550</x:v>
      </x:c>
      <x:c r="O287" s="27">
        <x:v>2480</x:v>
      </x:c>
      <x:c r="P287" s="26"/>
      <x:c r="Q287" s="27">
        <x:v>1</x:v>
      </x:c>
      <x:c r="R287" s="27"/>
      <x:c r="S287" s="22">
        <x:f>IF(N287="","تکمیل نشده",IF(N287="بدون تفصیلی (ثبت روی خود معین)","OK",IF(N287="ادغام با تفصیلی دیگر",IF(O287="","کلید مقصد خالی است",IF(IFERROR(MATCH(O287*1,$A:$A,0),0)=0,"کلید مقصد در این فهرست نیست",IF(O287*1=A287,"ادغام با خودش","OK"))),IF(Q287="","سطح شناور خالی است",IF(AND(FALSE,OR(Q287=1,Q287=2)),"سطح ۱ و ۲ این معین مال فعالیت و مرکز هزینه است","OK")))))</x:f>
      </x:c>
      <x:c r="T287" s="28"/>
    </x:row>
    <x:row r="288" spans="1:20">
      <x:c r="A288" s="21">
        <x:v>2530</x:v>
      </x:c>
      <x:c r="B288" s="22" t="s">
        <x:v>81</x:v>
      </x:c>
      <x:c r="C288" s="22" t="s">
        <x:v>258</x:v>
      </x:c>
      <x:c r="D288" s="22" t="s">
        <x:v>850</x:v>
      </x:c>
      <x:c r="E288" s="22" t="s">
        <x:v>851</x:v>
      </x:c>
      <x:c r="F288" s="22" t="s">
        <x:v>259</x:v>
      </x:c>
      <x:c r="G288" s="22">
        <x:v>6</x:v>
      </x:c>
      <x:c r="H288" s="23">
        <x:v>1345927604</x:v>
      </x:c>
      <x:c r="I288" s="23">
        <x:v>323148682</x:v>
      </x:c>
      <x:c r="J288" s="23">
        <x:f>H288-I288</x:f>
      </x:c>
      <x:c r="K288" s="22">
        <x:v>2</x:v>
      </x:c>
      <x:c r="L288" s="24" t="s">
        <x:v>550</x:v>
      </x:c>
      <x:c r="M288" s="24">
        <x:v>2481</x:v>
      </x:c>
      <x:c r="N288" s="27" t="s">
        <x:v>550</x:v>
      </x:c>
      <x:c r="O288" s="27">
        <x:v>2481</x:v>
      </x:c>
      <x:c r="P288" s="26"/>
      <x:c r="Q288" s="27">
        <x:v>1</x:v>
      </x:c>
      <x:c r="R288" s="27"/>
      <x:c r="S288" s="22">
        <x:f>IF(N288="","تکمیل نشده",IF(N288="بدون تفصیلی (ثبت روی خود معین)","OK",IF(N288="ادغام با تفصیلی دیگر",IF(O288="","کلید مقصد خالی است",IF(IFERROR(MATCH(O288*1,$A:$A,0),0)=0,"کلید مقصد در این فهرست نیست",IF(O288*1=A288,"ادغام با خودش","OK"))),IF(Q288="","سطح شناور خالی است",IF(AND(FALSE,OR(Q288=1,Q288=2)),"سطح ۱ و ۲ این معین مال فعالیت و مرکز هزینه است","OK")))))</x:f>
      </x:c>
      <x:c r="T288" s="28"/>
    </x:row>
    <x:row r="289" spans="1:20">
      <x:c r="A289" s="21">
        <x:v>2532</x:v>
      </x:c>
      <x:c r="B289" s="22" t="s">
        <x:v>81</x:v>
      </x:c>
      <x:c r="C289" s="22" t="s">
        <x:v>258</x:v>
      </x:c>
      <x:c r="D289" s="22" t="s">
        <x:v>852</x:v>
      </x:c>
      <x:c r="E289" s="22" t="s">
        <x:v>853</x:v>
      </x:c>
      <x:c r="F289" s="22" t="s">
        <x:v>259</x:v>
      </x:c>
      <x:c r="G289" s="22">
        <x:v>6</x:v>
      </x:c>
      <x:c r="H289" s="23">
        <x:v>869787060</x:v>
      </x:c>
      <x:c r="I289" s="23">
        <x:v>173957412</x:v>
      </x:c>
      <x:c r="J289" s="23">
        <x:f>H289-I289</x:f>
      </x:c>
      <x:c r="K289" s="22">
        <x:v>3</x:v>
      </x:c>
      <x:c r="L289" s="24" t="s">
        <x:v>550</x:v>
      </x:c>
      <x:c r="M289" s="24">
        <x:v>1551</x:v>
      </x:c>
      <x:c r="N289" s="27" t="s">
        <x:v>550</x:v>
      </x:c>
      <x:c r="O289" s="27">
        <x:v>1551</x:v>
      </x:c>
      <x:c r="P289" s="26"/>
      <x:c r="Q289" s="27">
        <x:v>1</x:v>
      </x:c>
      <x:c r="R289" s="27"/>
      <x:c r="S289" s="22">
        <x:f>IF(N289="","تکمیل نشده",IF(N289="بدون تفصیلی (ثبت روی خود معین)","OK",IF(N289="ادغام با تفصیلی دیگر",IF(O289="","کلید مقصد خالی است",IF(IFERROR(MATCH(O289*1,$A:$A,0),0)=0,"کلید مقصد در این فهرست نیست",IF(O289*1=A289,"ادغام با خودش","OK"))),IF(Q289="","سطح شناور خالی است",IF(AND(FALSE,OR(Q289=1,Q289=2)),"سطح ۱ و ۲ این معین مال فعالیت و مرکز هزینه است","OK")))))</x:f>
      </x:c>
      <x:c r="T289" s="28"/>
    </x:row>
    <x:row r="290" spans="1:20">
      <x:c r="A290" s="21">
        <x:v>2533</x:v>
      </x:c>
      <x:c r="B290" s="22" t="s">
        <x:v>81</x:v>
      </x:c>
      <x:c r="C290" s="22" t="s">
        <x:v>258</x:v>
      </x:c>
      <x:c r="D290" s="22" t="s">
        <x:v>854</x:v>
      </x:c>
      <x:c r="E290" s="22" t="s">
        <x:v>855</x:v>
      </x:c>
      <x:c r="F290" s="22" t="s">
        <x:v>259</x:v>
      </x:c>
      <x:c r="G290" s="22">
        <x:v>6</x:v>
      </x:c>
      <x:c r="H290" s="23">
        <x:v>992330856</x:v>
      </x:c>
      <x:c r="I290" s="23">
        <x:v>344596515</x:v>
      </x:c>
      <x:c r="J290" s="23">
        <x:f>H290-I290</x:f>
      </x:c>
      <x:c r="K290" s="22">
        <x:v>2</x:v>
      </x:c>
      <x:c r="L290" s="24" t="s">
        <x:v>550</x:v>
      </x:c>
      <x:c r="M290" s="24">
        <x:v>2484</x:v>
      </x:c>
      <x:c r="N290" s="27" t="s">
        <x:v>550</x:v>
      </x:c>
      <x:c r="O290" s="27">
        <x:v>2484</x:v>
      </x:c>
      <x:c r="P290" s="26"/>
      <x:c r="Q290" s="27">
        <x:v>1</x:v>
      </x:c>
      <x:c r="R290" s="27"/>
      <x:c r="S290" s="22">
        <x:f>IF(N290="","تکمیل نشده",IF(N290="بدون تفصیلی (ثبت روی خود معین)","OK",IF(N290="ادغام با تفصیلی دیگر",IF(O290="","کلید مقصد خالی است",IF(IFERROR(MATCH(O290*1,$A:$A,0),0)=0,"کلید مقصد در این فهرست نیست",IF(O290*1=A290,"ادغام با خودش","OK"))),IF(Q290="","سطح شناور خالی است",IF(AND(FALSE,OR(Q290=1,Q290=2)),"سطح ۱ و ۲ این معین مال فعالیت و مرکز هزینه است","OK")))))</x:f>
      </x:c>
      <x:c r="T290" s="28"/>
    </x:row>
    <x:row r="291" spans="1:20">
      <x:c r="A291" s="21">
        <x:v>2534</x:v>
      </x:c>
      <x:c r="B291" s="22" t="s">
        <x:v>81</x:v>
      </x:c>
      <x:c r="C291" s="22" t="s">
        <x:v>258</x:v>
      </x:c>
      <x:c r="D291" s="22" t="s">
        <x:v>856</x:v>
      </x:c>
      <x:c r="E291" s="22" t="s">
        <x:v>857</x:v>
      </x:c>
      <x:c r="F291" s="22" t="s">
        <x:v>259</x:v>
      </x:c>
      <x:c r="G291" s="22">
        <x:v>6</x:v>
      </x:c>
      <x:c r="H291" s="23">
        <x:v>910371850</x:v>
      </x:c>
      <x:c r="I291" s="23">
        <x:v>182074370</x:v>
      </x:c>
      <x:c r="J291" s="23">
        <x:f>H291-I291</x:f>
      </x:c>
      <x:c r="K291" s="22">
        <x:v>2</x:v>
      </x:c>
      <x:c r="L291" s="24" t="s">
        <x:v>550</x:v>
      </x:c>
      <x:c r="M291" s="24">
        <x:v>2485</x:v>
      </x:c>
      <x:c r="N291" s="27" t="s">
        <x:v>550</x:v>
      </x:c>
      <x:c r="O291" s="27">
        <x:v>2485</x:v>
      </x:c>
      <x:c r="P291" s="26"/>
      <x:c r="Q291" s="27">
        <x:v>1</x:v>
      </x:c>
      <x:c r="R291" s="27"/>
      <x:c r="S291" s="22">
        <x:f>IF(N291="","تکمیل نشده",IF(N291="بدون تفصیلی (ثبت روی خود معین)","OK",IF(N291="ادغام با تفصیلی دیگر",IF(O291="","کلید مقصد خالی است",IF(IFERROR(MATCH(O291*1,$A:$A,0),0)=0,"کلید مقصد در این فهرست نیست",IF(O291*1=A291,"ادغام با خودش","OK"))),IF(Q291="","سطح شناور خالی است",IF(AND(FALSE,OR(Q291=1,Q291=2)),"سطح ۱ و ۲ این معین مال فعالیت و مرکز هزینه است","OK")))))</x:f>
      </x:c>
      <x:c r="T291" s="28"/>
    </x:row>
    <x:row r="292" spans="1:20">
      <x:c r="A292" s="21">
        <x:v>2535</x:v>
      </x:c>
      <x:c r="B292" s="22" t="s">
        <x:v>81</x:v>
      </x:c>
      <x:c r="C292" s="22" t="s">
        <x:v>258</x:v>
      </x:c>
      <x:c r="D292" s="22" t="s">
        <x:v>858</x:v>
      </x:c>
      <x:c r="E292" s="22" t="s">
        <x:v>917</x:v>
      </x:c>
      <x:c r="F292" s="22" t="s">
        <x:v>259</x:v>
      </x:c>
      <x:c r="G292" s="22">
        <x:v>6</x:v>
      </x:c>
      <x:c r="H292" s="23">
        <x:v>94577130</x:v>
      </x:c>
      <x:c r="I292" s="23">
        <x:v>18915426</x:v>
      </x:c>
      <x:c r="J292" s="23">
        <x:f>H292-I292</x:f>
      </x:c>
      <x:c r="K292" s="22">
        <x:v>1</x:v>
      </x:c>
      <x:c r="L292" s="24" t="s">
        <x:v>548</x:v>
      </x:c>
      <x:c r="M292" s="24"/>
      <x:c r="N292" s="27" t="s">
        <x:v>548</x:v>
      </x:c>
      <x:c r="O292" s="27"/>
      <x:c r="P292" s="26"/>
      <x:c r="Q292" s="27">
        <x:v>1</x:v>
      </x:c>
      <x:c r="R292" s="27"/>
      <x:c r="S292" s="22">
        <x:f>IF(N292="","تکمیل نشده",IF(N292="بدون تفصیلی (ثبت روی خود معین)","OK",IF(N292="ادغام با تفصیلی دیگر",IF(O292="","کلید مقصد خالی است",IF(IFERROR(MATCH(O292*1,$A:$A,0),0)=0,"کلید مقصد در این فهرست نیست",IF(O292*1=A292,"ادغام با خودش","OK"))),IF(Q292="","سطح شناور خالی است",IF(AND(FALSE,OR(Q292=1,Q292=2)),"سطح ۱ و ۲ این معین مال فعالیت و مرکز هزینه است","OK")))))</x:f>
      </x:c>
      <x:c r="T292" s="28"/>
    </x:row>
    <x:row r="293" spans="1:20">
      <x:c r="A293" s="21">
        <x:v>2536</x:v>
      </x:c>
      <x:c r="B293" s="22" t="s">
        <x:v>81</x:v>
      </x:c>
      <x:c r="C293" s="22" t="s">
        <x:v>258</x:v>
      </x:c>
      <x:c r="D293" s="22" t="s">
        <x:v>859</x:v>
      </x:c>
      <x:c r="E293" s="22" t="s">
        <x:v>860</x:v>
      </x:c>
      <x:c r="F293" s="22" t="s">
        <x:v>259</x:v>
      </x:c>
      <x:c r="G293" s="22">
        <x:v>6</x:v>
      </x:c>
      <x:c r="H293" s="23">
        <x:v>684448680</x:v>
      </x:c>
      <x:c r="I293" s="23">
        <x:v>206915452</x:v>
      </x:c>
      <x:c r="J293" s="23">
        <x:f>H293-I293</x:f>
      </x:c>
      <x:c r="K293" s="22">
        <x:v>2</x:v>
      </x:c>
      <x:c r="L293" s="24" t="s">
        <x:v>550</x:v>
      </x:c>
      <x:c r="M293" s="24">
        <x:v>2487</x:v>
      </x:c>
      <x:c r="N293" s="27" t="s">
        <x:v>550</x:v>
      </x:c>
      <x:c r="O293" s="27">
        <x:v>2487</x:v>
      </x:c>
      <x:c r="P293" s="26"/>
      <x:c r="Q293" s="27">
        <x:v>1</x:v>
      </x:c>
      <x:c r="R293" s="27"/>
      <x:c r="S293" s="22">
        <x:f>IF(N293="","تکمیل نشده",IF(N293="بدون تفصیلی (ثبت روی خود معین)","OK",IF(N293="ادغام با تفصیلی دیگر",IF(O293="","کلید مقصد خالی است",IF(IFERROR(MATCH(O293*1,$A:$A,0),0)=0,"کلید مقصد در این فهرست نیست",IF(O293*1=A293,"ادغام با خودش","OK"))),IF(Q293="","سطح شناور خالی است",IF(AND(FALSE,OR(Q293=1,Q293=2)),"سطح ۱ و ۲ این معین مال فعالیت و مرکز هزینه است","OK")))))</x:f>
      </x:c>
      <x:c r="T293" s="28"/>
    </x:row>
    <x:row r="294" spans="1:20">
      <x:c r="A294" s="21">
        <x:v>2537</x:v>
      </x:c>
      <x:c r="B294" s="22" t="s">
        <x:v>81</x:v>
      </x:c>
      <x:c r="C294" s="22" t="s">
        <x:v>258</x:v>
      </x:c>
      <x:c r="D294" s="22" t="s">
        <x:v>861</x:v>
      </x:c>
      <x:c r="E294" s="22" t="s">
        <x:v>862</x:v>
      </x:c>
      <x:c r="F294" s="22" t="s">
        <x:v>259</x:v>
      </x:c>
      <x:c r="G294" s="22">
        <x:v>6</x:v>
      </x:c>
      <x:c r="H294" s="23">
        <x:v>1102975924</x:v>
      </x:c>
      <x:c r="I294" s="23">
        <x:v>372898722</x:v>
      </x:c>
      <x:c r="J294" s="23">
        <x:f>H294-I294</x:f>
      </x:c>
      <x:c r="K294" s="22">
        <x:v>2</x:v>
      </x:c>
      <x:c r="L294" s="24" t="s">
        <x:v>550</x:v>
      </x:c>
      <x:c r="M294" s="24">
        <x:v>2488</x:v>
      </x:c>
      <x:c r="N294" s="27" t="s">
        <x:v>550</x:v>
      </x:c>
      <x:c r="O294" s="27">
        <x:v>2488</x:v>
      </x:c>
      <x:c r="P294" s="26"/>
      <x:c r="Q294" s="27">
        <x:v>1</x:v>
      </x:c>
      <x:c r="R294" s="27"/>
      <x:c r="S294" s="22">
        <x:f>IF(N294="","تکمیل نشده",IF(N294="بدون تفصیلی (ثبت روی خود معین)","OK",IF(N294="ادغام با تفصیلی دیگر",IF(O294="","کلید مقصد خالی است",IF(IFERROR(MATCH(O294*1,$A:$A,0),0)=0,"کلید مقصد در این فهرست نیست",IF(O294*1=A294,"ادغام با خودش","OK"))),IF(Q294="","سطح شناور خالی است",IF(AND(FALSE,OR(Q294=1,Q294=2)),"سطح ۱ و ۲ این معین مال فعالیت و مرکز هزینه است","OK")))))</x:f>
      </x:c>
      <x:c r="T294" s="28"/>
    </x:row>
    <x:row r="295" spans="1:20">
      <x:c r="A295" s="21">
        <x:v>2538</x:v>
      </x:c>
      <x:c r="B295" s="22" t="s">
        <x:v>81</x:v>
      </x:c>
      <x:c r="C295" s="22" t="s">
        <x:v>258</x:v>
      </x:c>
      <x:c r="D295" s="22" t="s">
        <x:v>863</x:v>
      </x:c>
      <x:c r="E295" s="22" t="s">
        <x:v>682</x:v>
      </x:c>
      <x:c r="F295" s="22" t="s">
        <x:v>259</x:v>
      </x:c>
      <x:c r="G295" s="22">
        <x:v>5</x:v>
      </x:c>
      <x:c r="H295" s="23">
        <x:v>76266384</x:v>
      </x:c>
      <x:c r="I295" s="23">
        <x:v>19066596</x:v>
      </x:c>
      <x:c r="J295" s="23">
        <x:f>H295-I295</x:f>
      </x:c>
      <x:c r="K295" s="22">
        <x:v>3</x:v>
      </x:c>
      <x:c r="L295" s="24" t="s">
        <x:v>550</x:v>
      </x:c>
      <x:c r="M295" s="24">
        <x:v>664</x:v>
      </x:c>
      <x:c r="N295" s="27" t="s">
        <x:v>550</x:v>
      </x:c>
      <x:c r="O295" s="27">
        <x:v>664</x:v>
      </x:c>
      <x:c r="P295" s="26"/>
      <x:c r="Q295" s="27">
        <x:v>1</x:v>
      </x:c>
      <x:c r="R295" s="27"/>
      <x:c r="S295" s="22">
        <x:f>IF(N295="","تکمیل نشده",IF(N295="بدون تفصیلی (ثبت روی خود معین)","OK",IF(N295="ادغام با تفصیلی دیگر",IF(O295="","کلید مقصد خالی است",IF(IFERROR(MATCH(O295*1,$A:$A,0),0)=0,"کلید مقصد در این فهرست نیست",IF(O295*1=A295,"ادغام با خودش","OK"))),IF(Q295="","سطح شناور خالی است",IF(AND(FALSE,OR(Q295=1,Q295=2)),"سطح ۱ و ۲ این معین مال فعالیت و مرکز هزینه است","OK")))))</x:f>
      </x:c>
      <x:c r="T295" s="28"/>
    </x:row>
    <x:row r="296" spans="1:20">
      <x:c r="A296" s="21">
        <x:v>2539</x:v>
      </x:c>
      <x:c r="B296" s="22" t="s">
        <x:v>81</x:v>
      </x:c>
      <x:c r="C296" s="22" t="s">
        <x:v>258</x:v>
      </x:c>
      <x:c r="D296" s="22" t="s">
        <x:v>864</x:v>
      </x:c>
      <x:c r="E296" s="22" t="s">
        <x:v>865</x:v>
      </x:c>
      <x:c r="F296" s="22" t="s">
        <x:v>259</x:v>
      </x:c>
      <x:c r="G296" s="22">
        <x:v>6</x:v>
      </x:c>
      <x:c r="H296" s="23">
        <x:v>459313729</x:v>
      </x:c>
      <x:c r="I296" s="23">
        <x:v>107588926</x:v>
      </x:c>
      <x:c r="J296" s="23">
        <x:f>H296-I296</x:f>
      </x:c>
      <x:c r="K296" s="22">
        <x:v>2</x:v>
      </x:c>
      <x:c r="L296" s="24" t="s">
        <x:v>550</x:v>
      </x:c>
      <x:c r="M296" s="24">
        <x:v>2490</x:v>
      </x:c>
      <x:c r="N296" s="27" t="s">
        <x:v>550</x:v>
      </x:c>
      <x:c r="O296" s="27">
        <x:v>2490</x:v>
      </x:c>
      <x:c r="P296" s="26"/>
      <x:c r="Q296" s="27">
        <x:v>1</x:v>
      </x:c>
      <x:c r="R296" s="27"/>
      <x:c r="S296" s="22">
        <x:f>IF(N296="","تکمیل نشده",IF(N296="بدون تفصیلی (ثبت روی خود معین)","OK",IF(N296="ادغام با تفصیلی دیگر",IF(O296="","کلید مقصد خالی است",IF(IFERROR(MATCH(O296*1,$A:$A,0),0)=0,"کلید مقصد در این فهرست نیست",IF(O296*1=A296,"ادغام با خودش","OK"))),IF(Q296="","سطح شناور خالی است",IF(AND(FALSE,OR(Q296=1,Q296=2)),"سطح ۱ و ۲ این معین مال فعالیت و مرکز هزینه است","OK")))))</x:f>
      </x:c>
      <x:c r="T296" s="28"/>
    </x:row>
    <x:row r="297" spans="1:20">
      <x:c r="A297" s="21">
        <x:v>3608</x:v>
      </x:c>
      <x:c r="B297" s="22" t="s">
        <x:v>81</x:v>
      </x:c>
      <x:c r="C297" s="22" t="s">
        <x:v>258</x:v>
      </x:c>
      <x:c r="D297" s="22" t="s">
        <x:v>866</x:v>
      </x:c>
      <x:c r="E297" s="22" t="s">
        <x:v>867</x:v>
      </x:c>
      <x:c r="F297" s="22" t="s">
        <x:v>259</x:v>
      </x:c>
      <x:c r="G297" s="22">
        <x:v>2</x:v>
      </x:c>
      <x:c r="H297" s="23">
        <x:v>0</x:v>
      </x:c>
      <x:c r="I297" s="23">
        <x:v>43225498</x:v>
      </x:c>
      <x:c r="J297" s="23">
        <x:f>H297-I297</x:f>
      </x:c>
      <x:c r="K297" s="22">
        <x:v>2</x:v>
      </x:c>
      <x:c r="L297" s="24" t="s">
        <x:v>550</x:v>
      </x:c>
      <x:c r="M297" s="24">
        <x:v>3607</x:v>
      </x:c>
      <x:c r="N297" s="27" t="s">
        <x:v>550</x:v>
      </x:c>
      <x:c r="O297" s="27">
        <x:v>3607</x:v>
      </x:c>
      <x:c r="P297" s="26"/>
      <x:c r="Q297" s="27">
        <x:v>1</x:v>
      </x:c>
      <x:c r="R297" s="27"/>
      <x:c r="S297" s="22">
        <x:f>IF(N297="","تکمیل نشده",IF(N297="بدون تفصیلی (ثبت روی خود معین)","OK",IF(N297="ادغام با تفصیلی دیگر",IF(O297="","کلید مقصد خالی است",IF(IFERROR(MATCH(O297*1,$A:$A,0),0)=0,"کلید مقصد در این فهرست نیست",IF(O297*1=A297,"ادغام با خودش","OK"))),IF(Q297="","سطح شناور خالی است",IF(AND(FALSE,OR(Q297=1,Q297=2)),"سطح ۱ و ۲ این معین مال فعالیت و مرکز هزینه است","OK")))))</x:f>
      </x:c>
      <x:c r="T297" s="28"/>
    </x:row>
    <x:row r="298" spans="1:20">
      <x:c r="A298" s="21">
        <x:v>2541</x:v>
      </x:c>
      <x:c r="B298" s="22" t="s">
        <x:v>81</x:v>
      </x:c>
      <x:c r="C298" s="22" t="s">
        <x:v>258</x:v>
      </x:c>
      <x:c r="D298" s="22" t="s">
        <x:v>868</x:v>
      </x:c>
      <x:c r="E298" s="22" t="s">
        <x:v>869</x:v>
      </x:c>
      <x:c r="F298" s="22" t="s">
        <x:v>259</x:v>
      </x:c>
      <x:c r="G298" s="22">
        <x:v>6</x:v>
      </x:c>
      <x:c r="H298" s="23">
        <x:v>301149577</x:v>
      </x:c>
      <x:c r="I298" s="23">
        <x:v>62100241</x:v>
      </x:c>
      <x:c r="J298" s="23">
        <x:f>H298-I298</x:f>
      </x:c>
      <x:c r="K298" s="22">
        <x:v>2</x:v>
      </x:c>
      <x:c r="L298" s="24" t="s">
        <x:v>550</x:v>
      </x:c>
      <x:c r="M298" s="24">
        <x:v>2492</x:v>
      </x:c>
      <x:c r="N298" s="27" t="s">
        <x:v>550</x:v>
      </x:c>
      <x:c r="O298" s="27">
        <x:v>2492</x:v>
      </x:c>
      <x:c r="P298" s="26"/>
      <x:c r="Q298" s="27">
        <x:v>1</x:v>
      </x:c>
      <x:c r="R298" s="27"/>
      <x:c r="S298" s="22">
        <x:f>IF(N298="","تکمیل نشده",IF(N298="بدون تفصیلی (ثبت روی خود معین)","OK",IF(N298="ادغام با تفصیلی دیگر",IF(O298="","کلید مقصد خالی است",IF(IFERROR(MATCH(O298*1,$A:$A,0),0)=0,"کلید مقصد در این فهرست نیست",IF(O298*1=A298,"ادغام با خودش","OK"))),IF(Q298="","سطح شناور خالی است",IF(AND(FALSE,OR(Q298=1,Q298=2)),"سطح ۱ و ۲ این معین مال فعالیت و مرکز هزینه است","OK")))))</x:f>
      </x:c>
      <x:c r="T298" s="28"/>
    </x:row>
    <x:row r="299" spans="1:20">
      <x:c r="A299" s="21">
        <x:v>3820</x:v>
      </x:c>
      <x:c r="B299" s="22" t="s">
        <x:v>81</x:v>
      </x:c>
      <x:c r="C299" s="22" t="s">
        <x:v>258</x:v>
      </x:c>
      <x:c r="D299" s="22" t="s">
        <x:v>870</x:v>
      </x:c>
      <x:c r="E299" s="22" t="s">
        <x:v>684</x:v>
      </x:c>
      <x:c r="F299" s="22" t="s">
        <x:v>259</x:v>
      </x:c>
      <x:c r="G299" s="22">
        <x:v>2</x:v>
      </x:c>
      <x:c r="H299" s="23">
        <x:v>1545246962</x:v>
      </x:c>
      <x:c r="I299" s="23">
        <x:v>1790449184</x:v>
      </x:c>
      <x:c r="J299" s="23">
        <x:f>H299-I299</x:f>
      </x:c>
      <x:c r="K299" s="22">
        <x:v>3</x:v>
      </x:c>
      <x:c r="L299" s="24" t="s">
        <x:v>550</x:v>
      </x:c>
      <x:c r="M299" s="24">
        <x:v>3818</x:v>
      </x:c>
      <x:c r="N299" s="27" t="s">
        <x:v>550</x:v>
      </x:c>
      <x:c r="O299" s="27">
        <x:v>3818</x:v>
      </x:c>
      <x:c r="P299" s="26"/>
      <x:c r="Q299" s="27">
        <x:v>1</x:v>
      </x:c>
      <x:c r="R299" s="27"/>
      <x:c r="S299" s="22">
        <x:f>IF(N299="","تکمیل نشده",IF(N299="بدون تفصیلی (ثبت روی خود معین)","OK",IF(N299="ادغام با تفصیلی دیگر",IF(O299="","کلید مقصد خالی است",IF(IFERROR(MATCH(O299*1,$A:$A,0),0)=0,"کلید مقصد در این فهرست نیست",IF(O299*1=A299,"ادغام با خودش","OK"))),IF(Q299="","سطح شناور خالی است",IF(AND(FALSE,OR(Q299=1,Q299=2)),"سطح ۱ و ۲ این معین مال فعالیت و مرکز هزینه است","OK")))))</x:f>
      </x:c>
      <x:c r="T299" s="28"/>
    </x:row>
    <x:row r="300" spans="1:20">
      <x:c r="A300" s="21">
        <x:v>3604</x:v>
      </x:c>
      <x:c r="B300" s="22" t="s">
        <x:v>81</x:v>
      </x:c>
      <x:c r="C300" s="22" t="s">
        <x:v>258</x:v>
      </x:c>
      <x:c r="D300" s="22" t="s">
        <x:v>871</x:v>
      </x:c>
      <x:c r="E300" s="22" t="s">
        <x:v>872</x:v>
      </x:c>
      <x:c r="F300" s="22" t="s">
        <x:v>259</x:v>
      </x:c>
      <x:c r="G300" s="22">
        <x:v>2</x:v>
      </x:c>
      <x:c r="H300" s="23">
        <x:v>27397485</x:v>
      </x:c>
      <x:c r="I300" s="23">
        <x:v>151275279</x:v>
      </x:c>
      <x:c r="J300" s="23">
        <x:f>H300-I300</x:f>
      </x:c>
      <x:c r="K300" s="22">
        <x:v>2</x:v>
      </x:c>
      <x:c r="L300" s="24" t="s">
        <x:v>550</x:v>
      </x:c>
      <x:c r="M300" s="24">
        <x:v>3603</x:v>
      </x:c>
      <x:c r="N300" s="27" t="s">
        <x:v>550</x:v>
      </x:c>
      <x:c r="O300" s="27">
        <x:v>3603</x:v>
      </x:c>
      <x:c r="P300" s="26"/>
      <x:c r="Q300" s="27">
        <x:v>1</x:v>
      </x:c>
      <x:c r="R300" s="27"/>
      <x:c r="S300" s="22">
        <x:f>IF(N300="","تکمیل نشده",IF(N300="بدون تفصیلی (ثبت روی خود معین)","OK",IF(N300="ادغام با تفصیلی دیگر",IF(O300="","کلید مقصد خالی است",IF(IFERROR(MATCH(O300*1,$A:$A,0),0)=0,"کلید مقصد در این فهرست نیست",IF(O300*1=A300,"ادغام با خودش","OK"))),IF(Q300="","سطح شناور خالی است",IF(AND(FALSE,OR(Q300=1,Q300=2)),"سطح ۱ و ۲ این معین مال فعالیت و مرکز هزینه است","OK")))))</x:f>
      </x:c>
      <x:c r="T300" s="28"/>
    </x:row>
    <x:row r="301" spans="1:20">
      <x:c r="A301" s="21">
        <x:v>2542</x:v>
      </x:c>
      <x:c r="B301" s="22" t="s">
        <x:v>81</x:v>
      </x:c>
      <x:c r="C301" s="22" t="s">
        <x:v>258</x:v>
      </x:c>
      <x:c r="D301" s="22" t="s">
        <x:v>873</x:v>
      </x:c>
      <x:c r="E301" s="22" t="s">
        <x:v>874</x:v>
      </x:c>
      <x:c r="F301" s="22" t="s">
        <x:v>259</x:v>
      </x:c>
      <x:c r="G301" s="22">
        <x:v>6</x:v>
      </x:c>
      <x:c r="H301" s="23">
        <x:v>817712940</x:v>
      </x:c>
      <x:c r="I301" s="23">
        <x:v>274207030</x:v>
      </x:c>
      <x:c r="J301" s="23">
        <x:f>H301-I301</x:f>
      </x:c>
      <x:c r="K301" s="22">
        <x:v>2</x:v>
      </x:c>
      <x:c r="L301" s="24" t="s">
        <x:v>550</x:v>
      </x:c>
      <x:c r="M301" s="24">
        <x:v>2493</x:v>
      </x:c>
      <x:c r="N301" s="27" t="s">
        <x:v>550</x:v>
      </x:c>
      <x:c r="O301" s="27">
        <x:v>2493</x:v>
      </x:c>
      <x:c r="P301" s="26"/>
      <x:c r="Q301" s="27">
        <x:v>1</x:v>
      </x:c>
      <x:c r="R301" s="27"/>
      <x:c r="S301" s="22">
        <x:f>IF(N301="","تکمیل نشده",IF(N301="بدون تفصیلی (ثبت روی خود معین)","OK",IF(N301="ادغام با تفصیلی دیگر",IF(O301="","کلید مقصد خالی است",IF(IFERROR(MATCH(O301*1,$A:$A,0),0)=0,"کلید مقصد در این فهرست نیست",IF(O301*1=A301,"ادغام با خودش","OK"))),IF(Q301="","سطح شناور خالی است",IF(AND(FALSE,OR(Q301=1,Q301=2)),"سطح ۱ و ۲ این معین مال فعالیت و مرکز هزینه است","OK")))))</x:f>
      </x:c>
      <x:c r="T301" s="28"/>
    </x:row>
    <x:row r="302" spans="1:20">
      <x:c r="A302" s="21">
        <x:v>3705</x:v>
      </x:c>
      <x:c r="B302" s="22" t="s">
        <x:v>81</x:v>
      </x:c>
      <x:c r="C302" s="22" t="s">
        <x:v>258</x:v>
      </x:c>
      <x:c r="D302" s="22" t="s">
        <x:v>875</x:v>
      </x:c>
      <x:c r="E302" s="22" t="s">
        <x:v>876</x:v>
      </x:c>
      <x:c r="F302" s="22" t="s">
        <x:v>259</x:v>
      </x:c>
      <x:c r="G302" s="22">
        <x:v>2</x:v>
      </x:c>
      <x:c r="H302" s="23">
        <x:v>0</x:v>
      </x:c>
      <x:c r="I302" s="23">
        <x:v>155791205</x:v>
      </x:c>
      <x:c r="J302" s="23">
        <x:f>H302-I302</x:f>
      </x:c>
      <x:c r="K302" s="22">
        <x:v>2</x:v>
      </x:c>
      <x:c r="L302" s="24" t="s">
        <x:v>550</x:v>
      </x:c>
      <x:c r="M302" s="24">
        <x:v>3704</x:v>
      </x:c>
      <x:c r="N302" s="27" t="s">
        <x:v>550</x:v>
      </x:c>
      <x:c r="O302" s="27">
        <x:v>3704</x:v>
      </x:c>
      <x:c r="P302" s="26"/>
      <x:c r="Q302" s="27">
        <x:v>1</x:v>
      </x:c>
      <x:c r="R302" s="27"/>
      <x:c r="S302" s="22">
        <x:f>IF(N302="","تکمیل نشده",IF(N302="بدون تفصیلی (ثبت روی خود معین)","OK",IF(N302="ادغام با تفصیلی دیگر",IF(O302="","کلید مقصد خالی است",IF(IFERROR(MATCH(O302*1,$A:$A,0),0)=0,"کلید مقصد در این فهرست نیست",IF(O302*1=A302,"ادغام با خودش","OK"))),IF(Q302="","سطح شناور خالی است",IF(AND(FALSE,OR(Q302=1,Q302=2)),"سطح ۱ و ۲ این معین مال فعالیت و مرکز هزینه است","OK")))))</x:f>
      </x:c>
      <x:c r="T302" s="28"/>
    </x:row>
    <x:row r="303" spans="1:20">
      <x:c r="A303" s="21">
        <x:v>2543</x:v>
      </x:c>
      <x:c r="B303" s="22" t="s">
        <x:v>81</x:v>
      </x:c>
      <x:c r="C303" s="22" t="s">
        <x:v>258</x:v>
      </x:c>
      <x:c r="D303" s="22" t="s">
        <x:v>877</x:v>
      </x:c>
      <x:c r="E303" s="22" t="s">
        <x:v>743</x:v>
      </x:c>
      <x:c r="F303" s="22" t="s">
        <x:v>259</x:v>
      </x:c>
      <x:c r="G303" s="22">
        <x:v>6</x:v>
      </x:c>
      <x:c r="H303" s="23">
        <x:v>35173370</x:v>
      </x:c>
      <x:c r="I303" s="23">
        <x:v>7034674</x:v>
      </x:c>
      <x:c r="J303" s="23">
        <x:f>H303-I303</x:f>
      </x:c>
      <x:c r="K303" s="22">
        <x:v>4</x:v>
      </x:c>
      <x:c r="L303" s="24" t="s">
        <x:v>550</x:v>
      </x:c>
      <x:c r="M303" s="24">
        <x:v>576</x:v>
      </x:c>
      <x:c r="N303" s="27" t="s">
        <x:v>550</x:v>
      </x:c>
      <x:c r="O303" s="27">
        <x:v>576</x:v>
      </x:c>
      <x:c r="P303" s="26"/>
      <x:c r="Q303" s="27">
        <x:v>1</x:v>
      </x:c>
      <x:c r="R303" s="27"/>
      <x:c r="S303" s="22">
        <x:f>IF(N303="","تکمیل نشده",IF(N303="بدون تفصیلی (ثبت روی خود معین)","OK",IF(N303="ادغام با تفصیلی دیگر",IF(O303="","کلید مقصد خالی است",IF(IFERROR(MATCH(O303*1,$A:$A,0),0)=0,"کلید مقصد در این فهرست نیست",IF(O303*1=A303,"ادغام با خودش","OK"))),IF(Q303="","سطح شناور خالی است",IF(AND(FALSE,OR(Q303=1,Q303=2)),"سطح ۱ و ۲ این معین مال فعالیت و مرکز هزینه است","OK")))))</x:f>
      </x:c>
      <x:c r="T303" s="28"/>
    </x:row>
    <x:row r="304" spans="1:20">
      <x:c r="A304" s="21">
        <x:v>2544</x:v>
      </x:c>
      <x:c r="B304" s="22" t="s">
        <x:v>81</x:v>
      </x:c>
      <x:c r="C304" s="22" t="s">
        <x:v>258</x:v>
      </x:c>
      <x:c r="D304" s="22" t="s">
        <x:v>878</x:v>
      </x:c>
      <x:c r="E304" s="22" t="s">
        <x:v>879</x:v>
      </x:c>
      <x:c r="F304" s="22" t="s">
        <x:v>259</x:v>
      </x:c>
      <x:c r="G304" s="22">
        <x:v>6</x:v>
      </x:c>
      <x:c r="H304" s="23">
        <x:v>913038672</x:v>
      </x:c>
      <x:c r="I304" s="23">
        <x:v>264395725</x:v>
      </x:c>
      <x:c r="J304" s="23">
        <x:f>H304-I304</x:f>
      </x:c>
      <x:c r="K304" s="22">
        <x:v>2</x:v>
      </x:c>
      <x:c r="L304" s="24" t="s">
        <x:v>550</x:v>
      </x:c>
      <x:c r="M304" s="24">
        <x:v>2495</x:v>
      </x:c>
      <x:c r="N304" s="27" t="s">
        <x:v>550</x:v>
      </x:c>
      <x:c r="O304" s="27">
        <x:v>2495</x:v>
      </x:c>
      <x:c r="P304" s="26"/>
      <x:c r="Q304" s="27">
        <x:v>1</x:v>
      </x:c>
      <x:c r="R304" s="27"/>
      <x:c r="S304" s="22">
        <x:f>IF(N304="","تکمیل نشده",IF(N304="بدون تفصیلی (ثبت روی خود معین)","OK",IF(N304="ادغام با تفصیلی دیگر",IF(O304="","کلید مقصد خالی است",IF(IFERROR(MATCH(O304*1,$A:$A,0),0)=0,"کلید مقصد در این فهرست نیست",IF(O304*1=A304,"ادغام با خودش","OK"))),IF(Q304="","سطح شناور خالی است",IF(AND(FALSE,OR(Q304=1,Q304=2)),"سطح ۱ و ۲ این معین مال فعالیت و مرکز هزینه است","OK")))))</x:f>
      </x:c>
      <x:c r="T304" s="28"/>
    </x:row>
    <x:row r="305" spans="1:20">
      <x:c r="A305" s="21">
        <x:v>2545</x:v>
      </x:c>
      <x:c r="B305" s="22" t="s">
        <x:v>81</x:v>
      </x:c>
      <x:c r="C305" s="22" t="s">
        <x:v>258</x:v>
      </x:c>
      <x:c r="D305" s="22" t="s">
        <x:v>880</x:v>
      </x:c>
      <x:c r="E305" s="22" t="s">
        <x:v>881</x:v>
      </x:c>
      <x:c r="F305" s="22" t="s">
        <x:v>259</x:v>
      </x:c>
      <x:c r="G305" s="22">
        <x:v>6</x:v>
      </x:c>
      <x:c r="H305" s="23">
        <x:v>54266866</x:v>
      </x:c>
      <x:c r="I305" s="23">
        <x:v>11741920</x:v>
      </x:c>
      <x:c r="J305" s="23">
        <x:f>H305-I305</x:f>
      </x:c>
      <x:c r="K305" s="22">
        <x:v>2</x:v>
      </x:c>
      <x:c r="L305" s="24" t="s">
        <x:v>550</x:v>
      </x:c>
      <x:c r="M305" s="24">
        <x:v>2496</x:v>
      </x:c>
      <x:c r="N305" s="27" t="s">
        <x:v>550</x:v>
      </x:c>
      <x:c r="O305" s="27">
        <x:v>2496</x:v>
      </x:c>
      <x:c r="P305" s="26"/>
      <x:c r="Q305" s="27">
        <x:v>1</x:v>
      </x:c>
      <x:c r="R305" s="27"/>
      <x:c r="S305" s="22">
        <x:f>IF(N305="","تکمیل نشده",IF(N305="بدون تفصیلی (ثبت روی خود معین)","OK",IF(N305="ادغام با تفصیلی دیگر",IF(O305="","کلید مقصد خالی است",IF(IFERROR(MATCH(O305*1,$A:$A,0),0)=0,"کلید مقصد در این فهرست نیست",IF(O305*1=A305,"ادغام با خودش","OK"))),IF(Q305="","سطح شناور خالی است",IF(AND(FALSE,OR(Q305=1,Q305=2)),"سطح ۱ و ۲ این معین مال فعالیت و مرکز هزینه است","OK")))))</x:f>
      </x:c>
      <x:c r="T305" s="28"/>
    </x:row>
    <x:row r="306" spans="1:20">
      <x:c r="A306" s="21">
        <x:v>2546</x:v>
      </x:c>
      <x:c r="B306" s="22" t="s">
        <x:v>81</x:v>
      </x:c>
      <x:c r="C306" s="22" t="s">
        <x:v>258</x:v>
      </x:c>
      <x:c r="D306" s="22" t="s">
        <x:v>882</x:v>
      </x:c>
      <x:c r="E306" s="22" t="s">
        <x:v>883</x:v>
      </x:c>
      <x:c r="F306" s="22" t="s">
        <x:v>259</x:v>
      </x:c>
      <x:c r="G306" s="22">
        <x:v>6</x:v>
      </x:c>
      <x:c r="H306" s="23">
        <x:v>518327252</x:v>
      </x:c>
      <x:c r="I306" s="23">
        <x:v>183542596</x:v>
      </x:c>
      <x:c r="J306" s="23">
        <x:f>H306-I306</x:f>
      </x:c>
      <x:c r="K306" s="22">
        <x:v>3</x:v>
      </x:c>
      <x:c r="L306" s="24" t="s">
        <x:v>550</x:v>
      </x:c>
      <x:c r="M306" s="24">
        <x:v>562</x:v>
      </x:c>
      <x:c r="N306" s="27" t="s">
        <x:v>550</x:v>
      </x:c>
      <x:c r="O306" s="27">
        <x:v>562</x:v>
      </x:c>
      <x:c r="P306" s="26"/>
      <x:c r="Q306" s="27">
        <x:v>1</x:v>
      </x:c>
      <x:c r="R306" s="27"/>
      <x:c r="S306" s="22">
        <x:f>IF(N306="","تکمیل نشده",IF(N306="بدون تفصیلی (ثبت روی خود معین)","OK",IF(N306="ادغام با تفصیلی دیگر",IF(O306="","کلید مقصد خالی است",IF(IFERROR(MATCH(O306*1,$A:$A,0),0)=0,"کلید مقصد در این فهرست نیست",IF(O306*1=A306,"ادغام با خودش","OK"))),IF(Q306="","سطح شناور خالی است",IF(AND(FALSE,OR(Q306=1,Q306=2)),"سطح ۱ و ۲ این معین مال فعالیت و مرکز هزینه است","OK")))))</x:f>
      </x:c>
      <x:c r="T306" s="28"/>
    </x:row>
    <x:row r="307" spans="1:20">
      <x:c r="A307" s="21">
        <x:v>2547</x:v>
      </x:c>
      <x:c r="B307" s="22" t="s">
        <x:v>81</x:v>
      </x:c>
      <x:c r="C307" s="22" t="s">
        <x:v>258</x:v>
      </x:c>
      <x:c r="D307" s="22" t="s">
        <x:v>884</x:v>
      </x:c>
      <x:c r="E307" s="22" t="s">
        <x:v>655</x:v>
      </x:c>
      <x:c r="F307" s="22" t="s">
        <x:v>259</x:v>
      </x:c>
      <x:c r="G307" s="22">
        <x:v>6</x:v>
      </x:c>
      <x:c r="H307" s="23">
        <x:v>533625820</x:v>
      </x:c>
      <x:c r="I307" s="23">
        <x:v>201722589</x:v>
      </x:c>
      <x:c r="J307" s="23">
        <x:f>H307-I307</x:f>
      </x:c>
      <x:c r="K307" s="22">
        <x:v>5</x:v>
      </x:c>
      <x:c r="L307" s="24" t="s">
        <x:v>550</x:v>
      </x:c>
      <x:c r="M307" s="24">
        <x:v>563</x:v>
      </x:c>
      <x:c r="N307" s="27" t="s">
        <x:v>550</x:v>
      </x:c>
      <x:c r="O307" s="27">
        <x:v>563</x:v>
      </x:c>
      <x:c r="P307" s="26"/>
      <x:c r="Q307" s="27">
        <x:v>1</x:v>
      </x:c>
      <x:c r="R307" s="27"/>
      <x:c r="S307" s="22">
        <x:f>IF(N307="","تکمیل نشده",IF(N307="بدون تفصیلی (ثبت روی خود معین)","OK",IF(N307="ادغام با تفصیلی دیگر",IF(O307="","کلید مقصد خالی است",IF(IFERROR(MATCH(O307*1,$A:$A,0),0)=0,"کلید مقصد در این فهرست نیست",IF(O307*1=A307,"ادغام با خودش","OK"))),IF(Q307="","سطح شناور خالی است",IF(AND(FALSE,OR(Q307=1,Q307=2)),"سطح ۱ و ۲ این معین مال فعالیت و مرکز هزینه است","OK")))))</x:f>
      </x:c>
      <x:c r="T307" s="28"/>
    </x:row>
    <x:row r="308" spans="1:20">
      <x:c r="A308" s="21">
        <x:v>2548</x:v>
      </x:c>
      <x:c r="B308" s="22" t="s">
        <x:v>81</x:v>
      </x:c>
      <x:c r="C308" s="22" t="s">
        <x:v>258</x:v>
      </x:c>
      <x:c r="D308" s="22" t="s">
        <x:v>885</x:v>
      </x:c>
      <x:c r="E308" s="22" t="s">
        <x:v>886</x:v>
      </x:c>
      <x:c r="F308" s="22" t="s">
        <x:v>259</x:v>
      </x:c>
      <x:c r="G308" s="22">
        <x:v>6</x:v>
      </x:c>
      <x:c r="H308" s="23">
        <x:v>307287395</x:v>
      </x:c>
      <x:c r="I308" s="23">
        <x:v>61457479</x:v>
      </x:c>
      <x:c r="J308" s="23">
        <x:f>H308-I308</x:f>
      </x:c>
      <x:c r="K308" s="22">
        <x:v>2</x:v>
      </x:c>
      <x:c r="L308" s="24" t="s">
        <x:v>550</x:v>
      </x:c>
      <x:c r="M308" s="24">
        <x:v>2499</x:v>
      </x:c>
      <x:c r="N308" s="27" t="s">
        <x:v>550</x:v>
      </x:c>
      <x:c r="O308" s="27">
        <x:v>2499</x:v>
      </x:c>
      <x:c r="P308" s="26"/>
      <x:c r="Q308" s="27">
        <x:v>1</x:v>
      </x:c>
      <x:c r="R308" s="27"/>
      <x:c r="S308" s="22">
        <x:f>IF(N308="","تکمیل نشده",IF(N308="بدون تفصیلی (ثبت روی خود معین)","OK",IF(N308="ادغام با تفصیلی دیگر",IF(O308="","کلید مقصد خالی است",IF(IFERROR(MATCH(O308*1,$A:$A,0),0)=0,"کلید مقصد در این فهرست نیست",IF(O308*1=A308,"ادغام با خودش","OK"))),IF(Q308="","سطح شناور خالی است",IF(AND(FALSE,OR(Q308=1,Q308=2)),"سطح ۱ و ۲ این معین مال فعالیت و مرکز هزینه است","OK")))))</x:f>
      </x:c>
      <x:c r="T308" s="28"/>
    </x:row>
    <x:row r="309" spans="1:20">
      <x:c r="A309" s="21">
        <x:v>3667</x:v>
      </x:c>
      <x:c r="B309" s="22" t="s">
        <x:v>81</x:v>
      </x:c>
      <x:c r="C309" s="22" t="s">
        <x:v>258</x:v>
      </x:c>
      <x:c r="D309" s="22" t="s">
        <x:v>887</x:v>
      </x:c>
      <x:c r="E309" s="22" t="s">
        <x:v>888</x:v>
      </x:c>
      <x:c r="F309" s="22" t="s">
        <x:v>259</x:v>
      </x:c>
      <x:c r="G309" s="22">
        <x:v>2</x:v>
      </x:c>
      <x:c r="H309" s="23">
        <x:v>0</x:v>
      </x:c>
      <x:c r="I309" s="23">
        <x:v>190841758</x:v>
      </x:c>
      <x:c r="J309" s="23">
        <x:f>H309-I309</x:f>
      </x:c>
      <x:c r="K309" s="22">
        <x:v>2</x:v>
      </x:c>
      <x:c r="L309" s="24" t="s">
        <x:v>550</x:v>
      </x:c>
      <x:c r="M309" s="24">
        <x:v>3665</x:v>
      </x:c>
      <x:c r="N309" s="27" t="s">
        <x:v>550</x:v>
      </x:c>
      <x:c r="O309" s="27">
        <x:v>3665</x:v>
      </x:c>
      <x:c r="P309" s="26"/>
      <x:c r="Q309" s="27">
        <x:v>1</x:v>
      </x:c>
      <x:c r="R309" s="27"/>
      <x:c r="S309" s="22">
        <x:f>IF(N309="","تکمیل نشده",IF(N309="بدون تفصیلی (ثبت روی خود معین)","OK",IF(N309="ادغام با تفصیلی دیگر",IF(O309="","کلید مقصد خالی است",IF(IFERROR(MATCH(O309*1,$A:$A,0),0)=0,"کلید مقصد در این فهرست نیست",IF(O309*1=A309,"ادغام با خودش","OK"))),IF(Q309="","سطح شناور خالی است",IF(AND(FALSE,OR(Q309=1,Q309=2)),"سطح ۱ و ۲ این معین مال فعالیت و مرکز هزینه است","OK")))))</x:f>
      </x:c>
      <x:c r="T309" s="28"/>
    </x:row>
    <x:row r="310" spans="1:20">
      <x:c r="A310" s="21">
        <x:v>2549</x:v>
      </x:c>
      <x:c r="B310" s="22" t="s">
        <x:v>81</x:v>
      </x:c>
      <x:c r="C310" s="22" t="s">
        <x:v>258</x:v>
      </x:c>
      <x:c r="D310" s="22" t="s">
        <x:v>889</x:v>
      </x:c>
      <x:c r="E310" s="22" t="s">
        <x:v>890</x:v>
      </x:c>
      <x:c r="F310" s="22" t="s">
        <x:v>259</x:v>
      </x:c>
      <x:c r="G310" s="22">
        <x:v>6</x:v>
      </x:c>
      <x:c r="H310" s="23">
        <x:v>165538056</x:v>
      </x:c>
      <x:c r="I310" s="23">
        <x:v>63870083</x:v>
      </x:c>
      <x:c r="J310" s="23">
        <x:f>H310-I310</x:f>
      </x:c>
      <x:c r="K310" s="22">
        <x:v>3</x:v>
      </x:c>
      <x:c r="L310" s="24" t="s">
        <x:v>550</x:v>
      </x:c>
      <x:c r="M310" s="24">
        <x:v>1534</x:v>
      </x:c>
      <x:c r="N310" s="27" t="s">
        <x:v>550</x:v>
      </x:c>
      <x:c r="O310" s="27">
        <x:v>1534</x:v>
      </x:c>
      <x:c r="P310" s="26"/>
      <x:c r="Q310" s="27">
        <x:v>1</x:v>
      </x:c>
      <x:c r="R310" s="27"/>
      <x:c r="S310" s="22">
        <x:f>IF(N310="","تکمیل نشده",IF(N310="بدون تفصیلی (ثبت روی خود معین)","OK",IF(N310="ادغام با تفصیلی دیگر",IF(O310="","کلید مقصد خالی است",IF(IFERROR(MATCH(O310*1,$A:$A,0),0)=0,"کلید مقصد در این فهرست نیست",IF(O310*1=A310,"ادغام با خودش","OK"))),IF(Q310="","سطح شناور خالی است",IF(AND(FALSE,OR(Q310=1,Q310=2)),"سطح ۱ و ۲ این معین مال فعالیت و مرکز هزینه است","OK")))))</x:f>
      </x:c>
      <x:c r="T310" s="28"/>
    </x:row>
    <x:row r="311" spans="1:20">
      <x:c r="A311" s="21">
        <x:v>3662</x:v>
      </x:c>
      <x:c r="B311" s="22" t="s">
        <x:v>81</x:v>
      </x:c>
      <x:c r="C311" s="22" t="s">
        <x:v>258</x:v>
      </x:c>
      <x:c r="D311" s="22" t="s">
        <x:v>891</x:v>
      </x:c>
      <x:c r="E311" s="22" t="s">
        <x:v>665</x:v>
      </x:c>
      <x:c r="F311" s="22" t="s">
        <x:v>259</x:v>
      </x:c>
      <x:c r="G311" s="22">
        <x:v>2</x:v>
      </x:c>
      <x:c r="H311" s="23">
        <x:v>0</x:v>
      </x:c>
      <x:c r="I311" s="23">
        <x:v>103655471</x:v>
      </x:c>
      <x:c r="J311" s="23">
        <x:f>H311-I311</x:f>
      </x:c>
      <x:c r="K311" s="22">
        <x:v>3</x:v>
      </x:c>
      <x:c r="L311" s="24" t="s">
        <x:v>550</x:v>
      </x:c>
      <x:c r="M311" s="24">
        <x:v>588</x:v>
      </x:c>
      <x:c r="N311" s="27" t="s">
        <x:v>550</x:v>
      </x:c>
      <x:c r="O311" s="27">
        <x:v>588</x:v>
      </x:c>
      <x:c r="P311" s="26"/>
      <x:c r="Q311" s="27">
        <x:v>1</x:v>
      </x:c>
      <x:c r="R311" s="27"/>
      <x:c r="S311" s="22">
        <x:f>IF(N311="","تکمیل نشده",IF(N311="بدون تفصیلی (ثبت روی خود معین)","OK",IF(N311="ادغام با تفصیلی دیگر",IF(O311="","کلید مقصد خالی است",IF(IFERROR(MATCH(O311*1,$A:$A,0),0)=0,"کلید مقصد در این فهرست نیست",IF(O311*1=A311,"ادغام با خودش","OK"))),IF(Q311="","سطح شناور خالی است",IF(AND(FALSE,OR(Q311=1,Q311=2)),"سطح ۱ و ۲ این معین مال فعالیت و مرکز هزینه است","OK")))))</x:f>
      </x:c>
      <x:c r="T311" s="28"/>
    </x:row>
    <x:row r="312" spans="1:20">
      <x:c r="A312" s="21">
        <x:v>2550</x:v>
      </x:c>
      <x:c r="B312" s="22" t="s">
        <x:v>81</x:v>
      </x:c>
      <x:c r="C312" s="22" t="s">
        <x:v>258</x:v>
      </x:c>
      <x:c r="D312" s="22" t="s">
        <x:v>892</x:v>
      </x:c>
      <x:c r="E312" s="22" t="s">
        <x:v>893</x:v>
      </x:c>
      <x:c r="F312" s="22" t="s">
        <x:v>259</x:v>
      </x:c>
      <x:c r="G312" s="22">
        <x:v>6</x:v>
      </x:c>
      <x:c r="H312" s="23">
        <x:v>210654324</x:v>
      </x:c>
      <x:c r="I312" s="23">
        <x:v>69719078</x:v>
      </x:c>
      <x:c r="J312" s="23">
        <x:f>H312-I312</x:f>
      </x:c>
      <x:c r="K312" s="22">
        <x:v>2</x:v>
      </x:c>
      <x:c r="L312" s="24" t="s">
        <x:v>550</x:v>
      </x:c>
      <x:c r="M312" s="24">
        <x:v>2501</x:v>
      </x:c>
      <x:c r="N312" s="27" t="s">
        <x:v>550</x:v>
      </x:c>
      <x:c r="O312" s="27">
        <x:v>2501</x:v>
      </x:c>
      <x:c r="P312" s="26"/>
      <x:c r="Q312" s="27">
        <x:v>1</x:v>
      </x:c>
      <x:c r="R312" s="27"/>
      <x:c r="S312" s="22">
        <x:f>IF(N312="","تکمیل نشده",IF(N312="بدون تفصیلی (ثبت روی خود معین)","OK",IF(N312="ادغام با تفصیلی دیگر",IF(O312="","کلید مقصد خالی است",IF(IFERROR(MATCH(O312*1,$A:$A,0),0)=0,"کلید مقصد در این فهرست نیست",IF(O312*1=A312,"ادغام با خودش","OK"))),IF(Q312="","سطح شناور خالی است",IF(AND(FALSE,OR(Q312=1,Q312=2)),"سطح ۱ و ۲ این معین مال فعالیت و مرکز هزینه است","OK")))))</x:f>
      </x:c>
      <x:c r="T312" s="28"/>
    </x:row>
    <x:row r="313" spans="1:20">
      <x:c r="A313" s="21">
        <x:v>2551</x:v>
      </x:c>
      <x:c r="B313" s="22" t="s">
        <x:v>81</x:v>
      </x:c>
      <x:c r="C313" s="22" t="s">
        <x:v>258</x:v>
      </x:c>
      <x:c r="D313" s="22" t="s">
        <x:v>894</x:v>
      </x:c>
      <x:c r="E313" s="22" t="s">
        <x:v>895</x:v>
      </x:c>
      <x:c r="F313" s="22" t="s">
        <x:v>259</x:v>
      </x:c>
      <x:c r="G313" s="22">
        <x:v>6</x:v>
      </x:c>
      <x:c r="H313" s="23">
        <x:v>152121844</x:v>
      </x:c>
      <x:c r="I313" s="23">
        <x:v>49785340</x:v>
      </x:c>
      <x:c r="J313" s="23">
        <x:f>H313-I313</x:f>
      </x:c>
      <x:c r="K313" s="22">
        <x:v>2</x:v>
      </x:c>
      <x:c r="L313" s="24" t="s">
        <x:v>550</x:v>
      </x:c>
      <x:c r="M313" s="24">
        <x:v>2502</x:v>
      </x:c>
      <x:c r="N313" s="27" t="s">
        <x:v>550</x:v>
      </x:c>
      <x:c r="O313" s="27">
        <x:v>2502</x:v>
      </x:c>
      <x:c r="P313" s="26"/>
      <x:c r="Q313" s="27">
        <x:v>1</x:v>
      </x:c>
      <x:c r="R313" s="27"/>
      <x:c r="S313" s="22">
        <x:f>IF(N313="","تکمیل نشده",IF(N313="بدون تفصیلی (ثبت روی خود معین)","OK",IF(N313="ادغام با تفصیلی دیگر",IF(O313="","کلید مقصد خالی است",IF(IFERROR(MATCH(O313*1,$A:$A,0),0)=0,"کلید مقصد در این فهرست نیست",IF(O313*1=A313,"ادغام با خودش","OK"))),IF(Q313="","سطح شناور خالی است",IF(AND(FALSE,OR(Q313=1,Q313=2)),"سطح ۱ و ۲ این معین مال فعالیت و مرکز هزینه است","OK")))))</x:f>
      </x:c>
      <x:c r="T313" s="28"/>
    </x:row>
    <x:row r="314" spans="1:20">
      <x:c r="A314" s="21">
        <x:v>2552</x:v>
      </x:c>
      <x:c r="B314" s="22" t="s">
        <x:v>81</x:v>
      </x:c>
      <x:c r="C314" s="22" t="s">
        <x:v>258</x:v>
      </x:c>
      <x:c r="D314" s="22" t="s">
        <x:v>896</x:v>
      </x:c>
      <x:c r="E314" s="22" t="s">
        <x:v>897</x:v>
      </x:c>
      <x:c r="F314" s="22" t="s">
        <x:v>259</x:v>
      </x:c>
      <x:c r="G314" s="22">
        <x:v>6</x:v>
      </x:c>
      <x:c r="H314" s="23">
        <x:v>142457830</x:v>
      </x:c>
      <x:c r="I314" s="23">
        <x:v>28491566</x:v>
      </x:c>
      <x:c r="J314" s="23">
        <x:f>H314-I314</x:f>
      </x:c>
      <x:c r="K314" s="22">
        <x:v>2</x:v>
      </x:c>
      <x:c r="L314" s="24" t="s">
        <x:v>550</x:v>
      </x:c>
      <x:c r="M314" s="24">
        <x:v>2503</x:v>
      </x:c>
      <x:c r="N314" s="27" t="s">
        <x:v>550</x:v>
      </x:c>
      <x:c r="O314" s="27">
        <x:v>2503</x:v>
      </x:c>
      <x:c r="P314" s="26"/>
      <x:c r="Q314" s="27">
        <x:v>1</x:v>
      </x:c>
      <x:c r="R314" s="27"/>
      <x:c r="S314" s="22">
        <x:f>IF(N314="","تکمیل نشده",IF(N314="بدون تفصیلی (ثبت روی خود معین)","OK",IF(N314="ادغام با تفصیلی دیگر",IF(O314="","کلید مقصد خالی است",IF(IFERROR(MATCH(O314*1,$A:$A,0),0)=0,"کلید مقصد در این فهرست نیست",IF(O314*1=A314,"ادغام با خودش","OK"))),IF(Q314="","سطح شناور خالی است",IF(AND(FALSE,OR(Q314=1,Q314=2)),"سطح ۱ و ۲ این معین مال فعالیت و مرکز هزینه است","OK")))))</x:f>
      </x:c>
      <x:c r="T314" s="28"/>
    </x:row>
    <x:row r="315" spans="1:20">
      <x:c r="A315" s="21">
        <x:v>2553</x:v>
      </x:c>
      <x:c r="B315" s="22" t="s">
        <x:v>81</x:v>
      </x:c>
      <x:c r="C315" s="22" t="s">
        <x:v>258</x:v>
      </x:c>
      <x:c r="D315" s="22" t="s">
        <x:v>898</x:v>
      </x:c>
      <x:c r="E315" s="22" t="s">
        <x:v>899</x:v>
      </x:c>
      <x:c r="F315" s="22" t="s">
        <x:v>259</x:v>
      </x:c>
      <x:c r="G315" s="22">
        <x:v>6</x:v>
      </x:c>
      <x:c r="H315" s="23">
        <x:v>241444900</x:v>
      </x:c>
      <x:c r="I315" s="23">
        <x:v>86409431</x:v>
      </x:c>
      <x:c r="J315" s="23">
        <x:f>H315-I315</x:f>
      </x:c>
      <x:c r="K315" s="22">
        <x:v>2</x:v>
      </x:c>
      <x:c r="L315" s="24" t="s">
        <x:v>550</x:v>
      </x:c>
      <x:c r="M315" s="24">
        <x:v>2504</x:v>
      </x:c>
      <x:c r="N315" s="27" t="s">
        <x:v>550</x:v>
      </x:c>
      <x:c r="O315" s="27">
        <x:v>2504</x:v>
      </x:c>
      <x:c r="P315" s="26"/>
      <x:c r="Q315" s="27">
        <x:v>1</x:v>
      </x:c>
      <x:c r="R315" s="27"/>
      <x:c r="S315" s="22">
        <x:f>IF(N315="","تکمیل نشده",IF(N315="بدون تفصیلی (ثبت روی خود معین)","OK",IF(N315="ادغام با تفصیلی دیگر",IF(O315="","کلید مقصد خالی است",IF(IFERROR(MATCH(O315*1,$A:$A,0),0)=0,"کلید مقصد در این فهرست نیست",IF(O315*1=A315,"ادغام با خودش","OK"))),IF(Q315="","سطح شناور خالی است",IF(AND(FALSE,OR(Q315=1,Q315=2)),"سطح ۱ و ۲ این معین مال فعالیت و مرکز هزینه است","OK")))))</x:f>
      </x:c>
      <x:c r="T315" s="28"/>
    </x:row>
    <x:row r="316" spans="1:20">
      <x:c r="A316" s="21">
        <x:v>2554</x:v>
      </x:c>
      <x:c r="B316" s="22" t="s">
        <x:v>81</x:v>
      </x:c>
      <x:c r="C316" s="22" t="s">
        <x:v>258</x:v>
      </x:c>
      <x:c r="D316" s="22" t="s">
        <x:v>900</x:v>
      </x:c>
      <x:c r="E316" s="22" t="s">
        <x:v>901</x:v>
      </x:c>
      <x:c r="F316" s="22" t="s">
        <x:v>259</x:v>
      </x:c>
      <x:c r="G316" s="22">
        <x:v>6</x:v>
      </x:c>
      <x:c r="H316" s="23">
        <x:v>289976868</x:v>
      </x:c>
      <x:c r="I316" s="23">
        <x:v>82822347</x:v>
      </x:c>
      <x:c r="J316" s="23">
        <x:f>H316-I316</x:f>
      </x:c>
      <x:c r="K316" s="22">
        <x:v>2</x:v>
      </x:c>
      <x:c r="L316" s="24" t="s">
        <x:v>550</x:v>
      </x:c>
      <x:c r="M316" s="24">
        <x:v>2505</x:v>
      </x:c>
      <x:c r="N316" s="27" t="s">
        <x:v>550</x:v>
      </x:c>
      <x:c r="O316" s="27">
        <x:v>2505</x:v>
      </x:c>
      <x:c r="P316" s="26"/>
      <x:c r="Q316" s="27">
        <x:v>1</x:v>
      </x:c>
      <x:c r="R316" s="27"/>
      <x:c r="S316" s="22">
        <x:f>IF(N316="","تکمیل نشده",IF(N316="بدون تفصیلی (ثبت روی خود معین)","OK",IF(N316="ادغام با تفصیلی دیگر",IF(O316="","کلید مقصد خالی است",IF(IFERROR(MATCH(O316*1,$A:$A,0),0)=0,"کلید مقصد در این فهرست نیست",IF(O316*1=A316,"ادغام با خودش","OK"))),IF(Q316="","سطح شناور خالی است",IF(AND(FALSE,OR(Q316=1,Q316=2)),"سطح ۱ و ۲ این معین مال فعالیت و مرکز هزینه است","OK")))))</x:f>
      </x:c>
      <x:c r="T316" s="28"/>
    </x:row>
    <x:row r="317" spans="1:20">
      <x:c r="A317" s="21">
        <x:v>2555</x:v>
      </x:c>
      <x:c r="B317" s="22" t="s">
        <x:v>81</x:v>
      </x:c>
      <x:c r="C317" s="22" t="s">
        <x:v>258</x:v>
      </x:c>
      <x:c r="D317" s="22" t="s">
        <x:v>902</x:v>
      </x:c>
      <x:c r="E317" s="22" t="s">
        <x:v>903</x:v>
      </x:c>
      <x:c r="F317" s="22" t="s">
        <x:v>259</x:v>
      </x:c>
      <x:c r="G317" s="22">
        <x:v>6</x:v>
      </x:c>
      <x:c r="H317" s="23">
        <x:v>261220168</x:v>
      </x:c>
      <x:c r="I317" s="23">
        <x:v>97054595</x:v>
      </x:c>
      <x:c r="J317" s="23">
        <x:f>H317-I317</x:f>
      </x:c>
      <x:c r="K317" s="22">
        <x:v>2</x:v>
      </x:c>
      <x:c r="L317" s="24" t="s">
        <x:v>550</x:v>
      </x:c>
      <x:c r="M317" s="24">
        <x:v>2506</x:v>
      </x:c>
      <x:c r="N317" s="27" t="s">
        <x:v>550</x:v>
      </x:c>
      <x:c r="O317" s="27">
        <x:v>2506</x:v>
      </x:c>
      <x:c r="P317" s="26"/>
      <x:c r="Q317" s="27">
        <x:v>1</x:v>
      </x:c>
      <x:c r="R317" s="27"/>
      <x:c r="S317" s="22">
        <x:f>IF(N317="","تکمیل نشده",IF(N317="بدون تفصیلی (ثبت روی خود معین)","OK",IF(N317="ادغام با تفصیلی دیگر",IF(O317="","کلید مقصد خالی است",IF(IFERROR(MATCH(O317*1,$A:$A,0),0)=0,"کلید مقصد در این فهرست نیست",IF(O317*1=A317,"ادغام با خودش","OK"))),IF(Q317="","سطح شناور خالی است",IF(AND(FALSE,OR(Q317=1,Q317=2)),"سطح ۱ و ۲ این معین مال فعالیت و مرکز هزینه است","OK")))))</x:f>
      </x:c>
      <x:c r="T317" s="28"/>
    </x:row>
    <x:row r="318" spans="1:20">
      <x:c r="A318" s="21">
        <x:v>2556</x:v>
      </x:c>
      <x:c r="B318" s="22" t="s">
        <x:v>81</x:v>
      </x:c>
      <x:c r="C318" s="22" t="s">
        <x:v>258</x:v>
      </x:c>
      <x:c r="D318" s="22" t="s">
        <x:v>904</x:v>
      </x:c>
      <x:c r="E318" s="22" t="s">
        <x:v>905</x:v>
      </x:c>
      <x:c r="F318" s="22" t="s">
        <x:v>259</x:v>
      </x:c>
      <x:c r="G318" s="22">
        <x:v>6</x:v>
      </x:c>
      <x:c r="H318" s="23">
        <x:v>742815080</x:v>
      </x:c>
      <x:c r="I318" s="23">
        <x:v>269493043</x:v>
      </x:c>
      <x:c r="J318" s="23">
        <x:f>H318-I318</x:f>
      </x:c>
      <x:c r="K318" s="22">
        <x:v>2</x:v>
      </x:c>
      <x:c r="L318" s="24" t="s">
        <x:v>550</x:v>
      </x:c>
      <x:c r="M318" s="24">
        <x:v>2507</x:v>
      </x:c>
      <x:c r="N318" s="27" t="s">
        <x:v>550</x:v>
      </x:c>
      <x:c r="O318" s="27">
        <x:v>2507</x:v>
      </x:c>
      <x:c r="P318" s="26"/>
      <x:c r="Q318" s="27">
        <x:v>1</x:v>
      </x:c>
      <x:c r="R318" s="27"/>
      <x:c r="S318" s="22">
        <x:f>IF(N318="","تکمیل نشده",IF(N318="بدون تفصیلی (ثبت روی خود معین)","OK",IF(N318="ادغام با تفصیلی دیگر",IF(O318="","کلید مقصد خالی است",IF(IFERROR(MATCH(O318*1,$A:$A,0),0)=0,"کلید مقصد در این فهرست نیست",IF(O318*1=A318,"ادغام با خودش","OK"))),IF(Q318="","سطح شناور خالی است",IF(AND(FALSE,OR(Q318=1,Q318=2)),"سطح ۱ و ۲ این معین مال فعالیت و مرکز هزینه است","OK")))))</x:f>
      </x:c>
      <x:c r="T318" s="28"/>
    </x:row>
    <x:row r="319" spans="1:20">
      <x:c r="A319" s="21">
        <x:v>2557</x:v>
      </x:c>
      <x:c r="B319" s="22" t="s">
        <x:v>81</x:v>
      </x:c>
      <x:c r="C319" s="22" t="s">
        <x:v>258</x:v>
      </x:c>
      <x:c r="D319" s="22" t="s">
        <x:v>906</x:v>
      </x:c>
      <x:c r="E319" s="22" t="s">
        <x:v>669</x:v>
      </x:c>
      <x:c r="F319" s="22" t="s">
        <x:v>259</x:v>
      </x:c>
      <x:c r="G319" s="22">
        <x:v>6</x:v>
      </x:c>
      <x:c r="H319" s="23">
        <x:v>506223340</x:v>
      </x:c>
      <x:c r="I319" s="23">
        <x:v>193466863</x:v>
      </x:c>
      <x:c r="J319" s="23">
        <x:f>H319-I319</x:f>
      </x:c>
      <x:c r="K319" s="22">
        <x:v>3</x:v>
      </x:c>
      <x:c r="L319" s="24" t="s">
        <x:v>550</x:v>
      </x:c>
      <x:c r="M319" s="24">
        <x:v>3842</x:v>
      </x:c>
      <x:c r="N319" s="27" t="s">
        <x:v>550</x:v>
      </x:c>
      <x:c r="O319" s="27">
        <x:v>3842</x:v>
      </x:c>
      <x:c r="P319" s="26"/>
      <x:c r="Q319" s="27">
        <x:v>1</x:v>
      </x:c>
      <x:c r="R319" s="27"/>
      <x:c r="S319" s="22">
        <x:f>IF(N319="","تکمیل نشده",IF(N319="بدون تفصیلی (ثبت روی خود معین)","OK",IF(N319="ادغام با تفصیلی دیگر",IF(O319="","کلید مقصد خالی است",IF(IFERROR(MATCH(O319*1,$A:$A,0),0)=0,"کلید مقصد در این فهرست نیست",IF(O319*1=A319,"ادغام با خودش","OK"))),IF(Q319="","سطح شناور خالی است",IF(AND(FALSE,OR(Q319=1,Q319=2)),"سطح ۱ و ۲ این معین مال فعالیت و مرکز هزینه است","OK")))))</x:f>
      </x:c>
      <x:c r="T319" s="28"/>
    </x:row>
    <x:row r="320" spans="1:20">
      <x:c r="A320" s="21">
        <x:v>3606</x:v>
      </x:c>
      <x:c r="B320" s="22" t="s">
        <x:v>81</x:v>
      </x:c>
      <x:c r="C320" s="22" t="s">
        <x:v>258</x:v>
      </x:c>
      <x:c r="D320" s="22" t="s">
        <x:v>907</x:v>
      </x:c>
      <x:c r="E320" s="22" t="s">
        <x:v>908</x:v>
      </x:c>
      <x:c r="F320" s="22" t="s">
        <x:v>259</x:v>
      </x:c>
      <x:c r="G320" s="22">
        <x:v>2</x:v>
      </x:c>
      <x:c r="H320" s="23">
        <x:v>0</x:v>
      </x:c>
      <x:c r="I320" s="23">
        <x:v>70220306</x:v>
      </x:c>
      <x:c r="J320" s="23">
        <x:f>H320-I320</x:f>
      </x:c>
      <x:c r="K320" s="22">
        <x:v>2</x:v>
      </x:c>
      <x:c r="L320" s="24" t="s">
        <x:v>550</x:v>
      </x:c>
      <x:c r="M320" s="24">
        <x:v>3605</x:v>
      </x:c>
      <x:c r="N320" s="27" t="s">
        <x:v>550</x:v>
      </x:c>
      <x:c r="O320" s="27">
        <x:v>3605</x:v>
      </x:c>
      <x:c r="P320" s="26"/>
      <x:c r="Q320" s="27">
        <x:v>1</x:v>
      </x:c>
      <x:c r="R320" s="27"/>
      <x:c r="S320" s="22">
        <x:f>IF(N320="","تکمیل نشده",IF(N320="بدون تفصیلی (ثبت روی خود معین)","OK",IF(N320="ادغام با تفصیلی دیگر",IF(O320="","کلید مقصد خالی است",IF(IFERROR(MATCH(O320*1,$A:$A,0),0)=0,"کلید مقصد در این فهرست نیست",IF(O320*1=A320,"ادغام با خودش","OK"))),IF(Q320="","سطح شناور خالی است",IF(AND(FALSE,OR(Q320=1,Q320=2)),"سطح ۱ و ۲ این معین مال فعالیت و مرکز هزینه است","OK")))))</x:f>
      </x:c>
      <x:c r="T320" s="28"/>
    </x:row>
    <x:row r="321" spans="1:20">
      <x:c r="A321" s="21">
        <x:v>3796</x:v>
      </x:c>
      <x:c r="B321" s="22" t="s">
        <x:v>81</x:v>
      </x:c>
      <x:c r="C321" s="22" t="s">
        <x:v>258</x:v>
      </x:c>
      <x:c r="D321" s="22" t="s">
        <x:v>911</x:v>
      </x:c>
      <x:c r="E321" s="22" t="s">
        <x:v>912</x:v>
      </x:c>
      <x:c r="F321" s="22" t="s">
        <x:v>259</x:v>
      </x:c>
      <x:c r="G321" s="22">
        <x:v>2</x:v>
      </x:c>
      <x:c r="H321" s="23">
        <x:v>0</x:v>
      </x:c>
      <x:c r="I321" s="23">
        <x:v>139611346</x:v>
      </x:c>
      <x:c r="J321" s="23">
        <x:f>H321-I321</x:f>
      </x:c>
      <x:c r="K321" s="22">
        <x:v>2</x:v>
      </x:c>
      <x:c r="L321" s="24" t="s">
        <x:v>550</x:v>
      </x:c>
      <x:c r="M321" s="24">
        <x:v>3795</x:v>
      </x:c>
      <x:c r="N321" s="27" t="s">
        <x:v>550</x:v>
      </x:c>
      <x:c r="O321" s="27">
        <x:v>3795</x:v>
      </x:c>
      <x:c r="P321" s="26"/>
      <x:c r="Q321" s="27">
        <x:v>1</x:v>
      </x:c>
      <x:c r="R321" s="27"/>
      <x:c r="S321" s="22">
        <x:f>IF(N321="","تکمیل نشده",IF(N321="بدون تفصیلی (ثبت روی خود معین)","OK",IF(N321="ادغام با تفصیلی دیگر",IF(O321="","کلید مقصد خالی است",IF(IFERROR(MATCH(O321*1,$A:$A,0),0)=0,"کلید مقصد در این فهرست نیست",IF(O321*1=A321,"ادغام با خودش","OK"))),IF(Q321="","سطح شناور خالی است",IF(AND(FALSE,OR(Q321=1,Q321=2)),"سطح ۱ و ۲ این معین مال فعالیت و مرکز هزینه است","OK")))))</x:f>
      </x:c>
      <x:c r="T321" s="28"/>
    </x:row>
    <x:row r="322" spans="1:20">
      <x:c r="A322" s="21">
        <x:v>3794</x:v>
      </x:c>
      <x:c r="B322" s="22" t="s">
        <x:v>81</x:v>
      </x:c>
      <x:c r="C322" s="22" t="s">
        <x:v>258</x:v>
      </x:c>
      <x:c r="D322" s="22" t="s">
        <x:v>913</x:v>
      </x:c>
      <x:c r="E322" s="22" t="s">
        <x:v>914</x:v>
      </x:c>
      <x:c r="F322" s="22" t="s">
        <x:v>259</x:v>
      </x:c>
      <x:c r="G322" s="22">
        <x:v>2</x:v>
      </x:c>
      <x:c r="H322" s="23">
        <x:v>0</x:v>
      </x:c>
      <x:c r="I322" s="23">
        <x:v>110637435</x:v>
      </x:c>
      <x:c r="J322" s="23">
        <x:f>H322-I322</x:f>
      </x:c>
      <x:c r="K322" s="22">
        <x:v>2</x:v>
      </x:c>
      <x:c r="L322" s="24" t="s">
        <x:v>550</x:v>
      </x:c>
      <x:c r="M322" s="24">
        <x:v>3793</x:v>
      </x:c>
      <x:c r="N322" s="27" t="s">
        <x:v>550</x:v>
      </x:c>
      <x:c r="O322" s="27">
        <x:v>3793</x:v>
      </x:c>
      <x:c r="P322" s="26"/>
      <x:c r="Q322" s="27">
        <x:v>1</x:v>
      </x:c>
      <x:c r="R322" s="27"/>
      <x:c r="S322" s="22">
        <x:f>IF(N322="","تکمیل نشده",IF(N322="بدون تفصیلی (ثبت روی خود معین)","OK",IF(N322="ادغام با تفصیلی دیگر",IF(O322="","کلید مقصد خالی است",IF(IFERROR(MATCH(O322*1,$A:$A,0),0)=0,"کلید مقصد در این فهرست نیست",IF(O322*1=A322,"ادغام با خودش","OK"))),IF(Q322="","سطح شناور خالی است",IF(AND(FALSE,OR(Q322=1,Q322=2)),"سطح ۱ و ۲ این معین مال فعالیت و مرکز هزینه است","OK")))))</x:f>
      </x:c>
      <x:c r="T322" s="28"/>
    </x:row>
    <x:row r="323" spans="1:20">
      <x:c r="A323" s="21">
        <x:v>11242</x:v>
      </x:c>
      <x:c r="B323" s="22" t="s">
        <x:v>85</x:v>
      </x:c>
      <x:c r="C323" s="22" t="s">
        <x:v>202</x:v>
      </x:c>
      <x:c r="D323" s="22" t="s">
        <x:v>544</x:v>
      </x:c>
      <x:c r="E323" s="22" t="s">
        <x:v>260</x:v>
      </x:c>
      <x:c r="F323" s="22" t="s">
        <x:v>260</x:v>
      </x:c>
      <x:c r="G323" s="22">
        <x:v>1</x:v>
      </x:c>
      <x:c r="H323" s="23">
        <x:v>0</x:v>
      </x:c>
      <x:c r="I323" s="23">
        <x:v>1</x:v>
      </x:c>
      <x:c r="J323" s="23">
        <x:f>H323-I323</x:f>
      </x:c>
      <x:c r="K323" s="22">
        <x:v>3</x:v>
      </x:c>
      <x:c r="L323" s="24" t="s">
        <x:v>545</x:v>
      </x:c>
      <x:c r="M323" s="24"/>
      <x:c r="N323" s="27" t="s">
        <x:v>545</x:v>
      </x:c>
      <x:c r="O323" s="27"/>
      <x:c r="P323" s="26"/>
      <x:c r="Q323" s="27"/>
      <x:c r="R323" s="27"/>
      <x:c r="S323" s="22">
        <x:f>IF(N323="","تکمیل نشده",IF(N323="بدون تفصیلی (ثبت روی خود معین)","OK",IF(N323="ادغام با تفصیلی دیگر",IF(O323="","کلید مقصد خالی است",IF(IFERROR(MATCH(O323*1,$A:$A,0),0)=0,"کلید مقصد در این فهرست نیست",IF(O323*1=A323,"ادغام با خودش","OK"))),IF(Q323="","سطح شناور خالی است",IF(AND(FALSE,OR(Q323=1,Q323=2)),"سطح ۱ و ۲ این معین مال فعالیت و مرکز هزینه است","OK")))))</x:f>
      </x:c>
      <x:c r="T323" s="28"/>
    </x:row>
    <x:row r="324" spans="1:20">
      <x:c r="A324" s="21">
        <x:v>2588</x:v>
      </x:c>
      <x:c r="B324" s="22" t="s">
        <x:v>97</x:v>
      </x:c>
      <x:c r="C324" s="22" t="s">
        <x:v>197</x:v>
      </x:c>
      <x:c r="D324" s="22" t="s">
        <x:v>544</x:v>
      </x:c>
      <x:c r="E324" s="22" t="s">
        <x:v>918</x:v>
      </x:c>
      <x:c r="F324" s="22" t="s">
        <x:v>261</x:v>
      </x:c>
      <x:c r="G324" s="22">
        <x:v>2</x:v>
      </x:c>
      <x:c r="H324" s="23">
        <x:v>2020000</x:v>
      </x:c>
      <x:c r="I324" s="23">
        <x:v>2020000</x:v>
      </x:c>
      <x:c r="J324" s="23">
        <x:f>H324-I324</x:f>
      </x:c>
      <x:c r="K324" s="22">
        <x:v>1</x:v>
      </x:c>
      <x:c r="L324" s="24" t="s">
        <x:v>545</x:v>
      </x:c>
      <x:c r="M324" s="24"/>
      <x:c r="N324" s="27" t="s">
        <x:v>545</x:v>
      </x:c>
      <x:c r="O324" s="27"/>
      <x:c r="P324" s="26"/>
      <x:c r="Q324" s="27"/>
      <x:c r="R324" s="27"/>
      <x:c r="S324" s="22">
        <x:f>IF(N324="","تکمیل نشده",IF(N324="بدون تفصیلی (ثبت روی خود معین)","OK",IF(N324="ادغام با تفصیلی دیگر",IF(O324="","کلید مقصد خالی است",IF(IFERROR(MATCH(O324*1,$A:$A,0),0)=0,"کلید مقصد در این فهرست نیست",IF(O324*1=A324,"ادغام با خودش","OK"))),IF(Q324="","سطح شناور خالی است",IF(AND(FALSE,OR(Q324=1,Q324=2)),"سطح ۱ و ۲ این معین مال فعالیت و مرکز هزینه است","OK")))))</x:f>
      </x:c>
      <x:c r="T324" s="28"/>
    </x:row>
    <x:row r="325" spans="1:20">
      <x:c r="A325" s="21">
        <x:v>2595</x:v>
      </x:c>
      <x:c r="B325" s="22" t="s">
        <x:v>101</x:v>
      </x:c>
      <x:c r="C325" s="22" t="s">
        <x:v>262</x:v>
      </x:c>
      <x:c r="D325" s="22" t="s">
        <x:v>644</x:v>
      </x:c>
      <x:c r="E325" s="22" t="s">
        <x:v>919</x:v>
      </x:c>
      <x:c r="F325" s="22" t="s">
        <x:v>263</x:v>
      </x:c>
      <x:c r="G325" s="22">
        <x:v>31</x:v>
      </x:c>
      <x:c r="H325" s="23">
        <x:v>422947900</x:v>
      </x:c>
      <x:c r="I325" s="23">
        <x:v>422947900</x:v>
      </x:c>
      <x:c r="J325" s="23">
        <x:f>H325-I325</x:f>
      </x:c>
      <x:c r="K325" s="22">
        <x:v>1</x:v>
      </x:c>
      <x:c r="L325" s="24" t="s">
        <x:v>548</x:v>
      </x:c>
      <x:c r="M325" s="24"/>
      <x:c r="N325" s="27" t="s">
        <x:v>548</x:v>
      </x:c>
      <x:c r="O325" s="27"/>
      <x:c r="P325" s="26"/>
      <x:c r="Q325" s="27">
        <x:v>1</x:v>
      </x:c>
      <x:c r="R325" s="27"/>
      <x:c r="S325" s="22">
        <x:f>IF(N325="","تکمیل نشده",IF(N325="بدون تفصیلی (ثبت روی خود معین)","OK",IF(N325="ادغام با تفصیلی دیگر",IF(O325="","کلید مقصد خالی است",IF(IFERROR(MATCH(O325*1,$A:$A,0),0)=0,"کلید مقصد در این فهرست نیست",IF(O325*1=A325,"ادغام با خودش","OK"))),IF(Q325="","سطح شناور خالی است",IF(AND(FALSE,OR(Q325=1,Q325=2)),"سطح ۱ و ۲ این معین مال فعالیت و مرکز هزینه است","OK")))))</x:f>
      </x:c>
      <x:c r="T325" s="28"/>
    </x:row>
    <x:row r="326" spans="1:20">
      <x:c r="A326" s="21">
        <x:v>2598</x:v>
      </x:c>
      <x:c r="B326" s="22" t="s">
        <x:v>101</x:v>
      </x:c>
      <x:c r="C326" s="22" t="s">
        <x:v>262</x:v>
      </x:c>
      <x:c r="D326" s="22" t="s">
        <x:v>646</x:v>
      </x:c>
      <x:c r="E326" s="22" t="s">
        <x:v>920</x:v>
      </x:c>
      <x:c r="F326" s="22" t="s">
        <x:v>263</x:v>
      </x:c>
      <x:c r="G326" s="22">
        <x:v>29</x:v>
      </x:c>
      <x:c r="H326" s="23">
        <x:v>980861300</x:v>
      </x:c>
      <x:c r="I326" s="23">
        <x:v>980861300</x:v>
      </x:c>
      <x:c r="J326" s="23">
        <x:f>H326-I326</x:f>
      </x:c>
      <x:c r="K326" s="22">
        <x:v>1</x:v>
      </x:c>
      <x:c r="L326" s="24" t="s">
        <x:v>548</x:v>
      </x:c>
      <x:c r="M326" s="24"/>
      <x:c r="N326" s="27" t="s">
        <x:v>548</x:v>
      </x:c>
      <x:c r="O326" s="27"/>
      <x:c r="P326" s="26"/>
      <x:c r="Q326" s="27">
        <x:v>1</x:v>
      </x:c>
      <x:c r="R326" s="27"/>
      <x:c r="S326" s="22">
        <x:f>IF(N326="","تکمیل نشده",IF(N326="بدون تفصیلی (ثبت روی خود معین)","OK",IF(N326="ادغام با تفصیلی دیگر",IF(O326="","کلید مقصد خالی است",IF(IFERROR(MATCH(O326*1,$A:$A,0),0)=0,"کلید مقصد در این فهرست نیست",IF(O326*1=A326,"ادغام با خودش","OK"))),IF(Q326="","سطح شناور خالی است",IF(AND(FALSE,OR(Q326=1,Q326=2)),"سطح ۱ و ۲ این معین مال فعالیت و مرکز هزینه است","OK")))))</x:f>
      </x:c>
      <x:c r="T326" s="28"/>
    </x:row>
    <x:row r="327" spans="1:20">
      <x:c r="A327" s="21">
        <x:v>2618</x:v>
      </x:c>
      <x:c r="B327" s="22" t="s">
        <x:v>101</x:v>
      </x:c>
      <x:c r="C327" s="22" t="s">
        <x:v>209</x:v>
      </x:c>
      <x:c r="D327" s="22" t="s">
        <x:v>544</x:v>
      </x:c>
      <x:c r="E327" s="22" t="s">
        <x:v>264</x:v>
      </x:c>
      <x:c r="F327" s="22" t="s">
        <x:v>264</x:v>
      </x:c>
      <x:c r="G327" s="22">
        <x:v>5</x:v>
      </x:c>
      <x:c r="H327" s="23">
        <x:v>62865000</x:v>
      </x:c>
      <x:c r="I327" s="23">
        <x:v>62865000</x:v>
      </x:c>
      <x:c r="J327" s="23">
        <x:f>H327-I327</x:f>
      </x:c>
      <x:c r="K327" s="22">
        <x:v>1</x:v>
      </x:c>
      <x:c r="L327" s="24" t="s">
        <x:v>545</x:v>
      </x:c>
      <x:c r="M327" s="24"/>
      <x:c r="N327" s="27" t="s">
        <x:v>545</x:v>
      </x:c>
      <x:c r="O327" s="27"/>
      <x:c r="P327" s="26"/>
      <x:c r="Q327" s="27"/>
      <x:c r="R327" s="27"/>
      <x:c r="S327" s="22">
        <x:f>IF(N327="","تکمیل نشده",IF(N327="بدون تفصیلی (ثبت روی خود معین)","OK",IF(N327="ادغام با تفصیلی دیگر",IF(O327="","کلید مقصد خالی است",IF(IFERROR(MATCH(O327*1,$A:$A,0),0)=0,"کلید مقصد در این فهرست نیست",IF(O327*1=A327,"ادغام با خودش","OK"))),IF(Q327="","سطح شناور خالی است",IF(AND(FALSE,OR(Q327=1,Q327=2)),"سطح ۱ و ۲ این معین مال فعالیت و مرکز هزینه است","OK")))))</x:f>
      </x:c>
      <x:c r="T327" s="28"/>
    </x:row>
    <x:row r="328" spans="1:20">
      <x:c r="A328" s="21">
        <x:v>2622</x:v>
      </x:c>
      <x:c r="B328" s="22" t="s">
        <x:v>101</x:v>
      </x:c>
      <x:c r="C328" s="22" t="s">
        <x:v>101</x:v>
      </x:c>
      <x:c r="D328" s="22" t="s">
        <x:v>544</x:v>
      </x:c>
      <x:c r="E328" s="22" t="s">
        <x:v>265</x:v>
      </x:c>
      <x:c r="F328" s="22" t="s">
        <x:v>265</x:v>
      </x:c>
      <x:c r="G328" s="22">
        <x:v>2</x:v>
      </x:c>
      <x:c r="H328" s="23">
        <x:v>52585000</x:v>
      </x:c>
      <x:c r="I328" s="23">
        <x:v>52585000</x:v>
      </x:c>
      <x:c r="J328" s="23">
        <x:f>H328-I328</x:f>
      </x:c>
      <x:c r="K328" s="22">
        <x:v>1</x:v>
      </x:c>
      <x:c r="L328" s="24" t="s">
        <x:v>545</x:v>
      </x:c>
      <x:c r="M328" s="24"/>
      <x:c r="N328" s="27" t="s">
        <x:v>545</x:v>
      </x:c>
      <x:c r="O328" s="27"/>
      <x:c r="P328" s="26"/>
      <x:c r="Q328" s="27"/>
      <x:c r="R328" s="27"/>
      <x:c r="S328" s="22">
        <x:f>IF(N328="","تکمیل نشده",IF(N328="بدون تفصیلی (ثبت روی خود معین)","OK",IF(N328="ادغام با تفصیلی دیگر",IF(O328="","کلید مقصد خالی است",IF(IFERROR(MATCH(O328*1,$A:$A,0),0)=0,"کلید مقصد در این فهرست نیست",IF(O328*1=A328,"ادغام با خودش","OK"))),IF(Q328="","سطح شناور خالی است",IF(AND(FALSE,OR(Q328=1,Q328=2)),"سطح ۱ و ۲ این معین مال فعالیت و مرکز هزینه است","OK")))))</x:f>
      </x:c>
      <x:c r="T328" s="28"/>
    </x:row>
    <x:row r="329" spans="1:20">
      <x:c r="A329" s="21">
        <x:v>2654</x:v>
      </x:c>
      <x:c r="B329" s="22" t="s">
        <x:v>115</x:v>
      </x:c>
      <x:c r="C329" s="22" t="s">
        <x:v>27</x:v>
      </x:c>
      <x:c r="D329" s="22" t="s">
        <x:v>921</x:v>
      </x:c>
      <x:c r="E329" s="22" t="s">
        <x:v>922</x:v>
      </x:c>
      <x:c r="F329" s="22" t="s">
        <x:v>266</x:v>
      </x:c>
      <x:c r="G329" s="22">
        <x:v>2</x:v>
      </x:c>
      <x:c r="H329" s="23">
        <x:v>27604800</x:v>
      </x:c>
      <x:c r="I329" s="23">
        <x:v>27604800</x:v>
      </x:c>
      <x:c r="J329" s="23">
        <x:f>H329-I329</x:f>
      </x:c>
      <x:c r="K329" s="22">
        <x:v>1</x:v>
      </x:c>
      <x:c r="L329" s="24" t="s">
        <x:v>548</x:v>
      </x:c>
      <x:c r="M329" s="24"/>
      <x:c r="N329" s="27" t="s">
        <x:v>548</x:v>
      </x:c>
      <x:c r="O329" s="27"/>
      <x:c r="P329" s="26"/>
      <x:c r="Q329" s="27">
        <x:v>1</x:v>
      </x:c>
      <x:c r="R329" s="27"/>
      <x:c r="S329" s="22">
        <x:f>IF(N329="","تکمیل نشده",IF(N329="بدون تفصیلی (ثبت روی خود معین)","OK",IF(N329="ادغام با تفصیلی دیگر",IF(O329="","کلید مقصد خالی است",IF(IFERROR(MATCH(O329*1,$A:$A,0),0)=0,"کلید مقصد در این فهرست نیست",IF(O329*1=A329,"ادغام با خودش","OK"))),IF(Q329="","سطح شناور خالی است",IF(AND(FALSE,OR(Q329=1,Q329=2)),"سطح ۱ و ۲ این معین مال فعالیت و مرکز هزینه است","OK")))))</x:f>
      </x:c>
      <x:c r="T329" s="28"/>
    </x:row>
    <x:row r="330" spans="1:20">
      <x:c r="A330" s="21">
        <x:v>2680</x:v>
      </x:c>
      <x:c r="B330" s="22" t="s">
        <x:v>127</x:v>
      </x:c>
      <x:c r="C330" s="22" t="s">
        <x:v>237</x:v>
      </x:c>
      <x:c r="D330" s="22" t="s">
        <x:v>553</x:v>
      </x:c>
      <x:c r="E330" s="22" t="s">
        <x:v>923</x:v>
      </x:c>
      <x:c r="F330" s="22" t="s">
        <x:v>267</x:v>
      </x:c>
      <x:c r="G330" s="22">
        <x:v>11</x:v>
      </x:c>
      <x:c r="H330" s="23">
        <x:v>968481344</x:v>
      </x:c>
      <x:c r="I330" s="23">
        <x:v>1190043588</x:v>
      </x:c>
      <x:c r="J330" s="23">
        <x:f>H330-I330</x:f>
      </x:c>
      <x:c r="K330" s="22">
        <x:v>1</x:v>
      </x:c>
      <x:c r="L330" s="24" t="s">
        <x:v>548</x:v>
      </x:c>
      <x:c r="M330" s="24"/>
      <x:c r="N330" s="27" t="s">
        <x:v>548</x:v>
      </x:c>
      <x:c r="O330" s="27"/>
      <x:c r="P330" s="26"/>
      <x:c r="Q330" s="27">
        <x:v>1</x:v>
      </x:c>
      <x:c r="R330" s="27"/>
      <x:c r="S330" s="22">
        <x:f>IF(N330="","تکمیل نشده",IF(N330="بدون تفصیلی (ثبت روی خود معین)","OK",IF(N330="ادغام با تفصیلی دیگر",IF(O330="","کلید مقصد خالی است",IF(IFERROR(MATCH(O330*1,$A:$A,0),0)=0,"کلید مقصد در این فهرست نیست",IF(O330*1=A330,"ادغام با خودش","OK"))),IF(Q330="","سطح شناور خالی است",IF(AND(FALSE,OR(Q330=1,Q330=2)),"سطح ۱ و ۲ این معین مال فعالیت و مرکز هزینه است","OK")))))</x:f>
      </x:c>
      <x:c r="T330" s="28"/>
    </x:row>
    <x:row r="331" spans="1:20">
      <x:c r="A331" s="21">
        <x:v>2681</x:v>
      </x:c>
      <x:c r="B331" s="22" t="s">
        <x:v>127</x:v>
      </x:c>
      <x:c r="C331" s="22" t="s">
        <x:v>237</x:v>
      </x:c>
      <x:c r="D331" s="22" t="s">
        <x:v>646</x:v>
      </x:c>
      <x:c r="E331" s="22" t="s">
        <x:v>924</x:v>
      </x:c>
      <x:c r="F331" s="22" t="s">
        <x:v>267</x:v>
      </x:c>
      <x:c r="G331" s="22">
        <x:v>13</x:v>
      </x:c>
      <x:c r="H331" s="23">
        <x:v>1085749981</x:v>
      </x:c>
      <x:c r="I331" s="23">
        <x:v>1404686369</x:v>
      </x:c>
      <x:c r="J331" s="23">
        <x:f>H331-I331</x:f>
      </x:c>
      <x:c r="K331" s="22">
        <x:v>1</x:v>
      </x:c>
      <x:c r="L331" s="24" t="s">
        <x:v>548</x:v>
      </x:c>
      <x:c r="M331" s="24"/>
      <x:c r="N331" s="27" t="s">
        <x:v>548</x:v>
      </x:c>
      <x:c r="O331" s="27"/>
      <x:c r="P331" s="26"/>
      <x:c r="Q331" s="27">
        <x:v>1</x:v>
      </x:c>
      <x:c r="R331" s="27"/>
      <x:c r="S331" s="22">
        <x:f>IF(N331="","تکمیل نشده",IF(N331="بدون تفصیلی (ثبت روی خود معین)","OK",IF(N331="ادغام با تفصیلی دیگر",IF(O331="","کلید مقصد خالی است",IF(IFERROR(MATCH(O331*1,$A:$A,0),0)=0,"کلید مقصد در این فهرست نیست",IF(O331*1=A331,"ادغام با خودش","OK"))),IF(Q331="","سطح شناور خالی است",IF(AND(FALSE,OR(Q331=1,Q331=2)),"سطح ۱ و ۲ این معین مال فعالیت و مرکز هزینه است","OK")))))</x:f>
      </x:c>
      <x:c r="T331" s="28"/>
    </x:row>
    <x:row r="332" spans="1:20">
      <x:c r="A332" s="21">
        <x:v>2682</x:v>
      </x:c>
      <x:c r="B332" s="22" t="s">
        <x:v>127</x:v>
      </x:c>
      <x:c r="C332" s="22" t="s">
        <x:v>237</x:v>
      </x:c>
      <x:c r="D332" s="22" t="s">
        <x:v>648</x:v>
      </x:c>
      <x:c r="E332" s="22" t="s">
        <x:v>925</x:v>
      </x:c>
      <x:c r="F332" s="22" t="s">
        <x:v>267</x:v>
      </x:c>
      <x:c r="G332" s="22">
        <x:v>2</x:v>
      </x:c>
      <x:c r="H332" s="23">
        <x:v>80539563</x:v>
      </x:c>
      <x:c r="I332" s="23">
        <x:v>80539563</x:v>
      </x:c>
      <x:c r="J332" s="23">
        <x:f>H332-I332</x:f>
      </x:c>
      <x:c r="K332" s="22">
        <x:v>1</x:v>
      </x:c>
      <x:c r="L332" s="24" t="s">
        <x:v>548</x:v>
      </x:c>
      <x:c r="M332" s="24"/>
      <x:c r="N332" s="27" t="s">
        <x:v>548</x:v>
      </x:c>
      <x:c r="O332" s="27"/>
      <x:c r="P332" s="26"/>
      <x:c r="Q332" s="27">
        <x:v>1</x:v>
      </x:c>
      <x:c r="R332" s="27"/>
      <x:c r="S332" s="22">
        <x:f>IF(N332="","تکمیل نشده",IF(N332="بدون تفصیلی (ثبت روی خود معین)","OK",IF(N332="ادغام با تفصیلی دیگر",IF(O332="","کلید مقصد خالی است",IF(IFERROR(MATCH(O332*1,$A:$A,0),0)=0,"کلید مقصد در این فهرست نیست",IF(O332*1=A332,"ادغام با خودش","OK"))),IF(Q332="","سطح شناور خالی است",IF(AND(FALSE,OR(Q332=1,Q332=2)),"سطح ۱ و ۲ این معین مال فعالیت و مرکز هزینه است","OK")))))</x:f>
      </x:c>
      <x:c r="T332" s="28"/>
    </x:row>
    <x:row r="333" spans="1:20">
      <x:c r="A333" s="21">
        <x:v>2684</x:v>
      </x:c>
      <x:c r="B333" s="22" t="s">
        <x:v>127</x:v>
      </x:c>
      <x:c r="C333" s="22" t="s">
        <x:v>268</x:v>
      </x:c>
      <x:c r="D333" s="22" t="s">
        <x:v>644</x:v>
      </x:c>
      <x:c r="E333" s="22" t="s">
        <x:v>926</x:v>
      </x:c>
      <x:c r="F333" s="22" t="s">
        <x:v>269</x:v>
      </x:c>
      <x:c r="G333" s="22">
        <x:v>4</x:v>
      </x:c>
      <x:c r="H333" s="23">
        <x:v>34658994</x:v>
      </x:c>
      <x:c r="I333" s="23">
        <x:v>34658994</x:v>
      </x:c>
      <x:c r="J333" s="23">
        <x:f>H333-I333</x:f>
      </x:c>
      <x:c r="K333" s="22">
        <x:v>1</x:v>
      </x:c>
      <x:c r="L333" s="24" t="s">
        <x:v>548</x:v>
      </x:c>
      <x:c r="M333" s="24"/>
      <x:c r="N333" s="27" t="s">
        <x:v>548</x:v>
      </x:c>
      <x:c r="O333" s="27"/>
      <x:c r="P333" s="26"/>
      <x:c r="Q333" s="27">
        <x:v>1</x:v>
      </x:c>
      <x:c r="R333" s="27"/>
      <x:c r="S333" s="22">
        <x:f>IF(N333="","تکمیل نشده",IF(N333="بدون تفصیلی (ثبت روی خود معین)","OK",IF(N333="ادغام با تفصیلی دیگر",IF(O333="","کلید مقصد خالی است",IF(IFERROR(MATCH(O333*1,$A:$A,0),0)=0,"کلید مقصد در این فهرست نیست",IF(O333*1=A333,"ادغام با خودش","OK"))),IF(Q333="","سطح شناور خالی است",IF(AND(FALSE,OR(Q333=1,Q333=2)),"سطح ۱ و ۲ این معین مال فعالیت و مرکز هزینه است","OK")))))</x:f>
      </x:c>
      <x:c r="T333" s="28"/>
    </x:row>
    <x:row r="334" spans="1:20">
      <x:c r="A334" s="21">
        <x:v>2685</x:v>
      </x:c>
      <x:c r="B334" s="22" t="s">
        <x:v>127</x:v>
      </x:c>
      <x:c r="C334" s="22" t="s">
        <x:v>268</x:v>
      </x:c>
      <x:c r="D334" s="22" t="s">
        <x:v>927</x:v>
      </x:c>
      <x:c r="E334" s="22" t="s">
        <x:v>928</x:v>
      </x:c>
      <x:c r="F334" s="22" t="s">
        <x:v>269</x:v>
      </x:c>
      <x:c r="G334" s="22">
        <x:v>4</x:v>
      </x:c>
      <x:c r="H334" s="23">
        <x:v>34658994</x:v>
      </x:c>
      <x:c r="I334" s="23">
        <x:v>404354930</x:v>
      </x:c>
      <x:c r="J334" s="23">
        <x:f>H334-I334</x:f>
      </x:c>
      <x:c r="K334" s="22">
        <x:v>1</x:v>
      </x:c>
      <x:c r="L334" s="24" t="s">
        <x:v>548</x:v>
      </x:c>
      <x:c r="M334" s="24"/>
      <x:c r="N334" s="27" t="s">
        <x:v>548</x:v>
      </x:c>
      <x:c r="O334" s="27"/>
      <x:c r="P334" s="26"/>
      <x:c r="Q334" s="27">
        <x:v>1</x:v>
      </x:c>
      <x:c r="R334" s="27"/>
      <x:c r="S334" s="22">
        <x:f>IF(N334="","تکمیل نشده",IF(N334="بدون تفصیلی (ثبت روی خود معین)","OK",IF(N334="ادغام با تفصیلی دیگر",IF(O334="","کلید مقصد خالی است",IF(IFERROR(MATCH(O334*1,$A:$A,0),0)=0,"کلید مقصد در این فهرست نیست",IF(O334*1=A334,"ادغام با خودش","OK"))),IF(Q334="","سطح شناور خالی است",IF(AND(FALSE,OR(Q334=1,Q334=2)),"سطح ۱ و ۲ این معین مال فعالیت و مرکز هزینه است","OK")))))</x:f>
      </x:c>
      <x:c r="T334" s="28"/>
    </x:row>
    <x:row r="335" spans="1:20">
      <x:c r="A335" s="21">
        <x:v>2686</x:v>
      </x:c>
      <x:c r="B335" s="22" t="s">
        <x:v>127</x:v>
      </x:c>
      <x:c r="C335" s="22" t="s">
        <x:v>268</x:v>
      </x:c>
      <x:c r="D335" s="22" t="s">
        <x:v>929</x:v>
      </x:c>
      <x:c r="E335" s="22" t="s">
        <x:v>930</x:v>
      </x:c>
      <x:c r="F335" s="22" t="s">
        <x:v>269</x:v>
      </x:c>
      <x:c r="G335" s="22">
        <x:v>4</x:v>
      </x:c>
      <x:c r="H335" s="23">
        <x:v>34658994</x:v>
      </x:c>
      <x:c r="I335" s="23">
        <x:v>138635976</x:v>
      </x:c>
      <x:c r="J335" s="23">
        <x:f>H335-I335</x:f>
      </x:c>
      <x:c r="K335" s="22">
        <x:v>1</x:v>
      </x:c>
      <x:c r="L335" s="24" t="s">
        <x:v>548</x:v>
      </x:c>
      <x:c r="M335" s="24"/>
      <x:c r="N335" s="27" t="s">
        <x:v>548</x:v>
      </x:c>
      <x:c r="O335" s="27"/>
      <x:c r="P335" s="26"/>
      <x:c r="Q335" s="27">
        <x:v>1</x:v>
      </x:c>
      <x:c r="R335" s="27"/>
      <x:c r="S335" s="22">
        <x:f>IF(N335="","تکمیل نشده",IF(N335="بدون تفصیلی (ثبت روی خود معین)","OK",IF(N335="ادغام با تفصیلی دیگر",IF(O335="","کلید مقصد خالی است",IF(IFERROR(MATCH(O335*1,$A:$A,0),0)=0,"کلید مقصد در این فهرست نیست",IF(O335*1=A335,"ادغام با خودش","OK"))),IF(Q335="","سطح شناور خالی است",IF(AND(FALSE,OR(Q335=1,Q335=2)),"سطح ۱ و ۲ این معین مال فعالیت و مرکز هزینه است","OK")))))</x:f>
      </x:c>
      <x:c r="T335" s="28"/>
    </x:row>
    <x:row r="336" spans="1:20">
      <x:c r="A336" s="21">
        <x:v>2689</x:v>
      </x:c>
      <x:c r="B336" s="22" t="s">
        <x:v>127</x:v>
      </x:c>
      <x:c r="C336" s="22" t="s">
        <x:v>270</x:v>
      </x:c>
      <x:c r="D336" s="22" t="s">
        <x:v>644</x:v>
      </x:c>
      <x:c r="E336" s="22" t="s">
        <x:v>931</x:v>
      </x:c>
      <x:c r="F336" s="22" t="s">
        <x:v>271</x:v>
      </x:c>
      <x:c r="G336" s="22">
        <x:v>1</x:v>
      </x:c>
      <x:c r="H336" s="23">
        <x:v>0</x:v>
      </x:c>
      <x:c r="I336" s="23">
        <x:v>760000000</x:v>
      </x:c>
      <x:c r="J336" s="23">
        <x:f>H336-I336</x:f>
      </x:c>
      <x:c r="K336" s="22">
        <x:v>1</x:v>
      </x:c>
      <x:c r="L336" s="24" t="s">
        <x:v>548</x:v>
      </x:c>
      <x:c r="M336" s="24"/>
      <x:c r="N336" s="27" t="s">
        <x:v>548</x:v>
      </x:c>
      <x:c r="O336" s="27"/>
      <x:c r="P336" s="26"/>
      <x:c r="Q336" s="27">
        <x:v>1</x:v>
      </x:c>
      <x:c r="R336" s="27"/>
      <x:c r="S336" s="22">
        <x:f>IF(N336="","تکمیل نشده",IF(N336="بدون تفصیلی (ثبت روی خود معین)","OK",IF(N336="ادغام با تفصیلی دیگر",IF(O336="","کلید مقصد خالی است",IF(IFERROR(MATCH(O336*1,$A:$A,0),0)=0,"کلید مقصد در این فهرست نیست",IF(O336*1=A336,"ادغام با خودش","OK"))),IF(Q336="","سطح شناور خالی است",IF(AND(FALSE,OR(Q336=1,Q336=2)),"سطح ۱ و ۲ این معین مال فعالیت و مرکز هزینه است","OK")))))</x:f>
      </x:c>
      <x:c r="T336" s="28"/>
    </x:row>
    <x:row r="337" spans="1:20">
      <x:c r="A337" s="21">
        <x:v>2698</x:v>
      </x:c>
      <x:c r="B337" s="22" t="s">
        <x:v>127</x:v>
      </x:c>
      <x:c r="C337" s="22" t="s">
        <x:v>272</x:v>
      </x:c>
      <x:c r="D337" s="22" t="s">
        <x:v>644</x:v>
      </x:c>
      <x:c r="E337" s="22" t="s">
        <x:v>932</x:v>
      </x:c>
      <x:c r="F337" s="22" t="s">
        <x:v>273</x:v>
      </x:c>
      <x:c r="G337" s="22">
        <x:v>7</x:v>
      </x:c>
      <x:c r="H337" s="23">
        <x:v>120320</x:v>
      </x:c>
      <x:c r="I337" s="23">
        <x:v>20000</x:v>
      </x:c>
      <x:c r="J337" s="23">
        <x:f>H337-I337</x:f>
      </x:c>
      <x:c r="K337" s="22">
        <x:v>1</x:v>
      </x:c>
      <x:c r="L337" s="24" t="s">
        <x:v>548</x:v>
      </x:c>
      <x:c r="M337" s="24"/>
      <x:c r="N337" s="27" t="s">
        <x:v>548</x:v>
      </x:c>
      <x:c r="O337" s="27"/>
      <x:c r="P337" s="26"/>
      <x:c r="Q337" s="27">
        <x:v>1</x:v>
      </x:c>
      <x:c r="R337" s="27"/>
      <x:c r="S337" s="22">
        <x:f>IF(N337="","تکمیل نشده",IF(N337="بدون تفصیلی (ثبت روی خود معین)","OK",IF(N337="ادغام با تفصیلی دیگر",IF(O337="","کلید مقصد خالی است",IF(IFERROR(MATCH(O337*1,$A:$A,0),0)=0,"کلید مقصد در این فهرست نیست",IF(O337*1=A337,"ادغام با خودش","OK"))),IF(Q337="","سطح شناور خالی است",IF(AND(FALSE,OR(Q337=1,Q337=2)),"سطح ۱ و ۲ این معین مال فعالیت و مرکز هزینه است","OK")))))</x:f>
      </x:c>
      <x:c r="T337" s="28"/>
    </x:row>
    <x:row r="338" spans="1:20">
      <x:c r="A338" s="21">
        <x:v>2700</x:v>
      </x:c>
      <x:c r="B338" s="22" t="s">
        <x:v>127</x:v>
      </x:c>
      <x:c r="C338" s="22" t="s">
        <x:v>272</x:v>
      </x:c>
      <x:c r="D338" s="22" t="s">
        <x:v>705</x:v>
      </x:c>
      <x:c r="E338" s="22" t="s">
        <x:v>933</x:v>
      </x:c>
      <x:c r="F338" s="22" t="s">
        <x:v>273</x:v>
      </x:c>
      <x:c r="G338" s="22">
        <x:v>6</x:v>
      </x:c>
      <x:c r="H338" s="23">
        <x:v>181251010</x:v>
      </x:c>
      <x:c r="I338" s="23">
        <x:v>2000</x:v>
      </x:c>
      <x:c r="J338" s="23">
        <x:f>H338-I338</x:f>
      </x:c>
      <x:c r="K338" s="22">
        <x:v>1</x:v>
      </x:c>
      <x:c r="L338" s="24" t="s">
        <x:v>548</x:v>
      </x:c>
      <x:c r="M338" s="24"/>
      <x:c r="N338" s="27" t="s">
        <x:v>548</x:v>
      </x:c>
      <x:c r="O338" s="27"/>
      <x:c r="P338" s="26"/>
      <x:c r="Q338" s="27">
        <x:v>1</x:v>
      </x:c>
      <x:c r="R338" s="27"/>
      <x:c r="S338" s="22">
        <x:f>IF(N338="","تکمیل نشده",IF(N338="بدون تفصیلی (ثبت روی خود معین)","OK",IF(N338="ادغام با تفصیلی دیگر",IF(O338="","کلید مقصد خالی است",IF(IFERROR(MATCH(O338*1,$A:$A,0),0)=0,"کلید مقصد در این فهرست نیست",IF(O338*1=A338,"ادغام با خودش","OK"))),IF(Q338="","سطح شناور خالی است",IF(AND(FALSE,OR(Q338=1,Q338=2)),"سطح ۱ و ۲ این معین مال فعالیت و مرکز هزینه است","OK")))))</x:f>
      </x:c>
      <x:c r="T338" s="28"/>
    </x:row>
    <x:row r="339" spans="1:20">
      <x:c r="A339" s="21">
        <x:v>2701</x:v>
      </x:c>
      <x:c r="B339" s="22" t="s">
        <x:v>127</x:v>
      </x:c>
      <x:c r="C339" s="22" t="s">
        <x:v>272</x:v>
      </x:c>
      <x:c r="D339" s="22" t="s">
        <x:v>646</x:v>
      </x:c>
      <x:c r="E339" s="22" t="s">
        <x:v>934</x:v>
      </x:c>
      <x:c r="F339" s="22" t="s">
        <x:v>273</x:v>
      </x:c>
      <x:c r="G339" s="22">
        <x:v>14</x:v>
      </x:c>
      <x:c r="H339" s="23">
        <x:v>531252067</x:v>
      </x:c>
      <x:c r="I339" s="23">
        <x:v>531252067</x:v>
      </x:c>
      <x:c r="J339" s="23">
        <x:f>H339-I339</x:f>
      </x:c>
      <x:c r="K339" s="22">
        <x:v>1</x:v>
      </x:c>
      <x:c r="L339" s="24" t="s">
        <x:v>548</x:v>
      </x:c>
      <x:c r="M339" s="24"/>
      <x:c r="N339" s="27" t="s">
        <x:v>548</x:v>
      </x:c>
      <x:c r="O339" s="27"/>
      <x:c r="P339" s="26"/>
      <x:c r="Q339" s="27">
        <x:v>1</x:v>
      </x:c>
      <x:c r="R339" s="27"/>
      <x:c r="S339" s="22">
        <x:f>IF(N339="","تکمیل نشده",IF(N339="بدون تفصیلی (ثبت روی خود معین)","OK",IF(N339="ادغام با تفصیلی دیگر",IF(O339="","کلید مقصد خالی است",IF(IFERROR(MATCH(O339*1,$A:$A,0),0)=0,"کلید مقصد در این فهرست نیست",IF(O339*1=A339,"ادغام با خودش","OK"))),IF(Q339="","سطح شناور خالی است",IF(AND(FALSE,OR(Q339=1,Q339=2)),"سطح ۱ و ۲ این معین مال فعالیت و مرکز هزینه است","OK")))))</x:f>
      </x:c>
      <x:c r="T339" s="28"/>
    </x:row>
    <x:row r="340" spans="1:20">
      <x:c r="A340" s="21">
        <x:v>2702</x:v>
      </x:c>
      <x:c r="B340" s="22" t="s">
        <x:v>127</x:v>
      </x:c>
      <x:c r="C340" s="22" t="s">
        <x:v>272</x:v>
      </x:c>
      <x:c r="D340" s="22" t="s">
        <x:v>648</x:v>
      </x:c>
      <x:c r="E340" s="22" t="s">
        <x:v>935</x:v>
      </x:c>
      <x:c r="F340" s="22" t="s">
        <x:v>273</x:v>
      </x:c>
      <x:c r="G340" s="22">
        <x:v>38</x:v>
      </x:c>
      <x:c r="H340" s="23">
        <x:v>113595660</x:v>
      </x:c>
      <x:c r="I340" s="23">
        <x:v>113595660</x:v>
      </x:c>
      <x:c r="J340" s="23">
        <x:f>H340-I340</x:f>
      </x:c>
      <x:c r="K340" s="22">
        <x:v>1</x:v>
      </x:c>
      <x:c r="L340" s="24" t="s">
        <x:v>548</x:v>
      </x:c>
      <x:c r="M340" s="24"/>
      <x:c r="N340" s="27" t="s">
        <x:v>548</x:v>
      </x:c>
      <x:c r="O340" s="27"/>
      <x:c r="P340" s="26"/>
      <x:c r="Q340" s="27">
        <x:v>1</x:v>
      </x:c>
      <x:c r="R340" s="27"/>
      <x:c r="S340" s="22">
        <x:f>IF(N340="","تکمیل نشده",IF(N340="بدون تفصیلی (ثبت روی خود معین)","OK",IF(N340="ادغام با تفصیلی دیگر",IF(O340="","کلید مقصد خالی است",IF(IFERROR(MATCH(O340*1,$A:$A,0),0)=0,"کلید مقصد در این فهرست نیست",IF(O340*1=A340,"ادغام با خودش","OK"))),IF(Q340="","سطح شناور خالی است",IF(AND(FALSE,OR(Q340=1,Q340=2)),"سطح ۱ و ۲ این معین مال فعالیت و مرکز هزینه است","OK")))))</x:f>
      </x:c>
      <x:c r="T340" s="28"/>
    </x:row>
    <x:row r="341" spans="1:20">
      <x:c r="A341" s="21">
        <x:v>2705</x:v>
      </x:c>
      <x:c r="B341" s="22" t="s">
        <x:v>127</x:v>
      </x:c>
      <x:c r="C341" s="22" t="s">
        <x:v>272</x:v>
      </x:c>
      <x:c r="D341" s="22" t="s">
        <x:v>654</x:v>
      </x:c>
      <x:c r="E341" s="22" t="s">
        <x:v>936</x:v>
      </x:c>
      <x:c r="F341" s="22" t="s">
        <x:v>273</x:v>
      </x:c>
      <x:c r="G341" s="22">
        <x:v>72</x:v>
      </x:c>
      <x:c r="H341" s="23">
        <x:v>3099201713</x:v>
      </x:c>
      <x:c r="I341" s="23">
        <x:v>3099201713</x:v>
      </x:c>
      <x:c r="J341" s="23">
        <x:f>H341-I341</x:f>
      </x:c>
      <x:c r="K341" s="22">
        <x:v>1</x:v>
      </x:c>
      <x:c r="L341" s="24" t="s">
        <x:v>548</x:v>
      </x:c>
      <x:c r="M341" s="24"/>
      <x:c r="N341" s="27" t="s">
        <x:v>548</x:v>
      </x:c>
      <x:c r="O341" s="27"/>
      <x:c r="P341" s="26"/>
      <x:c r="Q341" s="27">
        <x:v>1</x:v>
      </x:c>
      <x:c r="R341" s="27"/>
      <x:c r="S341" s="22">
        <x:f>IF(N341="","تکمیل نشده",IF(N341="بدون تفصیلی (ثبت روی خود معین)","OK",IF(N341="ادغام با تفصیلی دیگر",IF(O341="","کلید مقصد خالی است",IF(IFERROR(MATCH(O341*1,$A:$A,0),0)=0,"کلید مقصد در این فهرست نیست",IF(O341*1=A341,"ادغام با خودش","OK"))),IF(Q341="","سطح شناور خالی است",IF(AND(FALSE,OR(Q341=1,Q341=2)),"سطح ۱ و ۲ این معین مال فعالیت و مرکز هزینه است","OK")))))</x:f>
      </x:c>
      <x:c r="T341" s="28"/>
    </x:row>
    <x:row r="342" spans="1:20">
      <x:c r="A342" s="21">
        <x:v>3726</x:v>
      </x:c>
      <x:c r="B342" s="22" t="s">
        <x:v>127</x:v>
      </x:c>
      <x:c r="C342" s="22" t="s">
        <x:v>272</x:v>
      </x:c>
      <x:c r="D342" s="22" t="s">
        <x:v>729</x:v>
      </x:c>
      <x:c r="E342" s="22" t="s">
        <x:v>503</x:v>
      </x:c>
      <x:c r="F342" s="22" t="s">
        <x:v>273</x:v>
      </x:c>
      <x:c r="G342" s="22">
        <x:v>5</x:v>
      </x:c>
      <x:c r="H342" s="23">
        <x:v>14006122</x:v>
      </x:c>
      <x:c r="I342" s="23">
        <x:v>14006122</x:v>
      </x:c>
      <x:c r="J342" s="23">
        <x:f>H342-I342</x:f>
      </x:c>
      <x:c r="K342" s="22">
        <x:v>1</x:v>
      </x:c>
      <x:c r="L342" s="24" t="s">
        <x:v>548</x:v>
      </x:c>
      <x:c r="M342" s="24"/>
      <x:c r="N342" s="27" t="s">
        <x:v>548</x:v>
      </x:c>
      <x:c r="O342" s="27"/>
      <x:c r="P342" s="26"/>
      <x:c r="Q342" s="27">
        <x:v>1</x:v>
      </x:c>
      <x:c r="R342" s="27"/>
      <x:c r="S342" s="22">
        <x:f>IF(N342="","تکمیل نشده",IF(N342="بدون تفصیلی (ثبت روی خود معین)","OK",IF(N342="ادغام با تفصیلی دیگر",IF(O342="","کلید مقصد خالی است",IF(IFERROR(MATCH(O342*1,$A:$A,0),0)=0,"کلید مقصد در این فهرست نیست",IF(O342*1=A342,"ادغام با خودش","OK"))),IF(Q342="","سطح شناور خالی است",IF(AND(FALSE,OR(Q342=1,Q342=2)),"سطح ۱ و ۲ این معین مال فعالیت و مرکز هزینه است","OK")))))</x:f>
      </x:c>
      <x:c r="T342" s="28"/>
    </x:row>
    <x:row r="343" spans="1:20">
      <x:c r="A343" s="21">
        <x:v>3727</x:v>
      </x:c>
      <x:c r="B343" s="22" t="s">
        <x:v>127</x:v>
      </x:c>
      <x:c r="C343" s="22" t="s">
        <x:v>272</x:v>
      </x:c>
      <x:c r="D343" s="22" t="s">
        <x:v>775</x:v>
      </x:c>
      <x:c r="E343" s="22" t="s">
        <x:v>937</x:v>
      </x:c>
      <x:c r="F343" s="22" t="s">
        <x:v>273</x:v>
      </x:c>
      <x:c r="G343" s="22">
        <x:v>9</x:v>
      </x:c>
      <x:c r="H343" s="23">
        <x:v>11524272</x:v>
      </x:c>
      <x:c r="I343" s="23">
        <x:v>11524272</x:v>
      </x:c>
      <x:c r="J343" s="23">
        <x:f>H343-I343</x:f>
      </x:c>
      <x:c r="K343" s="22">
        <x:v>1</x:v>
      </x:c>
      <x:c r="L343" s="24" t="s">
        <x:v>548</x:v>
      </x:c>
      <x:c r="M343" s="24"/>
      <x:c r="N343" s="27" t="s">
        <x:v>548</x:v>
      </x:c>
      <x:c r="O343" s="27"/>
      <x:c r="P343" s="26"/>
      <x:c r="Q343" s="27">
        <x:v>1</x:v>
      </x:c>
      <x:c r="R343" s="27"/>
      <x:c r="S343" s="22">
        <x:f>IF(N343="","تکمیل نشده",IF(N343="بدون تفصیلی (ثبت روی خود معین)","OK",IF(N343="ادغام با تفصیلی دیگر",IF(O343="","کلید مقصد خالی است",IF(IFERROR(MATCH(O343*1,$A:$A,0),0)=0,"کلید مقصد در این فهرست نیست",IF(O343*1=A343,"ادغام با خودش","OK"))),IF(Q343="","سطح شناور خالی است",IF(AND(FALSE,OR(Q343=1,Q343=2)),"سطح ۱ و ۲ این معین مال فعالیت و مرکز هزینه است","OK")))))</x:f>
      </x:c>
      <x:c r="T343" s="28"/>
    </x:row>
    <x:row r="344" spans="1:20">
      <x:c r="A344" s="21">
        <x:v>2707</x:v>
      </x:c>
      <x:c r="B344" s="22" t="s">
        <x:v>127</x:v>
      </x:c>
      <x:c r="C344" s="22" t="s">
        <x:v>272</x:v>
      </x:c>
      <x:c r="D344" s="22" t="s">
        <x:v>938</x:v>
      </x:c>
      <x:c r="E344" s="22" t="s">
        <x:v>939</x:v>
      </x:c>
      <x:c r="F344" s="22" t="s">
        <x:v>273</x:v>
      </x:c>
      <x:c r="G344" s="22">
        <x:v>63</x:v>
      </x:c>
      <x:c r="H344" s="23">
        <x:v>90564070379</x:v>
      </x:c>
      <x:c r="I344" s="23">
        <x:v>22685690788</x:v>
      </x:c>
      <x:c r="J344" s="23">
        <x:f>H344-I344</x:f>
      </x:c>
      <x:c r="K344" s="22">
        <x:v>1</x:v>
      </x:c>
      <x:c r="L344" s="24" t="s">
        <x:v>548</x:v>
      </x:c>
      <x:c r="M344" s="24"/>
      <x:c r="N344" s="27" t="s">
        <x:v>548</x:v>
      </x:c>
      <x:c r="O344" s="27"/>
      <x:c r="P344" s="26"/>
      <x:c r="Q344" s="27">
        <x:v>1</x:v>
      </x:c>
      <x:c r="R344" s="27"/>
      <x:c r="S344" s="22">
        <x:f>IF(N344="","تکمیل نشده",IF(N344="بدون تفصیلی (ثبت روی خود معین)","OK",IF(N344="ادغام با تفصیلی دیگر",IF(O344="","کلید مقصد خالی است",IF(IFERROR(MATCH(O344*1,$A:$A,0),0)=0,"کلید مقصد در این فهرست نیست",IF(O344*1=A344,"ادغام با خودش","OK"))),IF(Q344="","سطح شناور خالی است",IF(AND(FALSE,OR(Q344=1,Q344=2)),"سطح ۱ و ۲ این معین مال فعالیت و مرکز هزینه است","OK")))))</x:f>
      </x:c>
      <x:c r="T344" s="28"/>
    </x:row>
    <x:row r="345" spans="1:20">
      <x:c r="A345" s="21">
        <x:v>11221</x:v>
      </x:c>
      <x:c r="B345" s="22" t="s">
        <x:v>135</x:v>
      </x:c>
      <x:c r="C345" s="22" t="s">
        <x:v>237</x:v>
      </x:c>
      <x:c r="D345" s="22" t="s">
        <x:v>644</x:v>
      </x:c>
      <x:c r="E345" s="22" t="s">
        <x:v>940</x:v>
      </x:c>
      <x:c r="F345" s="22" t="s">
        <x:v>274</x:v>
      </x:c>
      <x:c r="G345" s="22">
        <x:v>5</x:v>
      </x:c>
      <x:c r="H345" s="23">
        <x:v>760000104</x:v>
      </x:c>
      <x:c r="I345" s="23">
        <x:v>110</x:v>
      </x:c>
      <x:c r="J345" s="23">
        <x:f>H345-I345</x:f>
      </x:c>
      <x:c r="K345" s="22">
        <x:v>1</x:v>
      </x:c>
      <x:c r="L345" s="24" t="s">
        <x:v>548</x:v>
      </x:c>
      <x:c r="M345" s="24"/>
      <x:c r="N345" s="27" t="s">
        <x:v>548</x:v>
      </x:c>
      <x:c r="O345" s="27"/>
      <x:c r="P345" s="26"/>
      <x:c r="Q345" s="27">
        <x:v>3</x:v>
      </x:c>
      <x:c r="R345" s="27"/>
      <x:c r="S345" s="22">
        <x:f>IF(N345="","تکمیل نشده",IF(N345="بدون تفصیلی (ثبت روی خود معین)","OK",IF(N345="ادغام با تفصیلی دیگر",IF(O345="","کلید مقصد خالی است",IF(IFERROR(MATCH(O345*1,$A:$A,0),0)=0,"کلید مقصد در این فهرست نیست",IF(O345*1=A345,"ادغام با خودش","OK"))),IF(Q345="","سطح شناور خالی است",IF(AND(TRUE,OR(Q345=1,Q345=2)),"سطح ۱ و ۲ این معین مال فعالیت و مرکز هزینه است","OK")))))</x:f>
      </x:c>
      <x:c r="T345" s="28"/>
    </x:row>
    <x:row r="346" spans="1:20">
      <x:c r="A346" s="21">
        <x:v>2745</x:v>
      </x:c>
      <x:c r="B346" s="22" t="s">
        <x:v>135</x:v>
      </x:c>
      <x:c r="C346" s="22" t="s">
        <x:v>237</x:v>
      </x:c>
      <x:c r="D346" s="22" t="s">
        <x:v>927</x:v>
      </x:c>
      <x:c r="E346" s="22" t="s">
        <x:v>941</x:v>
      </x:c>
      <x:c r="F346" s="22" t="s">
        <x:v>274</x:v>
      </x:c>
      <x:c r="G346" s="22">
        <x:v>48</x:v>
      </x:c>
      <x:c r="H346" s="23">
        <x:v>100006118144221</x:v>
      </x:c>
      <x:c r="I346" s="23">
        <x:v>7921105978</x:v>
      </x:c>
      <x:c r="J346" s="23">
        <x:f>H346-I346</x:f>
      </x:c>
      <x:c r="K346" s="22">
        <x:v>1</x:v>
      </x:c>
      <x:c r="L346" s="24" t="s">
        <x:v>548</x:v>
      </x:c>
      <x:c r="M346" s="24"/>
      <x:c r="N346" s="27" t="s">
        <x:v>548</x:v>
      </x:c>
      <x:c r="O346" s="27"/>
      <x:c r="P346" s="26"/>
      <x:c r="Q346" s="27">
        <x:v>3</x:v>
      </x:c>
      <x:c r="R346" s="27"/>
      <x:c r="S346" s="22">
        <x:f>IF(N346="","تکمیل نشده",IF(N346="بدون تفصیلی (ثبت روی خود معین)","OK",IF(N346="ادغام با تفصیلی دیگر",IF(O346="","کلید مقصد خالی است",IF(IFERROR(MATCH(O346*1,$A:$A,0),0)=0,"کلید مقصد در این فهرست نیست",IF(O346*1=A346,"ادغام با خودش","OK"))),IF(Q346="","سطح شناور خالی است",IF(AND(TRUE,OR(Q346=1,Q346=2)),"سطح ۱ و ۲ این معین مال فعالیت و مرکز هزینه است","OK")))))</x:f>
      </x:c>
      <x:c r="T346" s="28"/>
    </x:row>
    <x:row r="347" spans="1:20">
      <x:c r="A347" s="21">
        <x:v>2746</x:v>
      </x:c>
      <x:c r="B347" s="22" t="s">
        <x:v>135</x:v>
      </x:c>
      <x:c r="C347" s="22" t="s">
        <x:v>237</x:v>
      </x:c>
      <x:c r="D347" s="22" t="s">
        <x:v>921</x:v>
      </x:c>
      <x:c r="E347" s="22" t="s">
        <x:v>942</x:v>
      </x:c>
      <x:c r="F347" s="22" t="s">
        <x:v>274</x:v>
      </x:c>
      <x:c r="G347" s="22">
        <x:v>14</x:v>
      </x:c>
      <x:c r="H347" s="23">
        <x:v>3529591205</x:v>
      </x:c>
      <x:c r="I347" s="23">
        <x:v>4589259185</x:v>
      </x:c>
      <x:c r="J347" s="23">
        <x:f>H347-I347</x:f>
      </x:c>
      <x:c r="K347" s="22">
        <x:v>1</x:v>
      </x:c>
      <x:c r="L347" s="24" t="s">
        <x:v>548</x:v>
      </x:c>
      <x:c r="M347" s="24"/>
      <x:c r="N347" s="27" t="s">
        <x:v>548</x:v>
      </x:c>
      <x:c r="O347" s="27"/>
      <x:c r="P347" s="26"/>
      <x:c r="Q347" s="27">
        <x:v>3</x:v>
      </x:c>
      <x:c r="R347" s="27"/>
      <x:c r="S347" s="22">
        <x:f>IF(N347="","تکمیل نشده",IF(N347="بدون تفصیلی (ثبت روی خود معین)","OK",IF(N347="ادغام با تفصیلی دیگر",IF(O347="","کلید مقصد خالی است",IF(IFERROR(MATCH(O347*1,$A:$A,0),0)=0,"کلید مقصد در این فهرست نیست",IF(O347*1=A347,"ادغام با خودش","OK"))),IF(Q347="","سطح شناور خالی است",IF(AND(TRUE,OR(Q347=1,Q347=2)),"سطح ۱ و ۲ این معین مال فعالیت و مرکز هزینه است","OK")))))</x:f>
      </x:c>
      <x:c r="T347" s="28"/>
    </x:row>
    <x:row r="348" spans="1:20">
      <x:c r="A348" s="21">
        <x:v>2747</x:v>
      </x:c>
      <x:c r="B348" s="22" t="s">
        <x:v>135</x:v>
      </x:c>
      <x:c r="C348" s="22" t="s">
        <x:v>237</x:v>
      </x:c>
      <x:c r="D348" s="22" t="s">
        <x:v>564</x:v>
      </x:c>
      <x:c r="E348" s="22" t="s">
        <x:v>943</x:v>
      </x:c>
      <x:c r="F348" s="22" t="s">
        <x:v>274</x:v>
      </x:c>
      <x:c r="G348" s="22">
        <x:v>14</x:v>
      </x:c>
      <x:c r="H348" s="23">
        <x:v>1071886204</x:v>
      </x:c>
      <x:c r="I348" s="23">
        <x:v>1397407134</x:v>
      </x:c>
      <x:c r="J348" s="23">
        <x:f>H348-I348</x:f>
      </x:c>
      <x:c r="K348" s="22">
        <x:v>1</x:v>
      </x:c>
      <x:c r="L348" s="24" t="s">
        <x:v>548</x:v>
      </x:c>
      <x:c r="M348" s="24"/>
      <x:c r="N348" s="27" t="s">
        <x:v>548</x:v>
      </x:c>
      <x:c r="O348" s="27"/>
      <x:c r="P348" s="26"/>
      <x:c r="Q348" s="27">
        <x:v>3</x:v>
      </x:c>
      <x:c r="R348" s="27"/>
      <x:c r="S348" s="22">
        <x:f>IF(N348="","تکمیل نشده",IF(N348="بدون تفصیلی (ثبت روی خود معین)","OK",IF(N348="ادغام با تفصیلی دیگر",IF(O348="","کلید مقصد خالی است",IF(IFERROR(MATCH(O348*1,$A:$A,0),0)=0,"کلید مقصد در این فهرست نیست",IF(O348*1=A348,"ادغام با خودش","OK"))),IF(Q348="","سطح شناور خالی است",IF(AND(TRUE,OR(Q348=1,Q348=2)),"سطح ۱ و ۲ این معین مال فعالیت و مرکز هزینه است","OK")))))</x:f>
      </x:c>
      <x:c r="T348" s="28"/>
    </x:row>
    <x:row r="349" spans="1:20">
      <x:c r="A349" s="21">
        <x:v>2748</x:v>
      </x:c>
      <x:c r="B349" s="22" t="s">
        <x:v>135</x:v>
      </x:c>
      <x:c r="C349" s="22" t="s">
        <x:v>237</x:v>
      </x:c>
      <x:c r="D349" s="22" t="s">
        <x:v>944</x:v>
      </x:c>
      <x:c r="E349" s="22" t="s">
        <x:v>945</x:v>
      </x:c>
      <x:c r="F349" s="22" t="s">
        <x:v>274</x:v>
      </x:c>
      <x:c r="G349" s="22">
        <x:v>13</x:v>
      </x:c>
      <x:c r="H349" s="23">
        <x:v>1775258718</x:v>
      </x:c>
      <x:c r="I349" s="23">
        <x:v>2351730439</x:v>
      </x:c>
      <x:c r="J349" s="23">
        <x:f>H349-I349</x:f>
      </x:c>
      <x:c r="K349" s="22">
        <x:v>1</x:v>
      </x:c>
      <x:c r="L349" s="24" t="s">
        <x:v>548</x:v>
      </x:c>
      <x:c r="M349" s="24"/>
      <x:c r="N349" s="27" t="s">
        <x:v>548</x:v>
      </x:c>
      <x:c r="O349" s="27"/>
      <x:c r="P349" s="26"/>
      <x:c r="Q349" s="27">
        <x:v>3</x:v>
      </x:c>
      <x:c r="R349" s="27"/>
      <x:c r="S349" s="22">
        <x:f>IF(N349="","تکمیل نشده",IF(N349="بدون تفصیلی (ثبت روی خود معین)","OK",IF(N349="ادغام با تفصیلی دیگر",IF(O349="","کلید مقصد خالی است",IF(IFERROR(MATCH(O349*1,$A:$A,0),0)=0,"کلید مقصد در این فهرست نیست",IF(O349*1=A349,"ادغام با خودش","OK"))),IF(Q349="","سطح شناور خالی است",IF(AND(TRUE,OR(Q349=1,Q349=2)),"سطح ۱ و ۲ این معین مال فعالیت و مرکز هزینه است","OK")))))</x:f>
      </x:c>
      <x:c r="T349" s="28"/>
    </x:row>
    <x:row r="350" spans="1:20">
      <x:c r="A350" s="21">
        <x:v>2749</x:v>
      </x:c>
      <x:c r="B350" s="22" t="s">
        <x:v>135</x:v>
      </x:c>
      <x:c r="C350" s="22" t="s">
        <x:v>237</x:v>
      </x:c>
      <x:c r="D350" s="22" t="s">
        <x:v>946</x:v>
      </x:c>
      <x:c r="E350" s="22" t="s">
        <x:v>947</x:v>
      </x:c>
      <x:c r="F350" s="22" t="s">
        <x:v>274</x:v>
      </x:c>
      <x:c r="G350" s="22">
        <x:v>13</x:v>
      </x:c>
      <x:c r="H350" s="23">
        <x:v>3629039285</x:v>
      </x:c>
      <x:c r="I350" s="23">
        <x:v>4763105883</x:v>
      </x:c>
      <x:c r="J350" s="23">
        <x:f>H350-I350</x:f>
      </x:c>
      <x:c r="K350" s="22">
        <x:v>1</x:v>
      </x:c>
      <x:c r="L350" s="24" t="s">
        <x:v>548</x:v>
      </x:c>
      <x:c r="M350" s="24"/>
      <x:c r="N350" s="27" t="s">
        <x:v>548</x:v>
      </x:c>
      <x:c r="O350" s="27"/>
      <x:c r="P350" s="26"/>
      <x:c r="Q350" s="27">
        <x:v>3</x:v>
      </x:c>
      <x:c r="R350" s="27"/>
      <x:c r="S350" s="22">
        <x:f>IF(N350="","تکمیل نشده",IF(N350="بدون تفصیلی (ثبت روی خود معین)","OK",IF(N350="ادغام با تفصیلی دیگر",IF(O350="","کلید مقصد خالی است",IF(IFERROR(MATCH(O350*1,$A:$A,0),0)=0,"کلید مقصد در این فهرست نیست",IF(O350*1=A350,"ادغام با خودش","OK"))),IF(Q350="","سطح شناور خالی است",IF(AND(TRUE,OR(Q350=1,Q350=2)),"سطح ۱ و ۲ این معین مال فعالیت و مرکز هزینه است","OK")))))</x:f>
      </x:c>
      <x:c r="T350" s="28"/>
    </x:row>
    <x:row r="351" spans="1:20">
      <x:c r="A351" s="21">
        <x:v>2750</x:v>
      </x:c>
      <x:c r="B351" s="22" t="s">
        <x:v>135</x:v>
      </x:c>
      <x:c r="C351" s="22" t="s">
        <x:v>237</x:v>
      </x:c>
      <x:c r="D351" s="22" t="s">
        <x:v>948</x:v>
      </x:c>
      <x:c r="E351" s="22" t="s">
        <x:v>949</x:v>
      </x:c>
      <x:c r="F351" s="22" t="s">
        <x:v>274</x:v>
      </x:c>
      <x:c r="G351" s="22">
        <x:v>9</x:v>
      </x:c>
      <x:c r="H351" s="23">
        <x:v>24961293</x:v>
      </x:c>
      <x:c r="I351" s="23">
        <x:v>0</x:v>
      </x:c>
      <x:c r="J351" s="23">
        <x:f>H351-I351</x:f>
      </x:c>
      <x:c r="K351" s="22">
        <x:v>1</x:v>
      </x:c>
      <x:c r="L351" s="24" t="s">
        <x:v>548</x:v>
      </x:c>
      <x:c r="M351" s="24"/>
      <x:c r="N351" s="27" t="s">
        <x:v>548</x:v>
      </x:c>
      <x:c r="O351" s="27"/>
      <x:c r="P351" s="26"/>
      <x:c r="Q351" s="27">
        <x:v>3</x:v>
      </x:c>
      <x:c r="R351" s="27"/>
      <x:c r="S351" s="22">
        <x:f>IF(N351="","تکمیل نشده",IF(N351="بدون تفصیلی (ثبت روی خود معین)","OK",IF(N351="ادغام با تفصیلی دیگر",IF(O351="","کلید مقصد خالی است",IF(IFERROR(MATCH(O351*1,$A:$A,0),0)=0,"کلید مقصد در این فهرست نیست",IF(O351*1=A351,"ادغام با خودش","OK"))),IF(Q351="","سطح شناور خالی است",IF(AND(TRUE,OR(Q351=1,Q351=2)),"سطح ۱ و ۲ این معین مال فعالیت و مرکز هزینه است","OK")))))</x:f>
      </x:c>
      <x:c r="T351" s="28"/>
    </x:row>
    <x:row r="352" spans="1:20">
      <x:c r="A352" s="21">
        <x:v>2751</x:v>
      </x:c>
      <x:c r="B352" s="22" t="s">
        <x:v>135</x:v>
      </x:c>
      <x:c r="C352" s="22" t="s">
        <x:v>237</x:v>
      </x:c>
      <x:c r="D352" s="22" t="s">
        <x:v>950</x:v>
      </x:c>
      <x:c r="E352" s="22" t="s">
        <x:v>951</x:v>
      </x:c>
      <x:c r="F352" s="22" t="s">
        <x:v>274</x:v>
      </x:c>
      <x:c r="G352" s="22">
        <x:v>1</x:v>
      </x:c>
      <x:c r="H352" s="23">
        <x:v>10</x:v>
      </x:c>
      <x:c r="I352" s="23">
        <x:v>0</x:v>
      </x:c>
      <x:c r="J352" s="23">
        <x:f>H352-I352</x:f>
      </x:c>
      <x:c r="K352" s="22">
        <x:v>1</x:v>
      </x:c>
      <x:c r="L352" s="24" t="s">
        <x:v>548</x:v>
      </x:c>
      <x:c r="M352" s="24"/>
      <x:c r="N352" s="27" t="s">
        <x:v>548</x:v>
      </x:c>
      <x:c r="O352" s="27"/>
      <x:c r="P352" s="26"/>
      <x:c r="Q352" s="27">
        <x:v>3</x:v>
      </x:c>
      <x:c r="R352" s="27"/>
      <x:c r="S352" s="22">
        <x:f>IF(N352="","تکمیل نشده",IF(N352="بدون تفصیلی (ثبت روی خود معین)","OK",IF(N352="ادغام با تفصیلی دیگر",IF(O352="","کلید مقصد خالی است",IF(IFERROR(MATCH(O352*1,$A:$A,0),0)=0,"کلید مقصد در این فهرست نیست",IF(O352*1=A352,"ادغام با خودش","OK"))),IF(Q352="","سطح شناور خالی است",IF(AND(TRUE,OR(Q352=1,Q352=2)),"سطح ۱ و ۲ این معین مال فعالیت و مرکز هزینه است","OK")))))</x:f>
      </x:c>
      <x:c r="T352" s="28"/>
    </x:row>
    <x:row r="353" spans="1:20">
      <x:c r="A353" s="21">
        <x:v>2758</x:v>
      </x:c>
      <x:c r="B353" s="22" t="s">
        <x:v>135</x:v>
      </x:c>
      <x:c r="C353" s="22" t="s">
        <x:v>237</x:v>
      </x:c>
      <x:c r="D353" s="22" t="s">
        <x:v>952</x:v>
      </x:c>
      <x:c r="E353" s="22" t="s">
        <x:v>953</x:v>
      </x:c>
      <x:c r="F353" s="22" t="s">
        <x:v>274</x:v>
      </x:c>
      <x:c r="G353" s="22">
        <x:v>12</x:v>
      </x:c>
      <x:c r="H353" s="23">
        <x:v>1241495789</x:v>
      </x:c>
      <x:c r="I353" s="23">
        <x:v>1620014084</x:v>
      </x:c>
      <x:c r="J353" s="23">
        <x:f>H353-I353</x:f>
      </x:c>
      <x:c r="K353" s="22">
        <x:v>1</x:v>
      </x:c>
      <x:c r="L353" s="24" t="s">
        <x:v>548</x:v>
      </x:c>
      <x:c r="M353" s="24"/>
      <x:c r="N353" s="27" t="s">
        <x:v>548</x:v>
      </x:c>
      <x:c r="O353" s="27"/>
      <x:c r="P353" s="26"/>
      <x:c r="Q353" s="27">
        <x:v>3</x:v>
      </x:c>
      <x:c r="R353" s="27"/>
      <x:c r="S353" s="22">
        <x:f>IF(N353="","تکمیل نشده",IF(N353="بدون تفصیلی (ثبت روی خود معین)","OK",IF(N353="ادغام با تفصیلی دیگر",IF(O353="","کلید مقصد خالی است",IF(IFERROR(MATCH(O353*1,$A:$A,0),0)=0,"کلید مقصد در این فهرست نیست",IF(O353*1=A353,"ادغام با خودش","OK"))),IF(Q353="","سطح شناور خالی است",IF(AND(TRUE,OR(Q353=1,Q353=2)),"سطح ۱ و ۲ این معین مال فعالیت و مرکز هزینه است","OK")))))</x:f>
      </x:c>
      <x:c r="T353" s="28"/>
    </x:row>
    <x:row r="354" spans="1:20">
      <x:c r="A354" s="21">
        <x:v>2759</x:v>
      </x:c>
      <x:c r="B354" s="22" t="s">
        <x:v>135</x:v>
      </x:c>
      <x:c r="C354" s="22" t="s">
        <x:v>237</x:v>
      </x:c>
      <x:c r="D354" s="22" t="s">
        <x:v>954</x:v>
      </x:c>
      <x:c r="E354" s="22" t="s">
        <x:v>955</x:v>
      </x:c>
      <x:c r="F354" s="22" t="s">
        <x:v>274</x:v>
      </x:c>
      <x:c r="G354" s="22">
        <x:v>12</x:v>
      </x:c>
      <x:c r="H354" s="23">
        <x:v>60624000</x:v>
      </x:c>
      <x:c r="I354" s="23">
        <x:v>69951600</x:v>
      </x:c>
      <x:c r="J354" s="23">
        <x:f>H354-I354</x:f>
      </x:c>
      <x:c r="K354" s="22">
        <x:v>1</x:v>
      </x:c>
      <x:c r="L354" s="24" t="s">
        <x:v>548</x:v>
      </x:c>
      <x:c r="M354" s="24"/>
      <x:c r="N354" s="27" t="s">
        <x:v>548</x:v>
      </x:c>
      <x:c r="O354" s="27"/>
      <x:c r="P354" s="26"/>
      <x:c r="Q354" s="27">
        <x:v>3</x:v>
      </x:c>
      <x:c r="R354" s="27"/>
      <x:c r="S354" s="22">
        <x:f>IF(N354="","تکمیل نشده",IF(N354="بدون تفصیلی (ثبت روی خود معین)","OK",IF(N354="ادغام با تفصیلی دیگر",IF(O354="","کلید مقصد خالی است",IF(IFERROR(MATCH(O354*1,$A:$A,0),0)=0,"کلید مقصد در این فهرست نیست",IF(O354*1=A354,"ادغام با خودش","OK"))),IF(Q354="","سطح شناور خالی است",IF(AND(TRUE,OR(Q354=1,Q354=2)),"سطح ۱ و ۲ این معین مال فعالیت و مرکز هزینه است","OK")))))</x:f>
      </x:c>
      <x:c r="T354" s="28"/>
    </x:row>
    <x:row r="355" spans="1:20">
      <x:c r="A355" s="21">
        <x:v>2760</x:v>
      </x:c>
      <x:c r="B355" s="22" t="s">
        <x:v>135</x:v>
      </x:c>
      <x:c r="C355" s="22" t="s">
        <x:v>237</x:v>
      </x:c>
      <x:c r="D355" s="22" t="s">
        <x:v>956</x:v>
      </x:c>
      <x:c r="E355" s="22" t="s">
        <x:v>957</x:v>
      </x:c>
      <x:c r="F355" s="22" t="s">
        <x:v>274</x:v>
      </x:c>
      <x:c r="G355" s="22">
        <x:v>12</x:v>
      </x:c>
      <x:c r="H355" s="23">
        <x:v>410583739</x:v>
      </x:c>
      <x:c r="I355" s="23">
        <x:v>542481022</x:v>
      </x:c>
      <x:c r="J355" s="23">
        <x:f>H355-I355</x:f>
      </x:c>
      <x:c r="K355" s="22">
        <x:v>1</x:v>
      </x:c>
      <x:c r="L355" s="24" t="s">
        <x:v>548</x:v>
      </x:c>
      <x:c r="M355" s="24"/>
      <x:c r="N355" s="27" t="s">
        <x:v>548</x:v>
      </x:c>
      <x:c r="O355" s="27"/>
      <x:c r="P355" s="26"/>
      <x:c r="Q355" s="27">
        <x:v>3</x:v>
      </x:c>
      <x:c r="R355" s="27"/>
      <x:c r="S355" s="22">
        <x:f>IF(N355="","تکمیل نشده",IF(N355="بدون تفصیلی (ثبت روی خود معین)","OK",IF(N355="ادغام با تفصیلی دیگر",IF(O355="","کلید مقصد خالی است",IF(IFERROR(MATCH(O355*1,$A:$A,0),0)=0,"کلید مقصد در این فهرست نیست",IF(O355*1=A355,"ادغام با خودش","OK"))),IF(Q355="","سطح شناور خالی است",IF(AND(TRUE,OR(Q355=1,Q355=2)),"سطح ۱ و ۲ این معین مال فعالیت و مرکز هزینه است","OK")))))</x:f>
      </x:c>
      <x:c r="T355" s="28"/>
    </x:row>
    <x:row r="356" spans="1:20">
      <x:c r="A356" s="21">
        <x:v>2761</x:v>
      </x:c>
      <x:c r="B356" s="22" t="s">
        <x:v>135</x:v>
      </x:c>
      <x:c r="C356" s="22" t="s">
        <x:v>237</x:v>
      </x:c>
      <x:c r="D356" s="22" t="s">
        <x:v>929</x:v>
      </x:c>
      <x:c r="E356" s="22" t="s">
        <x:v>958</x:v>
      </x:c>
      <x:c r="F356" s="22" t="s">
        <x:v>274</x:v>
      </x:c>
      <x:c r="G356" s="22">
        <x:v>12</x:v>
      </x:c>
      <x:c r="H356" s="23">
        <x:v>612104306</x:v>
      </x:c>
      <x:c r="I356" s="23">
        <x:v>952106228</x:v>
      </x:c>
      <x:c r="J356" s="23">
        <x:f>H356-I356</x:f>
      </x:c>
      <x:c r="K356" s="22">
        <x:v>1</x:v>
      </x:c>
      <x:c r="L356" s="24" t="s">
        <x:v>548</x:v>
      </x:c>
      <x:c r="M356" s="24"/>
      <x:c r="N356" s="27" t="s">
        <x:v>548</x:v>
      </x:c>
      <x:c r="O356" s="27"/>
      <x:c r="P356" s="26"/>
      <x:c r="Q356" s="27">
        <x:v>3</x:v>
      </x:c>
      <x:c r="R356" s="27"/>
      <x:c r="S356" s="22">
        <x:f>IF(N356="","تکمیل نشده",IF(N356="بدون تفصیلی (ثبت روی خود معین)","OK",IF(N356="ادغام با تفصیلی دیگر",IF(O356="","کلید مقصد خالی است",IF(IFERROR(MATCH(O356*1,$A:$A,0),0)=0,"کلید مقصد در این فهرست نیست",IF(O356*1=A356,"ادغام با خودش","OK"))),IF(Q356="","سطح شناور خالی است",IF(AND(TRUE,OR(Q356=1,Q356=2)),"سطح ۱ و ۲ این معین مال فعالیت و مرکز هزینه است","OK")))))</x:f>
      </x:c>
      <x:c r="T356" s="28"/>
    </x:row>
    <x:row r="357" spans="1:20">
      <x:c r="A357" s="21">
        <x:v>2762</x:v>
      </x:c>
      <x:c r="B357" s="22" t="s">
        <x:v>135</x:v>
      </x:c>
      <x:c r="C357" s="22" t="s">
        <x:v>237</x:v>
      </x:c>
      <x:c r="D357" s="22" t="s">
        <x:v>959</x:v>
      </x:c>
      <x:c r="E357" s="22" t="s">
        <x:v>960</x:v>
      </x:c>
      <x:c r="F357" s="22" t="s">
        <x:v>274</x:v>
      </x:c>
      <x:c r="G357" s="22">
        <x:v>12</x:v>
      </x:c>
      <x:c r="H357" s="23">
        <x:v>417795369</x:v>
      </x:c>
      <x:c r="I357" s="23">
        <x:v>659056258</x:v>
      </x:c>
      <x:c r="J357" s="23">
        <x:f>H357-I357</x:f>
      </x:c>
      <x:c r="K357" s="22">
        <x:v>1</x:v>
      </x:c>
      <x:c r="L357" s="24" t="s">
        <x:v>548</x:v>
      </x:c>
      <x:c r="M357" s="24"/>
      <x:c r="N357" s="27" t="s">
        <x:v>548</x:v>
      </x:c>
      <x:c r="O357" s="27"/>
      <x:c r="P357" s="26"/>
      <x:c r="Q357" s="27">
        <x:v>3</x:v>
      </x:c>
      <x:c r="R357" s="27"/>
      <x:c r="S357" s="22">
        <x:f>IF(N357="","تکمیل نشده",IF(N357="بدون تفصیلی (ثبت روی خود معین)","OK",IF(N357="ادغام با تفصیلی دیگر",IF(O357="","کلید مقصد خالی است",IF(IFERROR(MATCH(O357*1,$A:$A,0),0)=0,"کلید مقصد در این فهرست نیست",IF(O357*1=A357,"ادغام با خودش","OK"))),IF(Q357="","سطح شناور خالی است",IF(AND(TRUE,OR(Q357=1,Q357=2)),"سطح ۱ و ۲ این معین مال فعالیت و مرکز هزینه است","OK")))))</x:f>
      </x:c>
      <x:c r="T357" s="28"/>
    </x:row>
    <x:row r="358" spans="1:20">
      <x:c r="A358" s="21">
        <x:v>2763</x:v>
      </x:c>
      <x:c r="B358" s="22" t="s">
        <x:v>135</x:v>
      </x:c>
      <x:c r="C358" s="22" t="s">
        <x:v>237</x:v>
      </x:c>
      <x:c r="D358" s="22" t="s">
        <x:v>961</x:v>
      </x:c>
      <x:c r="E358" s="22" t="s">
        <x:v>962</x:v>
      </x:c>
      <x:c r="F358" s="22" t="s">
        <x:v>274</x:v>
      </x:c>
      <x:c r="G358" s="22">
        <x:v>12</x:v>
      </x:c>
      <x:c r="H358" s="23">
        <x:v>76032201</x:v>
      </x:c>
      <x:c r="I358" s="23">
        <x:v>122038704</x:v>
      </x:c>
      <x:c r="J358" s="23">
        <x:f>H358-I358</x:f>
      </x:c>
      <x:c r="K358" s="22">
        <x:v>1</x:v>
      </x:c>
      <x:c r="L358" s="24" t="s">
        <x:v>548</x:v>
      </x:c>
      <x:c r="M358" s="24"/>
      <x:c r="N358" s="27" t="s">
        <x:v>548</x:v>
      </x:c>
      <x:c r="O358" s="27"/>
      <x:c r="P358" s="26"/>
      <x:c r="Q358" s="27">
        <x:v>3</x:v>
      </x:c>
      <x:c r="R358" s="27"/>
      <x:c r="S358" s="22">
        <x:f>IF(N358="","تکمیل نشده",IF(N358="بدون تفصیلی (ثبت روی خود معین)","OK",IF(N358="ادغام با تفصیلی دیگر",IF(O358="","کلید مقصد خالی است",IF(IFERROR(MATCH(O358*1,$A:$A,0),0)=0,"کلید مقصد در این فهرست نیست",IF(O358*1=A358,"ادغام با خودش","OK"))),IF(Q358="","سطح شناور خالی است",IF(AND(TRUE,OR(Q358=1,Q358=2)),"سطح ۱ و ۲ این معین مال فعالیت و مرکز هزینه است","OK")))))</x:f>
      </x:c>
      <x:c r="T358" s="28"/>
    </x:row>
    <x:row r="359" spans="1:20">
      <x:c r="A359" s="21">
        <x:v>2764</x:v>
      </x:c>
      <x:c r="B359" s="22" t="s">
        <x:v>135</x:v>
      </x:c>
      <x:c r="C359" s="22" t="s">
        <x:v>237</x:v>
      </x:c>
      <x:c r="D359" s="22" t="s">
        <x:v>963</x:v>
      </x:c>
      <x:c r="E359" s="22" t="s">
        <x:v>964</x:v>
      </x:c>
      <x:c r="F359" s="22" t="s">
        <x:v>274</x:v>
      </x:c>
      <x:c r="G359" s="22">
        <x:v>12</x:v>
      </x:c>
      <x:c r="H359" s="23">
        <x:v>148583237</x:v>
      </x:c>
      <x:c r="I359" s="23">
        <x:v>242433750</x:v>
      </x:c>
      <x:c r="J359" s="23">
        <x:f>H359-I359</x:f>
      </x:c>
      <x:c r="K359" s="22">
        <x:v>1</x:v>
      </x:c>
      <x:c r="L359" s="24" t="s">
        <x:v>548</x:v>
      </x:c>
      <x:c r="M359" s="24"/>
      <x:c r="N359" s="27" t="s">
        <x:v>548</x:v>
      </x:c>
      <x:c r="O359" s="27"/>
      <x:c r="P359" s="26"/>
      <x:c r="Q359" s="27">
        <x:v>3</x:v>
      </x:c>
      <x:c r="R359" s="27"/>
      <x:c r="S359" s="22">
        <x:f>IF(N359="","تکمیل نشده",IF(N359="بدون تفصیلی (ثبت روی خود معین)","OK",IF(N359="ادغام با تفصیلی دیگر",IF(O359="","کلید مقصد خالی است",IF(IFERROR(MATCH(O359*1,$A:$A,0),0)=0,"کلید مقصد در این فهرست نیست",IF(O359*1=A359,"ادغام با خودش","OK"))),IF(Q359="","سطح شناور خالی است",IF(AND(TRUE,OR(Q359=1,Q359=2)),"سطح ۱ و ۲ این معین مال فعالیت و مرکز هزینه است","OK")))))</x:f>
      </x:c>
      <x:c r="T359" s="28"/>
    </x:row>
    <x:row r="360" spans="1:20">
      <x:c r="A360" s="21">
        <x:v>2765</x:v>
      </x:c>
      <x:c r="B360" s="22" t="s">
        <x:v>135</x:v>
      </x:c>
      <x:c r="C360" s="22" t="s">
        <x:v>237</x:v>
      </x:c>
      <x:c r="D360" s="22" t="s">
        <x:v>965</x:v>
      </x:c>
      <x:c r="E360" s="22" t="s">
        <x:v>966</x:v>
      </x:c>
      <x:c r="F360" s="22" t="s">
        <x:v>274</x:v>
      </x:c>
      <x:c r="G360" s="22">
        <x:v>12</x:v>
      </x:c>
      <x:c r="H360" s="23">
        <x:v>341623358</x:v>
      </x:c>
      <x:c r="I360" s="23">
        <x:v>545583788</x:v>
      </x:c>
      <x:c r="J360" s="23">
        <x:f>H360-I360</x:f>
      </x:c>
      <x:c r="K360" s="22">
        <x:v>1</x:v>
      </x:c>
      <x:c r="L360" s="24" t="s">
        <x:v>548</x:v>
      </x:c>
      <x:c r="M360" s="24"/>
      <x:c r="N360" s="27" t="s">
        <x:v>548</x:v>
      </x:c>
      <x:c r="O360" s="27"/>
      <x:c r="P360" s="26"/>
      <x:c r="Q360" s="27">
        <x:v>3</x:v>
      </x:c>
      <x:c r="R360" s="27"/>
      <x:c r="S360" s="22">
        <x:f>IF(N360="","تکمیل نشده",IF(N360="بدون تفصیلی (ثبت روی خود معین)","OK",IF(N360="ادغام با تفصیلی دیگر",IF(O360="","کلید مقصد خالی است",IF(IFERROR(MATCH(O360*1,$A:$A,0),0)=0,"کلید مقصد در این فهرست نیست",IF(O360*1=A360,"ادغام با خودش","OK"))),IF(Q360="","سطح شناور خالی است",IF(AND(TRUE,OR(Q360=1,Q360=2)),"سطح ۱ و ۲ این معین مال فعالیت و مرکز هزینه است","OK")))))</x:f>
      </x:c>
      <x:c r="T360" s="28"/>
    </x:row>
    <x:row r="361" spans="1:20">
      <x:c r="A361" s="21">
        <x:v>2766</x:v>
      </x:c>
      <x:c r="B361" s="22" t="s">
        <x:v>135</x:v>
      </x:c>
      <x:c r="C361" s="22" t="s">
        <x:v>237</x:v>
      </x:c>
      <x:c r="D361" s="22" t="s">
        <x:v>967</x:v>
      </x:c>
      <x:c r="E361" s="22" t="s">
        <x:v>968</x:v>
      </x:c>
      <x:c r="F361" s="22" t="s">
        <x:v>274</x:v>
      </x:c>
      <x:c r="G361" s="22">
        <x:v>12</x:v>
      </x:c>
      <x:c r="H361" s="23">
        <x:v>2106720</x:v>
      </x:c>
      <x:c r="I361" s="23">
        <x:v>2940768</x:v>
      </x:c>
      <x:c r="J361" s="23">
        <x:f>H361-I361</x:f>
      </x:c>
      <x:c r="K361" s="22">
        <x:v>1</x:v>
      </x:c>
      <x:c r="L361" s="24" t="s">
        <x:v>548</x:v>
      </x:c>
      <x:c r="M361" s="24"/>
      <x:c r="N361" s="27" t="s">
        <x:v>548</x:v>
      </x:c>
      <x:c r="O361" s="27"/>
      <x:c r="P361" s="26"/>
      <x:c r="Q361" s="27">
        <x:v>3</x:v>
      </x:c>
      <x:c r="R361" s="27"/>
      <x:c r="S361" s="22">
        <x:f>IF(N361="","تکمیل نشده",IF(N361="بدون تفصیلی (ثبت روی خود معین)","OK",IF(N361="ادغام با تفصیلی دیگر",IF(O361="","کلید مقصد خالی است",IF(IFERROR(MATCH(O361*1,$A:$A,0),0)=0,"کلید مقصد در این فهرست نیست",IF(O361*1=A361,"ادغام با خودش","OK"))),IF(Q361="","سطح شناور خالی است",IF(AND(TRUE,OR(Q361=1,Q361=2)),"سطح ۱ و ۲ این معین مال فعالیت و مرکز هزینه است","OK")))))</x:f>
      </x:c>
      <x:c r="T361" s="28"/>
    </x:row>
    <x:row r="362" spans="1:20">
      <x:c r="A362" s="21">
        <x:v>2774</x:v>
      </x:c>
      <x:c r="B362" s="22" t="s">
        <x:v>135</x:v>
      </x:c>
      <x:c r="C362" s="22" t="s">
        <x:v>237</x:v>
      </x:c>
      <x:c r="D362" s="22" t="s">
        <x:v>969</x:v>
      </x:c>
      <x:c r="E362" s="22" t="s">
        <x:v>970</x:v>
      </x:c>
      <x:c r="F362" s="22" t="s">
        <x:v>274</x:v>
      </x:c>
      <x:c r="G362" s="22">
        <x:v>12</x:v>
      </x:c>
      <x:c r="H362" s="23">
        <x:v>117737828</x:v>
      </x:c>
      <x:c r="I362" s="23">
        <x:v>187297387</x:v>
      </x:c>
      <x:c r="J362" s="23">
        <x:f>H362-I362</x:f>
      </x:c>
      <x:c r="K362" s="22">
        <x:v>1</x:v>
      </x:c>
      <x:c r="L362" s="24" t="s">
        <x:v>548</x:v>
      </x:c>
      <x:c r="M362" s="24"/>
      <x:c r="N362" s="27" t="s">
        <x:v>548</x:v>
      </x:c>
      <x:c r="O362" s="27"/>
      <x:c r="P362" s="26"/>
      <x:c r="Q362" s="27">
        <x:v>3</x:v>
      </x:c>
      <x:c r="R362" s="27"/>
      <x:c r="S362" s="22">
        <x:f>IF(N362="","تکمیل نشده",IF(N362="بدون تفصیلی (ثبت روی خود معین)","OK",IF(N362="ادغام با تفصیلی دیگر",IF(O362="","کلید مقصد خالی است",IF(IFERROR(MATCH(O362*1,$A:$A,0),0)=0,"کلید مقصد در این فهرست نیست",IF(O362*1=A362,"ادغام با خودش","OK"))),IF(Q362="","سطح شناور خالی است",IF(AND(TRUE,OR(Q362=1,Q362=2)),"سطح ۱ و ۲ این معین مال فعالیت و مرکز هزینه است","OK")))))</x:f>
      </x:c>
      <x:c r="T362" s="28"/>
    </x:row>
    <x:row r="363" spans="1:20">
      <x:c r="A363" s="21">
        <x:v>2776</x:v>
      </x:c>
      <x:c r="B363" s="22" t="s">
        <x:v>135</x:v>
      </x:c>
      <x:c r="C363" s="22" t="s">
        <x:v>237</x:v>
      </x:c>
      <x:c r="D363" s="22" t="s">
        <x:v>971</x:v>
      </x:c>
      <x:c r="E363" s="22" t="s">
        <x:v>972</x:v>
      </x:c>
      <x:c r="F363" s="22" t="s">
        <x:v>274</x:v>
      </x:c>
      <x:c r="G363" s="22">
        <x:v>12</x:v>
      </x:c>
      <x:c r="H363" s="23">
        <x:v>41563903</x:v>
      </x:c>
      <x:c r="I363" s="23">
        <x:v>67338775</x:v>
      </x:c>
      <x:c r="J363" s="23">
        <x:f>H363-I363</x:f>
      </x:c>
      <x:c r="K363" s="22">
        <x:v>1</x:v>
      </x:c>
      <x:c r="L363" s="24" t="s">
        <x:v>548</x:v>
      </x:c>
      <x:c r="M363" s="24"/>
      <x:c r="N363" s="27" t="s">
        <x:v>548</x:v>
      </x:c>
      <x:c r="O363" s="27"/>
      <x:c r="P363" s="26"/>
      <x:c r="Q363" s="27">
        <x:v>3</x:v>
      </x:c>
      <x:c r="R363" s="27"/>
      <x:c r="S363" s="22">
        <x:f>IF(N363="","تکمیل نشده",IF(N363="بدون تفصیلی (ثبت روی خود معین)","OK",IF(N363="ادغام با تفصیلی دیگر",IF(O363="","کلید مقصد خالی است",IF(IFERROR(MATCH(O363*1,$A:$A,0),0)=0,"کلید مقصد در این فهرست نیست",IF(O363*1=A363,"ادغام با خودش","OK"))),IF(Q363="","سطح شناور خالی است",IF(AND(TRUE,OR(Q363=1,Q363=2)),"سطح ۱ و ۲ این معین مال فعالیت و مرکز هزینه است","OK")))))</x:f>
      </x:c>
      <x:c r="T363" s="28"/>
    </x:row>
    <x:row r="364" spans="1:20">
      <x:c r="A364" s="21">
        <x:v>2792</x:v>
      </x:c>
      <x:c r="B364" s="22" t="s">
        <x:v>135</x:v>
      </x:c>
      <x:c r="C364" s="22" t="s">
        <x:v>268</x:v>
      </x:c>
      <x:c r="D364" s="22" t="s">
        <x:v>544</x:v>
      </x:c>
      <x:c r="E364" s="22" t="s">
        <x:v>275</x:v>
      </x:c>
      <x:c r="F364" s="22" t="s">
        <x:v>275</x:v>
      </x:c>
      <x:c r="G364" s="22">
        <x:v>12</x:v>
      </x:c>
      <x:c r="H364" s="23">
        <x:v>1196733024</x:v>
      </x:c>
      <x:c r="I364" s="23">
        <x:v>1616709244</x:v>
      </x:c>
      <x:c r="J364" s="23">
        <x:f>H364-I364</x:f>
      </x:c>
      <x:c r="K364" s="22">
        <x:v>1</x:v>
      </x:c>
      <x:c r="L364" s="24" t="s">
        <x:v>545</x:v>
      </x:c>
      <x:c r="M364" s="24"/>
      <x:c r="N364" s="27" t="s">
        <x:v>545</x:v>
      </x:c>
      <x:c r="O364" s="27"/>
      <x:c r="P364" s="26"/>
      <x:c r="Q364" s="27"/>
      <x:c r="R364" s="27"/>
      <x:c r="S364" s="22">
        <x:f>IF(N364="","تکمیل نشده",IF(N364="بدون تفصیلی (ثبت روی خود معین)","OK",IF(N364="ادغام با تفصیلی دیگر",IF(O364="","کلید مقصد خالی است",IF(IFERROR(MATCH(O364*1,$A:$A,0),0)=0,"کلید مقصد در این فهرست نیست",IF(O364*1=A364,"ادغام با خودش","OK"))),IF(Q364="","سطح شناور خالی است",IF(AND(FALSE,OR(Q364=1,Q364=2)),"سطح ۱ و ۲ این معین مال فعالیت و مرکز هزینه است","OK")))))</x:f>
      </x:c>
      <x:c r="T364" s="28"/>
    </x:row>
    <x:row r="365" spans="1:20">
      <x:c r="A365" s="21">
        <x:v>2821</x:v>
      </x:c>
      <x:c r="B365" s="22" t="s">
        <x:v>138</x:v>
      </x:c>
      <x:c r="C365" s="22" t="s">
        <x:v>237</x:v>
      </x:c>
      <x:c r="D365" s="22" t="s">
        <x:v>927</x:v>
      </x:c>
      <x:c r="E365" s="22" t="s">
        <x:v>973</x:v>
      </x:c>
      <x:c r="F365" s="22" t="s">
        <x:v>276</x:v>
      </x:c>
      <x:c r="G365" s="22">
        <x:v>12</x:v>
      </x:c>
      <x:c r="H365" s="23">
        <x:v>737860691</x:v>
      </x:c>
      <x:c r="I365" s="23">
        <x:v>972507596</x:v>
      </x:c>
      <x:c r="J365" s="23">
        <x:f>H365-I365</x:f>
      </x:c>
      <x:c r="K365" s="22">
        <x:v>1</x:v>
      </x:c>
      <x:c r="L365" s="24" t="s">
        <x:v>548</x:v>
      </x:c>
      <x:c r="M365" s="24"/>
      <x:c r="N365" s="27" t="s">
        <x:v>548</x:v>
      </x:c>
      <x:c r="O365" s="27"/>
      <x:c r="P365" s="26"/>
      <x:c r="Q365" s="27">
        <x:v>1</x:v>
      </x:c>
      <x:c r="R365" s="27"/>
      <x:c r="S365" s="22">
        <x:f>IF(N365="","تکمیل نشده",IF(N365="بدون تفصیلی (ثبت روی خود معین)","OK",IF(N365="ادغام با تفصیلی دیگر",IF(O365="","کلید مقصد خالی است",IF(IFERROR(MATCH(O365*1,$A:$A,0),0)=0,"کلید مقصد در این فهرست نیست",IF(O365*1=A365,"ادغام با خودش","OK"))),IF(Q365="","سطح شناور خالی است",IF(AND(FALSE,OR(Q365=1,Q365=2)),"سطح ۱ و ۲ این معین مال فعالیت و مرکز هزینه است","OK")))))</x:f>
      </x:c>
      <x:c r="T365" s="28"/>
    </x:row>
    <x:row r="366" spans="1:20">
      <x:c r="A366" s="21">
        <x:v>2822</x:v>
      </x:c>
      <x:c r="B366" s="22" t="s">
        <x:v>138</x:v>
      </x:c>
      <x:c r="C366" s="22" t="s">
        <x:v>237</x:v>
      </x:c>
      <x:c r="D366" s="22" t="s">
        <x:v>921</x:v>
      </x:c>
      <x:c r="E366" s="22" t="s">
        <x:v>974</x:v>
      </x:c>
      <x:c r="F366" s="22" t="s">
        <x:v>276</x:v>
      </x:c>
      <x:c r="G366" s="22">
        <x:v>2</x:v>
      </x:c>
      <x:c r="H366" s="23">
        <x:v>10</x:v>
      </x:c>
      <x:c r="I366" s="23">
        <x:v>10</x:v>
      </x:c>
      <x:c r="J366" s="23">
        <x:f>H366-I366</x:f>
      </x:c>
      <x:c r="K366" s="22">
        <x:v>1</x:v>
      </x:c>
      <x:c r="L366" s="24" t="s">
        <x:v>548</x:v>
      </x:c>
      <x:c r="M366" s="24"/>
      <x:c r="N366" s="27" t="s">
        <x:v>548</x:v>
      </x:c>
      <x:c r="O366" s="27"/>
      <x:c r="P366" s="26"/>
      <x:c r="Q366" s="27">
        <x:v>1</x:v>
      </x:c>
      <x:c r="R366" s="27"/>
      <x:c r="S366" s="22">
        <x:f>IF(N366="","تکمیل نشده",IF(N366="بدون تفصیلی (ثبت روی خود معین)","OK",IF(N366="ادغام با تفصیلی دیگر",IF(O366="","کلید مقصد خالی است",IF(IFERROR(MATCH(O366*1,$A:$A,0),0)=0,"کلید مقصد در این فهرست نیست",IF(O366*1=A366,"ادغام با خودش","OK"))),IF(Q366="","سطح شناور خالی است",IF(AND(FALSE,OR(Q366=1,Q366=2)),"سطح ۱ و ۲ این معین مال فعالیت و مرکز هزینه است","OK")))))</x:f>
      </x:c>
      <x:c r="T366" s="28"/>
    </x:row>
    <x:row r="367" spans="1:20">
      <x:c r="A367" s="21">
        <x:v>2823</x:v>
      </x:c>
      <x:c r="B367" s="22" t="s">
        <x:v>138</x:v>
      </x:c>
      <x:c r="C367" s="22" t="s">
        <x:v>237</x:v>
      </x:c>
      <x:c r="D367" s="22" t="s">
        <x:v>564</x:v>
      </x:c>
      <x:c r="E367" s="22" t="s">
        <x:v>975</x:v>
      </x:c>
      <x:c r="F367" s="22" t="s">
        <x:v>276</x:v>
      </x:c>
      <x:c r="G367" s="22">
        <x:v>13</x:v>
      </x:c>
      <x:c r="H367" s="23">
        <x:v>153382170</x:v>
      </x:c>
      <x:c r="I367" s="23">
        <x:v>191662415</x:v>
      </x:c>
      <x:c r="J367" s="23">
        <x:f>H367-I367</x:f>
      </x:c>
      <x:c r="K367" s="22">
        <x:v>1</x:v>
      </x:c>
      <x:c r="L367" s="24" t="s">
        <x:v>548</x:v>
      </x:c>
      <x:c r="M367" s="24"/>
      <x:c r="N367" s="27" t="s">
        <x:v>548</x:v>
      </x:c>
      <x:c r="O367" s="27"/>
      <x:c r="P367" s="26"/>
      <x:c r="Q367" s="27">
        <x:v>1</x:v>
      </x:c>
      <x:c r="R367" s="27"/>
      <x:c r="S367" s="22">
        <x:f>IF(N367="","تکمیل نشده",IF(N367="بدون تفصیلی (ثبت روی خود معین)","OK",IF(N367="ادغام با تفصیلی دیگر",IF(O367="","کلید مقصد خالی است",IF(IFERROR(MATCH(O367*1,$A:$A,0),0)=0,"کلید مقصد در این فهرست نیست",IF(O367*1=A367,"ادغام با خودش","OK"))),IF(Q367="","سطح شناور خالی است",IF(AND(FALSE,OR(Q367=1,Q367=2)),"سطح ۱ و ۲ این معین مال فعالیت و مرکز هزینه است","OK")))))</x:f>
      </x:c>
      <x:c r="T367" s="28"/>
    </x:row>
    <x:row r="368" spans="1:20">
      <x:c r="A368" s="21">
        <x:v>2824</x:v>
      </x:c>
      <x:c r="B368" s="22" t="s">
        <x:v>138</x:v>
      </x:c>
      <x:c r="C368" s="22" t="s">
        <x:v>237</x:v>
      </x:c>
      <x:c r="D368" s="22" t="s">
        <x:v>944</x:v>
      </x:c>
      <x:c r="E368" s="22" t="s">
        <x:v>976</x:v>
      </x:c>
      <x:c r="F368" s="22" t="s">
        <x:v>276</x:v>
      </x:c>
      <x:c r="G368" s="22">
        <x:v>12</x:v>
      </x:c>
      <x:c r="H368" s="23">
        <x:v>293248005</x:v>
      </x:c>
      <x:c r="I368" s="23">
        <x:v>390525243</x:v>
      </x:c>
      <x:c r="J368" s="23">
        <x:f>H368-I368</x:f>
      </x:c>
      <x:c r="K368" s="22">
        <x:v>1</x:v>
      </x:c>
      <x:c r="L368" s="24" t="s">
        <x:v>548</x:v>
      </x:c>
      <x:c r="M368" s="24"/>
      <x:c r="N368" s="27" t="s">
        <x:v>548</x:v>
      </x:c>
      <x:c r="O368" s="27"/>
      <x:c r="P368" s="26"/>
      <x:c r="Q368" s="27">
        <x:v>1</x:v>
      </x:c>
      <x:c r="R368" s="27"/>
      <x:c r="S368" s="22">
        <x:f>IF(N368="","تکمیل نشده",IF(N368="بدون تفصیلی (ثبت روی خود معین)","OK",IF(N368="ادغام با تفصیلی دیگر",IF(O368="","کلید مقصد خالی است",IF(IFERROR(MATCH(O368*1,$A:$A,0),0)=0,"کلید مقصد در این فهرست نیست",IF(O368*1=A368,"ادغام با خودش","OK"))),IF(Q368="","سطح شناور خالی است",IF(AND(FALSE,OR(Q368=1,Q368=2)),"سطح ۱ و ۲ این معین مال فعالیت و مرکز هزینه است","OK")))))</x:f>
      </x:c>
      <x:c r="T368" s="28"/>
    </x:row>
    <x:row r="369" spans="1:20">
      <x:c r="A369" s="21">
        <x:v>2825</x:v>
      </x:c>
      <x:c r="B369" s="22" t="s">
        <x:v>138</x:v>
      </x:c>
      <x:c r="C369" s="22" t="s">
        <x:v>237</x:v>
      </x:c>
      <x:c r="D369" s="22" t="s">
        <x:v>946</x:v>
      </x:c>
      <x:c r="E369" s="22" t="s">
        <x:v>977</x:v>
      </x:c>
      <x:c r="F369" s="22" t="s">
        <x:v>276</x:v>
      </x:c>
      <x:c r="G369" s="22">
        <x:v>12</x:v>
      </x:c>
      <x:c r="H369" s="23">
        <x:v>368335122</x:v>
      </x:c>
      <x:c r="I369" s="23">
        <x:v>498800783</x:v>
      </x:c>
      <x:c r="J369" s="23">
        <x:f>H369-I369</x:f>
      </x:c>
      <x:c r="K369" s="22">
        <x:v>1</x:v>
      </x:c>
      <x:c r="L369" s="24" t="s">
        <x:v>548</x:v>
      </x:c>
      <x:c r="M369" s="24"/>
      <x:c r="N369" s="27" t="s">
        <x:v>548</x:v>
      </x:c>
      <x:c r="O369" s="27"/>
      <x:c r="P369" s="26"/>
      <x:c r="Q369" s="27">
        <x:v>1</x:v>
      </x:c>
      <x:c r="R369" s="27"/>
      <x:c r="S369" s="22">
        <x:f>IF(N369="","تکمیل نشده",IF(N369="بدون تفصیلی (ثبت روی خود معین)","OK",IF(N369="ادغام با تفصیلی دیگر",IF(O369="","کلید مقصد خالی است",IF(IFERROR(MATCH(O369*1,$A:$A,0),0)=0,"کلید مقصد در این فهرست نیست",IF(O369*1=A369,"ادغام با خودش","OK"))),IF(Q369="","سطح شناور خالی است",IF(AND(FALSE,OR(Q369=1,Q369=2)),"سطح ۱ و ۲ این معین مال فعالیت و مرکز هزینه است","OK")))))</x:f>
      </x:c>
      <x:c r="T369" s="28"/>
    </x:row>
    <x:row r="370" spans="1:20">
      <x:c r="A370" s="21">
        <x:v>2827</x:v>
      </x:c>
      <x:c r="B370" s="22" t="s">
        <x:v>138</x:v>
      </x:c>
      <x:c r="C370" s="22" t="s">
        <x:v>237</x:v>
      </x:c>
      <x:c r="D370" s="22" t="s">
        <x:v>950</x:v>
      </x:c>
      <x:c r="E370" s="22" t="s">
        <x:v>978</x:v>
      </x:c>
      <x:c r="F370" s="22" t="s">
        <x:v>276</x:v>
      </x:c>
      <x:c r="G370" s="22">
        <x:v>3</x:v>
      </x:c>
      <x:c r="H370" s="23">
        <x:v>7832446</x:v>
      </x:c>
      <x:c r="I370" s="23">
        <x:v>7832446</x:v>
      </x:c>
      <x:c r="J370" s="23">
        <x:f>H370-I370</x:f>
      </x:c>
      <x:c r="K370" s="22">
        <x:v>1</x:v>
      </x:c>
      <x:c r="L370" s="24" t="s">
        <x:v>548</x:v>
      </x:c>
      <x:c r="M370" s="24"/>
      <x:c r="N370" s="27" t="s">
        <x:v>548</x:v>
      </x:c>
      <x:c r="O370" s="27"/>
      <x:c r="P370" s="26"/>
      <x:c r="Q370" s="27">
        <x:v>1</x:v>
      </x:c>
      <x:c r="R370" s="27"/>
      <x:c r="S370" s="22">
        <x:f>IF(N370="","تکمیل نشده",IF(N370="بدون تفصیلی (ثبت روی خود معین)","OK",IF(N370="ادغام با تفصیلی دیگر",IF(O370="","کلید مقصد خالی است",IF(IFERROR(MATCH(O370*1,$A:$A,0),0)=0,"کلید مقصد در این فهرست نیست",IF(O370*1=A370,"ادغام با خودش","OK"))),IF(Q370="","سطح شناور خالی است",IF(AND(FALSE,OR(Q370=1,Q370=2)),"سطح ۱ و ۲ این معین مال فعالیت و مرکز هزینه است","OK")))))</x:f>
      </x:c>
      <x:c r="T370" s="28"/>
    </x:row>
    <x:row r="371" spans="1:20">
      <x:c r="A371" s="21">
        <x:v>2828</x:v>
      </x:c>
      <x:c r="B371" s="22" t="s">
        <x:v>138</x:v>
      </x:c>
      <x:c r="C371" s="22" t="s">
        <x:v>237</x:v>
      </x:c>
      <x:c r="D371" s="22" t="s">
        <x:v>979</x:v>
      </x:c>
      <x:c r="E371" s="22" t="s">
        <x:v>980</x:v>
      </x:c>
      <x:c r="F371" s="22" t="s">
        <x:v>276</x:v>
      </x:c>
      <x:c r="G371" s="22">
        <x:v>14</x:v>
      </x:c>
      <x:c r="H371" s="23">
        <x:v>2259338674</x:v>
      </x:c>
      <x:c r="I371" s="23">
        <x:v>2946605628</x:v>
      </x:c>
      <x:c r="J371" s="23">
        <x:f>H371-I371</x:f>
      </x:c>
      <x:c r="K371" s="22">
        <x:v>1</x:v>
      </x:c>
      <x:c r="L371" s="24" t="s">
        <x:v>548</x:v>
      </x:c>
      <x:c r="M371" s="24"/>
      <x:c r="N371" s="27" t="s">
        <x:v>548</x:v>
      </x:c>
      <x:c r="O371" s="27"/>
      <x:c r="P371" s="26"/>
      <x:c r="Q371" s="27">
        <x:v>1</x:v>
      </x:c>
      <x:c r="R371" s="27"/>
      <x:c r="S371" s="22">
        <x:f>IF(N371="","تکمیل نشده",IF(N371="بدون تفصیلی (ثبت روی خود معین)","OK",IF(N371="ادغام با تفصیلی دیگر",IF(O371="","کلید مقصد خالی است",IF(IFERROR(MATCH(O371*1,$A:$A,0),0)=0,"کلید مقصد در این فهرست نیست",IF(O371*1=A371,"ادغام با خودش","OK"))),IF(Q371="","سطح شناور خالی است",IF(AND(FALSE,OR(Q371=1,Q371=2)),"سطح ۱ و ۲ این معین مال فعالیت و مرکز هزینه است","OK")))))</x:f>
      </x:c>
      <x:c r="T371" s="28"/>
    </x:row>
    <x:row r="372" spans="1:20">
      <x:c r="A372" s="21">
        <x:v>2829</x:v>
      </x:c>
      <x:c r="B372" s="22" t="s">
        <x:v>138</x:v>
      </x:c>
      <x:c r="C372" s="22" t="s">
        <x:v>237</x:v>
      </x:c>
      <x:c r="D372" s="22" t="s">
        <x:v>929</x:v>
      </x:c>
      <x:c r="E372" s="22" t="s">
        <x:v>981</x:v>
      </x:c>
      <x:c r="F372" s="22" t="s">
        <x:v>276</x:v>
      </x:c>
      <x:c r="G372" s="22">
        <x:v>12</x:v>
      </x:c>
      <x:c r="H372" s="23">
        <x:v>107731274</x:v>
      </x:c>
      <x:c r="I372" s="23">
        <x:v>156248258</x:v>
      </x:c>
      <x:c r="J372" s="23">
        <x:f>H372-I372</x:f>
      </x:c>
      <x:c r="K372" s="22">
        <x:v>1</x:v>
      </x:c>
      <x:c r="L372" s="24" t="s">
        <x:v>548</x:v>
      </x:c>
      <x:c r="M372" s="24"/>
      <x:c r="N372" s="27" t="s">
        <x:v>548</x:v>
      </x:c>
      <x:c r="O372" s="27"/>
      <x:c r="P372" s="26"/>
      <x:c r="Q372" s="27">
        <x:v>1</x:v>
      </x:c>
      <x:c r="R372" s="27"/>
      <x:c r="S372" s="22">
        <x:f>IF(N372="","تکمیل نشده",IF(N372="بدون تفصیلی (ثبت روی خود معین)","OK",IF(N372="ادغام با تفصیلی دیگر",IF(O372="","کلید مقصد خالی است",IF(IFERROR(MATCH(O372*1,$A:$A,0),0)=0,"کلید مقصد در این فهرست نیست",IF(O372*1=A372,"ادغام با خودش","OK"))),IF(Q372="","سطح شناور خالی است",IF(AND(FALSE,OR(Q372=1,Q372=2)),"سطح ۱ و ۲ این معین مال فعالیت و مرکز هزینه است","OK")))))</x:f>
      </x:c>
      <x:c r="T372" s="28"/>
    </x:row>
    <x:row r="373" spans="1:20">
      <x:c r="A373" s="21">
        <x:v>2832</x:v>
      </x:c>
      <x:c r="B373" s="22" t="s">
        <x:v>138</x:v>
      </x:c>
      <x:c r="C373" s="22" t="s">
        <x:v>237</x:v>
      </x:c>
      <x:c r="D373" s="22" t="s">
        <x:v>963</x:v>
      </x:c>
      <x:c r="E373" s="22" t="s">
        <x:v>982</x:v>
      </x:c>
      <x:c r="F373" s="22" t="s">
        <x:v>276</x:v>
      </x:c>
      <x:c r="G373" s="22">
        <x:v>12</x:v>
      </x:c>
      <x:c r="H373" s="23">
        <x:v>37121220</x:v>
      </x:c>
      <x:c r="I373" s="23">
        <x:v>56264966</x:v>
      </x:c>
      <x:c r="J373" s="23">
        <x:f>H373-I373</x:f>
      </x:c>
      <x:c r="K373" s="22">
        <x:v>1</x:v>
      </x:c>
      <x:c r="L373" s="24" t="s">
        <x:v>548</x:v>
      </x:c>
      <x:c r="M373" s="24"/>
      <x:c r="N373" s="27" t="s">
        <x:v>548</x:v>
      </x:c>
      <x:c r="O373" s="27"/>
      <x:c r="P373" s="26"/>
      <x:c r="Q373" s="27">
        <x:v>1</x:v>
      </x:c>
      <x:c r="R373" s="27"/>
      <x:c r="S373" s="22">
        <x:f>IF(N373="","تکمیل نشده",IF(N373="بدون تفصیلی (ثبت روی خود معین)","OK",IF(N373="ادغام با تفصیلی دیگر",IF(O373="","کلید مقصد خالی است",IF(IFERROR(MATCH(O373*1,$A:$A,0),0)=0,"کلید مقصد در این فهرست نیست",IF(O373*1=A373,"ادغام با خودش","OK"))),IF(Q373="","سطح شناور خالی است",IF(AND(FALSE,OR(Q373=1,Q373=2)),"سطح ۱ و ۲ این معین مال فعالیت و مرکز هزینه است","OK")))))</x:f>
      </x:c>
      <x:c r="T373" s="28"/>
    </x:row>
    <x:row r="374" spans="1:20">
      <x:c r="A374" s="21">
        <x:v>2836</x:v>
      </x:c>
      <x:c r="B374" s="22" t="s">
        <x:v>138</x:v>
      </x:c>
      <x:c r="C374" s="22" t="s">
        <x:v>237</x:v>
      </x:c>
      <x:c r="D374" s="22" t="s">
        <x:v>983</x:v>
      </x:c>
      <x:c r="E374" s="22" t="s">
        <x:v>984</x:v>
      </x:c>
      <x:c r="F374" s="22" t="s">
        <x:v>276</x:v>
      </x:c>
      <x:c r="G374" s="22">
        <x:v>12</x:v>
      </x:c>
      <x:c r="H374" s="23">
        <x:v>241686497</x:v>
      </x:c>
      <x:c r="I374" s="23">
        <x:v>382484542</x:v>
      </x:c>
      <x:c r="J374" s="23">
        <x:f>H374-I374</x:f>
      </x:c>
      <x:c r="K374" s="22">
        <x:v>1</x:v>
      </x:c>
      <x:c r="L374" s="24" t="s">
        <x:v>548</x:v>
      </x:c>
      <x:c r="M374" s="24"/>
      <x:c r="N374" s="27" t="s">
        <x:v>548</x:v>
      </x:c>
      <x:c r="O374" s="27"/>
      <x:c r="P374" s="26"/>
      <x:c r="Q374" s="27">
        <x:v>1</x:v>
      </x:c>
      <x:c r="R374" s="27"/>
      <x:c r="S374" s="22">
        <x:f>IF(N374="","تکمیل نشده",IF(N374="بدون تفصیلی (ثبت روی خود معین)","OK",IF(N374="ادغام با تفصیلی دیگر",IF(O374="","کلید مقصد خالی است",IF(IFERROR(MATCH(O374*1,$A:$A,0),0)=0,"کلید مقصد در این فهرست نیست",IF(O374*1=A374,"ادغام با خودش","OK"))),IF(Q374="","سطح شناور خالی است",IF(AND(FALSE,OR(Q374=1,Q374=2)),"سطح ۱ و ۲ این معین مال فعالیت و مرکز هزینه است","OK")))))</x:f>
      </x:c>
      <x:c r="T374" s="28"/>
    </x:row>
    <x:row r="375" spans="1:20">
      <x:c r="A375" s="21">
        <x:v>2867</x:v>
      </x:c>
      <x:c r="B375" s="22" t="s">
        <x:v>138</x:v>
      </x:c>
      <x:c r="C375" s="22" t="s">
        <x:v>239</x:v>
      </x:c>
      <x:c r="D375" s="22" t="s">
        <x:v>985</x:v>
      </x:c>
      <x:c r="E375" s="22" t="s">
        <x:v>986</x:v>
      </x:c>
      <x:c r="F375" s="22" t="s">
        <x:v>277</x:v>
      </x:c>
      <x:c r="G375" s="22">
        <x:v>14</x:v>
      </x:c>
      <x:c r="H375" s="23">
        <x:v>7824721010</x:v>
      </x:c>
      <x:c r="I375" s="23">
        <x:v>10148298918</x:v>
      </x:c>
      <x:c r="J375" s="23">
        <x:f>H375-I375</x:f>
      </x:c>
      <x:c r="K375" s="22">
        <x:v>1</x:v>
      </x:c>
      <x:c r="L375" s="24" t="s">
        <x:v>548</x:v>
      </x:c>
      <x:c r="M375" s="24"/>
      <x:c r="N375" s="27" t="s">
        <x:v>548</x:v>
      </x:c>
      <x:c r="O375" s="27"/>
      <x:c r="P375" s="26"/>
      <x:c r="Q375" s="27">
        <x:v>1</x:v>
      </x:c>
      <x:c r="R375" s="27"/>
      <x:c r="S375" s="22">
        <x:f>IF(N375="","تکمیل نشده",IF(N375="بدون تفصیلی (ثبت روی خود معین)","OK",IF(N375="ادغام با تفصیلی دیگر",IF(O375="","کلید مقصد خالی است",IF(IFERROR(MATCH(O375*1,$A:$A,0),0)=0,"کلید مقصد در این فهرست نیست",IF(O375*1=A375,"ادغام با خودش","OK"))),IF(Q375="","سطح شناور خالی است",IF(AND(FALSE,OR(Q375=1,Q375=2)),"سطح ۱ و ۲ این معین مال فعالیت و مرکز هزینه است","OK")))))</x:f>
      </x:c>
      <x:c r="T375" s="28"/>
    </x:row>
    <x:row r="376" spans="1:20">
      <x:c r="A376" s="21">
        <x:v>2868</x:v>
      </x:c>
      <x:c r="B376" s="22" t="s">
        <x:v>138</x:v>
      </x:c>
      <x:c r="C376" s="22" t="s">
        <x:v>239</x:v>
      </x:c>
      <x:c r="D376" s="22" t="s">
        <x:v>987</x:v>
      </x:c>
      <x:c r="E376" s="22" t="s">
        <x:v>988</x:v>
      </x:c>
      <x:c r="F376" s="22" t="s">
        <x:v>277</x:v>
      </x:c>
      <x:c r="G376" s="22">
        <x:v>7</x:v>
      </x:c>
      <x:c r="H376" s="23">
        <x:v>361370348</x:v>
      </x:c>
      <x:c r="I376" s="23">
        <x:v>825127742</x:v>
      </x:c>
      <x:c r="J376" s="23">
        <x:f>H376-I376</x:f>
      </x:c>
      <x:c r="K376" s="22">
        <x:v>1</x:v>
      </x:c>
      <x:c r="L376" s="24" t="s">
        <x:v>548</x:v>
      </x:c>
      <x:c r="M376" s="24"/>
      <x:c r="N376" s="27" t="s">
        <x:v>548</x:v>
      </x:c>
      <x:c r="O376" s="27"/>
      <x:c r="P376" s="26"/>
      <x:c r="Q376" s="27">
        <x:v>1</x:v>
      </x:c>
      <x:c r="R376" s="27"/>
      <x:c r="S376" s="22">
        <x:f>IF(N376="","تکمیل نشده",IF(N376="بدون تفصیلی (ثبت روی خود معین)","OK",IF(N376="ادغام با تفصیلی دیگر",IF(O376="","کلید مقصد خالی است",IF(IFERROR(MATCH(O376*1,$A:$A,0),0)=0,"کلید مقصد در این فهرست نیست",IF(O376*1=A376,"ادغام با خودش","OK"))),IF(Q376="","سطح شناور خالی است",IF(AND(FALSE,OR(Q376=1,Q376=2)),"سطح ۱ و ۲ این معین مال فعالیت و مرکز هزینه است","OK")))))</x:f>
      </x:c>
      <x:c r="T376" s="28"/>
    </x:row>
    <x:row r="377" spans="1:20">
      <x:c r="A377" s="21">
        <x:v>2872</x:v>
      </x:c>
      <x:c r="B377" s="22" t="s">
        <x:v>138</x:v>
      </x:c>
      <x:c r="C377" s="22" t="s">
        <x:v>270</x:v>
      </x:c>
      <x:c r="D377" s="22" t="s">
        <x:v>644</x:v>
      </x:c>
      <x:c r="E377" s="22" t="s">
        <x:v>989</x:v>
      </x:c>
      <x:c r="F377" s="22" t="s">
        <x:v>278</x:v>
      </x:c>
      <x:c r="G377" s="22">
        <x:v>40</x:v>
      </x:c>
      <x:c r="H377" s="23">
        <x:v>10580026204</x:v>
      </x:c>
      <x:c r="I377" s="23">
        <x:v>13797850849</x:v>
      </x:c>
      <x:c r="J377" s="23">
        <x:f>H377-I377</x:f>
      </x:c>
      <x:c r="K377" s="22">
        <x:v>1</x:v>
      </x:c>
      <x:c r="L377" s="24" t="s">
        <x:v>548</x:v>
      </x:c>
      <x:c r="M377" s="24"/>
      <x:c r="N377" s="27" t="s">
        <x:v>548</x:v>
      </x:c>
      <x:c r="O377" s="27"/>
      <x:c r="P377" s="26"/>
      <x:c r="Q377" s="27">
        <x:v>1</x:v>
      </x:c>
      <x:c r="R377" s="27"/>
      <x:c r="S377" s="22">
        <x:f>IF(N377="","تکمیل نشده",IF(N377="بدون تفصیلی (ثبت روی خود معین)","OK",IF(N377="ادغام با تفصیلی دیگر",IF(O377="","کلید مقصد خالی است",IF(IFERROR(MATCH(O377*1,$A:$A,0),0)=0,"کلید مقصد در این فهرست نیست",IF(O377*1=A377,"ادغام با خودش","OK"))),IF(Q377="","سطح شناور خالی است",IF(AND(FALSE,OR(Q377=1,Q377=2)),"سطح ۱ و ۲ این معین مال فعالیت و مرکز هزینه است","OK")))))</x:f>
      </x:c>
      <x:c r="T377" s="28"/>
    </x:row>
    <x:row r="378" spans="1:20">
      <x:c r="A378" s="21">
        <x:v>2874</x:v>
      </x:c>
      <x:c r="B378" s="22" t="s">
        <x:v>138</x:v>
      </x:c>
      <x:c r="C378" s="22" t="s">
        <x:v>270</x:v>
      </x:c>
      <x:c r="D378" s="22" t="s">
        <x:v>705</x:v>
      </x:c>
      <x:c r="E378" s="22" t="s">
        <x:v>990</x:v>
      </x:c>
      <x:c r="F378" s="22" t="s">
        <x:v>278</x:v>
      </x:c>
      <x:c r="G378" s="22">
        <x:v>22</x:v>
      </x:c>
      <x:c r="H378" s="23">
        <x:v>560876536</x:v>
      </x:c>
      <x:c r="I378" s="23">
        <x:v>744234031</x:v>
      </x:c>
      <x:c r="J378" s="23">
        <x:f>H378-I378</x:f>
      </x:c>
      <x:c r="K378" s="22">
        <x:v>1</x:v>
      </x:c>
      <x:c r="L378" s="24" t="s">
        <x:v>548</x:v>
      </x:c>
      <x:c r="M378" s="24"/>
      <x:c r="N378" s="27" t="s">
        <x:v>548</x:v>
      </x:c>
      <x:c r="O378" s="27"/>
      <x:c r="P378" s="26"/>
      <x:c r="Q378" s="27">
        <x:v>1</x:v>
      </x:c>
      <x:c r="R378" s="27"/>
      <x:c r="S378" s="22">
        <x:f>IF(N378="","تکمیل نشده",IF(N378="بدون تفصیلی (ثبت روی خود معین)","OK",IF(N378="ادغام با تفصیلی دیگر",IF(O378="","کلید مقصد خالی است",IF(IFERROR(MATCH(O378*1,$A:$A,0),0)=0,"کلید مقصد در این فهرست نیست",IF(O378*1=A378,"ادغام با خودش","OK"))),IF(Q378="","سطح شناور خالی است",IF(AND(FALSE,OR(Q378=1,Q378=2)),"سطح ۱ و ۲ این معین مال فعالیت و مرکز هزینه است","OK")))))</x:f>
      </x:c>
      <x:c r="T378" s="28"/>
    </x:row>
    <x:row r="379" spans="1:20">
      <x:c r="A379" s="21">
        <x:v>2878</x:v>
      </x:c>
      <x:c r="B379" s="22" t="s">
        <x:v>138</x:v>
      </x:c>
      <x:c r="C379" s="22" t="s">
        <x:v>270</x:v>
      </x:c>
      <x:c r="D379" s="22" t="s">
        <x:v>654</x:v>
      </x:c>
      <x:c r="E379" s="22" t="s">
        <x:v>991</x:v>
      </x:c>
      <x:c r="F379" s="22" t="s">
        <x:v>278</x:v>
      </x:c>
      <x:c r="G379" s="22">
        <x:v>13</x:v>
      </x:c>
      <x:c r="H379" s="23">
        <x:v>223691326</x:v>
      </x:c>
      <x:c r="I379" s="23">
        <x:v>234701326</x:v>
      </x:c>
      <x:c r="J379" s="23">
        <x:f>H379-I379</x:f>
      </x:c>
      <x:c r="K379" s="22">
        <x:v>1</x:v>
      </x:c>
      <x:c r="L379" s="24" t="s">
        <x:v>548</x:v>
      </x:c>
      <x:c r="M379" s="24"/>
      <x:c r="N379" s="27" t="s">
        <x:v>548</x:v>
      </x:c>
      <x:c r="O379" s="27"/>
      <x:c r="P379" s="26"/>
      <x:c r="Q379" s="27">
        <x:v>1</x:v>
      </x:c>
      <x:c r="R379" s="27"/>
      <x:c r="S379" s="22">
        <x:f>IF(N379="","تکمیل نشده",IF(N379="بدون تفصیلی (ثبت روی خود معین)","OK",IF(N379="ادغام با تفصیلی دیگر",IF(O379="","کلید مقصد خالی است",IF(IFERROR(MATCH(O379*1,$A:$A,0),0)=0,"کلید مقصد در این فهرست نیست",IF(O379*1=A379,"ادغام با خودش","OK"))),IF(Q379="","سطح شناور خالی است",IF(AND(FALSE,OR(Q379=1,Q379=2)),"سطح ۱ و ۲ این معین مال فعالیت و مرکز هزینه است","OK")))))</x:f>
      </x:c>
      <x:c r="T379" s="28"/>
    </x:row>
    <x:row r="380" spans="1:20">
      <x:c r="A380" s="21">
        <x:v>2882</x:v>
      </x:c>
      <x:c r="B380" s="22" t="s">
        <x:v>138</x:v>
      </x:c>
      <x:c r="C380" s="22" t="s">
        <x:v>279</x:v>
      </x:c>
      <x:c r="D380" s="22" t="s">
        <x:v>927</x:v>
      </x:c>
      <x:c r="E380" s="22" t="s">
        <x:v>992</x:v>
      </x:c>
      <x:c r="F380" s="22" t="s">
        <x:v>280</x:v>
      </x:c>
      <x:c r="G380" s="22">
        <x:v>3</x:v>
      </x:c>
      <x:c r="H380" s="23">
        <x:v>3859718547</x:v>
      </x:c>
      <x:c r="I380" s="23">
        <x:v>3859718547</x:v>
      </x:c>
      <x:c r="J380" s="23">
        <x:f>H380-I380</x:f>
      </x:c>
      <x:c r="K380" s="22">
        <x:v>1</x:v>
      </x:c>
      <x:c r="L380" s="24" t="s">
        <x:v>548</x:v>
      </x:c>
      <x:c r="M380" s="24"/>
      <x:c r="N380" s="27" t="s">
        <x:v>548</x:v>
      </x:c>
      <x:c r="O380" s="27"/>
      <x:c r="P380" s="26"/>
      <x:c r="Q380" s="27">
        <x:v>1</x:v>
      </x:c>
      <x:c r="R380" s="27"/>
      <x:c r="S380" s="22">
        <x:f>IF(N380="","تکمیل نشده",IF(N380="بدون تفصیلی (ثبت روی خود معین)","OK",IF(N380="ادغام با تفصیلی دیگر",IF(O380="","کلید مقصد خالی است",IF(IFERROR(MATCH(O380*1,$A:$A,0),0)=0,"کلید مقصد در این فهرست نیست",IF(O380*1=A380,"ادغام با خودش","OK"))),IF(Q380="","سطح شناور خالی است",IF(AND(FALSE,OR(Q380=1,Q380=2)),"سطح ۱ و ۲ این معین مال فعالیت و مرکز هزینه است","OK")))))</x:f>
      </x:c>
      <x:c r="T380" s="28"/>
    </x:row>
    <x:row r="381" spans="1:20">
      <x:c r="A381" s="21">
        <x:v>2883</x:v>
      </x:c>
      <x:c r="B381" s="22" t="s">
        <x:v>138</x:v>
      </x:c>
      <x:c r="C381" s="22" t="s">
        <x:v>279</x:v>
      </x:c>
      <x:c r="D381" s="22" t="s">
        <x:v>921</x:v>
      </x:c>
      <x:c r="E381" s="22" t="s">
        <x:v>993</x:v>
      </x:c>
      <x:c r="F381" s="22" t="s">
        <x:v>280</x:v>
      </x:c>
      <x:c r="G381" s="22">
        <x:v>2</x:v>
      </x:c>
      <x:c r="H381" s="23">
        <x:v>568605479</x:v>
      </x:c>
      <x:c r="I381" s="23">
        <x:v>568605479</x:v>
      </x:c>
      <x:c r="J381" s="23">
        <x:f>H381-I381</x:f>
      </x:c>
      <x:c r="K381" s="22">
        <x:v>1</x:v>
      </x:c>
      <x:c r="L381" s="24" t="s">
        <x:v>548</x:v>
      </x:c>
      <x:c r="M381" s="24"/>
      <x:c r="N381" s="27" t="s">
        <x:v>548</x:v>
      </x:c>
      <x:c r="O381" s="27"/>
      <x:c r="P381" s="26"/>
      <x:c r="Q381" s="27">
        <x:v>1</x:v>
      </x:c>
      <x:c r="R381" s="27"/>
      <x:c r="S381" s="22">
        <x:f>IF(N381="","تکمیل نشده",IF(N381="بدون تفصیلی (ثبت روی خود معین)","OK",IF(N381="ادغام با تفصیلی دیگر",IF(O381="","کلید مقصد خالی است",IF(IFERROR(MATCH(O381*1,$A:$A,0),0)=0,"کلید مقصد در این فهرست نیست",IF(O381*1=A381,"ادغام با خودش","OK"))),IF(Q381="","سطح شناور خالی است",IF(AND(FALSE,OR(Q381=1,Q381=2)),"سطح ۱ و ۲ این معین مال فعالیت و مرکز هزینه است","OK")))))</x:f>
      </x:c>
      <x:c r="T381" s="28"/>
    </x:row>
    <x:row r="382" spans="1:20">
      <x:c r="A382" s="21">
        <x:v>2884</x:v>
      </x:c>
      <x:c r="B382" s="22" t="s">
        <x:v>138</x:v>
      </x:c>
      <x:c r="C382" s="22" t="s">
        <x:v>279</x:v>
      </x:c>
      <x:c r="D382" s="22" t="s">
        <x:v>929</x:v>
      </x:c>
      <x:c r="E382" s="22" t="s">
        <x:v>994</x:v>
      </x:c>
      <x:c r="F382" s="22" t="s">
        <x:v>280</x:v>
      </x:c>
      <x:c r="G382" s="22">
        <x:v>3</x:v>
      </x:c>
      <x:c r="H382" s="23">
        <x:v>328943605</x:v>
      </x:c>
      <x:c r="I382" s="23">
        <x:v>328943605</x:v>
      </x:c>
      <x:c r="J382" s="23">
        <x:f>H382-I382</x:f>
      </x:c>
      <x:c r="K382" s="22">
        <x:v>1</x:v>
      </x:c>
      <x:c r="L382" s="24" t="s">
        <x:v>548</x:v>
      </x:c>
      <x:c r="M382" s="24"/>
      <x:c r="N382" s="27" t="s">
        <x:v>548</x:v>
      </x:c>
      <x:c r="O382" s="27"/>
      <x:c r="P382" s="26"/>
      <x:c r="Q382" s="27">
        <x:v>1</x:v>
      </x:c>
      <x:c r="R382" s="27"/>
      <x:c r="S382" s="22">
        <x:f>IF(N382="","تکمیل نشده",IF(N382="بدون تفصیلی (ثبت روی خود معین)","OK",IF(N382="ادغام با تفصیلی دیگر",IF(O382="","کلید مقصد خالی است",IF(IFERROR(MATCH(O382*1,$A:$A,0),0)=0,"کلید مقصد در این فهرست نیست",IF(O382*1=A382,"ادغام با خودش","OK"))),IF(Q382="","سطح شناور خالی است",IF(AND(FALSE,OR(Q382=1,Q382=2)),"سطح ۱ و ۲ این معین مال فعالیت و مرکز هزینه است","OK")))))</x:f>
      </x:c>
      <x:c r="T382" s="28"/>
    </x:row>
    <x:row r="383" spans="1:20">
      <x:c r="A383" s="21">
        <x:v>2885</x:v>
      </x:c>
      <x:c r="B383" s="22" t="s">
        <x:v>138</x:v>
      </x:c>
      <x:c r="C383" s="22" t="s">
        <x:v>279</x:v>
      </x:c>
      <x:c r="D383" s="22" t="s">
        <x:v>959</x:v>
      </x:c>
      <x:c r="E383" s="22" t="s">
        <x:v>995</x:v>
      </x:c>
      <x:c r="F383" s="22" t="s">
        <x:v>280</x:v>
      </x:c>
      <x:c r="G383" s="22">
        <x:v>2</x:v>
      </x:c>
      <x:c r="H383" s="23">
        <x:v>62564683</x:v>
      </x:c>
      <x:c r="I383" s="23">
        <x:v>62564683</x:v>
      </x:c>
      <x:c r="J383" s="23">
        <x:f>H383-I383</x:f>
      </x:c>
      <x:c r="K383" s="22">
        <x:v>1</x:v>
      </x:c>
      <x:c r="L383" s="24" t="s">
        <x:v>548</x:v>
      </x:c>
      <x:c r="M383" s="24"/>
      <x:c r="N383" s="27" t="s">
        <x:v>548</x:v>
      </x:c>
      <x:c r="O383" s="27"/>
      <x:c r="P383" s="26"/>
      <x:c r="Q383" s="27">
        <x:v>1</x:v>
      </x:c>
      <x:c r="R383" s="27"/>
      <x:c r="S383" s="22">
        <x:f>IF(N383="","تکمیل نشده",IF(N383="بدون تفصیلی (ثبت روی خود معین)","OK",IF(N383="ادغام با تفصیلی دیگر",IF(O383="","کلید مقصد خالی است",IF(IFERROR(MATCH(O383*1,$A:$A,0),0)=0,"کلید مقصد در این فهرست نیست",IF(O383*1=A383,"ادغام با خودش","OK"))),IF(Q383="","سطح شناور خالی است",IF(AND(FALSE,OR(Q383=1,Q383=2)),"سطح ۱ و ۲ این معین مال فعالیت و مرکز هزینه است","OK")))))</x:f>
      </x:c>
      <x:c r="T383" s="28"/>
    </x:row>
    <x:row r="384" spans="1:20">
      <x:c r="A384" s="21">
        <x:v>3746</x:v>
      </x:c>
      <x:c r="B384" s="22" t="s">
        <x:v>138</x:v>
      </x:c>
      <x:c r="C384" s="22" t="s">
        <x:v>192</x:v>
      </x:c>
      <x:c r="D384" s="22" t="s">
        <x:v>996</x:v>
      </x:c>
      <x:c r="E384" s="22" t="s">
        <x:v>997</x:v>
      </x:c>
      <x:c r="F384" s="22" t="s">
        <x:v>281</x:v>
      </x:c>
      <x:c r="G384" s="22">
        <x:v>9</x:v>
      </x:c>
      <x:c r="H384" s="23">
        <x:v>121360905</x:v>
      </x:c>
      <x:c r="I384" s="23">
        <x:v>121360905</x:v>
      </x:c>
      <x:c r="J384" s="23">
        <x:f>H384-I384</x:f>
      </x:c>
      <x:c r="K384" s="22">
        <x:v>2</x:v>
      </x:c>
      <x:c r="L384" s="24" t="s">
        <x:v>548</x:v>
      </x:c>
      <x:c r="M384" s="24"/>
      <x:c r="N384" s="27" t="s">
        <x:v>548</x:v>
      </x:c>
      <x:c r="O384" s="27"/>
      <x:c r="P384" s="26"/>
      <x:c r="Q384" s="27">
        <x:v>1</x:v>
      </x:c>
      <x:c r="R384" s="27"/>
      <x:c r="S384" s="22">
        <x:f>IF(N384="","تکمیل نشده",IF(N384="بدون تفصیلی (ثبت روی خود معین)","OK",IF(N384="ادغام با تفصیلی دیگر",IF(O384="","کلید مقصد خالی است",IF(IFERROR(MATCH(O384*1,$A:$A,0),0)=0,"کلید مقصد در این فهرست نیست",IF(O384*1=A384,"ادغام با خودش","OK"))),IF(Q384="","سطح شناور خالی است",IF(AND(FALSE,OR(Q384=1,Q384=2)),"سطح ۱ و ۲ این معین مال فعالیت و مرکز هزینه است","OK")))))</x:f>
      </x:c>
      <x:c r="T384" s="28"/>
    </x:row>
    <x:row r="385" spans="1:20">
      <x:c r="A385" s="21">
        <x:v>2898</x:v>
      </x:c>
      <x:c r="B385" s="22" t="s">
        <x:v>138</x:v>
      </x:c>
      <x:c r="C385" s="22" t="s">
        <x:v>192</x:v>
      </x:c>
      <x:c r="D385" s="22" t="s">
        <x:v>927</x:v>
      </x:c>
      <x:c r="E385" s="22" t="s">
        <x:v>998</x:v>
      </x:c>
      <x:c r="F385" s="22" t="s">
        <x:v>281</x:v>
      </x:c>
      <x:c r="G385" s="22">
        <x:v>5</x:v>
      </x:c>
      <x:c r="H385" s="23">
        <x:v>729226143</x:v>
      </x:c>
      <x:c r="I385" s="23">
        <x:v>937613543</x:v>
      </x:c>
      <x:c r="J385" s="23">
        <x:f>H385-I385</x:f>
      </x:c>
      <x:c r="K385" s="22">
        <x:v>2</x:v>
      </x:c>
      <x:c r="L385" s="24" t="s">
        <x:v>548</x:v>
      </x:c>
      <x:c r="M385" s="24"/>
      <x:c r="N385" s="27" t="s">
        <x:v>548</x:v>
      </x:c>
      <x:c r="O385" s="27"/>
      <x:c r="P385" s="26"/>
      <x:c r="Q385" s="27">
        <x:v>1</x:v>
      </x:c>
      <x:c r="R385" s="27"/>
      <x:c r="S385" s="22">
        <x:f>IF(N385="","تکمیل نشده",IF(N385="بدون تفصیلی (ثبت روی خود معین)","OK",IF(N385="ادغام با تفصیلی دیگر",IF(O385="","کلید مقصد خالی است",IF(IFERROR(MATCH(O385*1,$A:$A,0),0)=0,"کلید مقصد در این فهرست نیست",IF(O385*1=A385,"ادغام با خودش","OK"))),IF(Q385="","سطح شناور خالی است",IF(AND(FALSE,OR(Q385=1,Q385=2)),"سطح ۱ و ۲ این معین مال فعالیت و مرکز هزینه است","OK")))))</x:f>
      </x:c>
      <x:c r="T385" s="28"/>
    </x:row>
    <x:row r="386" spans="1:20">
      <x:c r="A386" s="21">
        <x:v>2901</x:v>
      </x:c>
      <x:c r="B386" s="22" t="s">
        <x:v>138</x:v>
      </x:c>
      <x:c r="C386" s="22" t="s">
        <x:v>192</x:v>
      </x:c>
      <x:c r="D386" s="22" t="s">
        <x:v>929</x:v>
      </x:c>
      <x:c r="E386" s="22" t="s">
        <x:v>999</x:v>
      </x:c>
      <x:c r="F386" s="22" t="s">
        <x:v>281</x:v>
      </x:c>
      <x:c r="G386" s="22">
        <x:v>5</x:v>
      </x:c>
      <x:c r="H386" s="23">
        <x:v>43737143</x:v>
      </x:c>
      <x:c r="I386" s="23">
        <x:v>110421111</x:v>
      </x:c>
      <x:c r="J386" s="23">
        <x:f>H386-I386</x:f>
      </x:c>
      <x:c r="K386" s="22">
        <x:v>1</x:v>
      </x:c>
      <x:c r="L386" s="24" t="s">
        <x:v>548</x:v>
      </x:c>
      <x:c r="M386" s="24"/>
      <x:c r="N386" s="27" t="s">
        <x:v>548</x:v>
      </x:c>
      <x:c r="O386" s="27"/>
      <x:c r="P386" s="26"/>
      <x:c r="Q386" s="27">
        <x:v>1</x:v>
      </x:c>
      <x:c r="R386" s="27"/>
      <x:c r="S386" s="22">
        <x:f>IF(N386="","تکمیل نشده",IF(N386="بدون تفصیلی (ثبت روی خود معین)","OK",IF(N386="ادغام با تفصیلی دیگر",IF(O386="","کلید مقصد خالی است",IF(IFERROR(MATCH(O386*1,$A:$A,0),0)=0,"کلید مقصد در این فهرست نیست",IF(O386*1=A386,"ادغام با خودش","OK"))),IF(Q386="","سطح شناور خالی است",IF(AND(FALSE,OR(Q386=1,Q386=2)),"سطح ۱ و ۲ این معین مال فعالیت و مرکز هزینه است","OK")))))</x:f>
      </x:c>
      <x:c r="T386" s="28"/>
    </x:row>
    <x:row r="387" spans="1:20">
      <x:c r="A387" s="21">
        <x:v>2905</x:v>
      </x:c>
      <x:c r="B387" s="22" t="s">
        <x:v>138</x:v>
      </x:c>
      <x:c r="C387" s="22" t="s">
        <x:v>192</x:v>
      </x:c>
      <x:c r="D387" s="22" t="s">
        <x:v>1000</x:v>
      </x:c>
      <x:c r="E387" s="22" t="s">
        <x:v>1001</x:v>
      </x:c>
      <x:c r="F387" s="22" t="s">
        <x:v>281</x:v>
      </x:c>
      <x:c r="G387" s="22">
        <x:v>4</x:v>
      </x:c>
      <x:c r="H387" s="23">
        <x:v>148997004</x:v>
      </x:c>
      <x:c r="I387" s="23">
        <x:v>148997004</x:v>
      </x:c>
      <x:c r="J387" s="23">
        <x:f>H387-I387</x:f>
      </x:c>
      <x:c r="K387" s="22">
        <x:v>1</x:v>
      </x:c>
      <x:c r="L387" s="24" t="s">
        <x:v>548</x:v>
      </x:c>
      <x:c r="M387" s="24"/>
      <x:c r="N387" s="27" t="s">
        <x:v>548</x:v>
      </x:c>
      <x:c r="O387" s="27"/>
      <x:c r="P387" s="26"/>
      <x:c r="Q387" s="27">
        <x:v>1</x:v>
      </x:c>
      <x:c r="R387" s="27"/>
      <x:c r="S387" s="22">
        <x:f>IF(N387="","تکمیل نشده",IF(N387="بدون تفصیلی (ثبت روی خود معین)","OK",IF(N387="ادغام با تفصیلی دیگر",IF(O387="","کلید مقصد خالی است",IF(IFERROR(MATCH(O387*1,$A:$A,0),0)=0,"کلید مقصد در این فهرست نیست",IF(O387*1=A387,"ادغام با خودش","OK"))),IF(Q387="","سطح شناور خالی است",IF(AND(FALSE,OR(Q387=1,Q387=2)),"سطح ۱ و ۲ این معین مال فعالیت و مرکز هزینه است","OK")))))</x:f>
      </x:c>
      <x:c r="T387" s="28"/>
    </x:row>
    <x:row r="388" spans="1:20">
      <x:c r="A388" s="21">
        <x:v>2909</x:v>
      </x:c>
      <x:c r="B388" s="22" t="s">
        <x:v>138</x:v>
      </x:c>
      <x:c r="C388" s="22" t="s">
        <x:v>192</x:v>
      </x:c>
      <x:c r="D388" s="22" t="s">
        <x:v>1002</x:v>
      </x:c>
      <x:c r="E388" s="22" t="s">
        <x:v>1003</x:v>
      </x:c>
      <x:c r="F388" s="22" t="s">
        <x:v>281</x:v>
      </x:c>
      <x:c r="G388" s="22">
        <x:v>2</x:v>
      </x:c>
      <x:c r="H388" s="23">
        <x:v>3837243</x:v>
      </x:c>
      <x:c r="I388" s="23">
        <x:v>3837243</x:v>
      </x:c>
      <x:c r="J388" s="23">
        <x:f>H388-I388</x:f>
      </x:c>
      <x:c r="K388" s="22">
        <x:v>1</x:v>
      </x:c>
      <x:c r="L388" s="24" t="s">
        <x:v>548</x:v>
      </x:c>
      <x:c r="M388" s="24"/>
      <x:c r="N388" s="27" t="s">
        <x:v>548</x:v>
      </x:c>
      <x:c r="O388" s="27"/>
      <x:c r="P388" s="26"/>
      <x:c r="Q388" s="27">
        <x:v>1</x:v>
      </x:c>
      <x:c r="R388" s="27"/>
      <x:c r="S388" s="22">
        <x:f>IF(N388="","تکمیل نشده",IF(N388="بدون تفصیلی (ثبت روی خود معین)","OK",IF(N388="ادغام با تفصیلی دیگر",IF(O388="","کلید مقصد خالی است",IF(IFERROR(MATCH(O388*1,$A:$A,0),0)=0,"کلید مقصد در این فهرست نیست",IF(O388*1=A388,"ادغام با خودش","OK"))),IF(Q388="","سطح شناور خالی است",IF(AND(FALSE,OR(Q388=1,Q388=2)),"سطح ۱ و ۲ این معین مال فعالیت و مرکز هزینه است","OK")))))</x:f>
      </x:c>
      <x:c r="T388" s="28"/>
    </x:row>
    <x:row r="389" spans="1:20">
      <x:c r="A389" s="21">
        <x:v>2910</x:v>
      </x:c>
      <x:c r="B389" s="22" t="s">
        <x:v>138</x:v>
      </x:c>
      <x:c r="C389" s="22" t="s">
        <x:v>192</x:v>
      </x:c>
      <x:c r="D389" s="22" t="s">
        <x:v>1004</x:v>
      </x:c>
      <x:c r="E389" s="22" t="s">
        <x:v>1005</x:v>
      </x:c>
      <x:c r="F389" s="22" t="s">
        <x:v>281</x:v>
      </x:c>
      <x:c r="G389" s="22">
        <x:v>2</x:v>
      </x:c>
      <x:c r="H389" s="23">
        <x:v>206303550</x:v>
      </x:c>
      <x:c r="I389" s="23">
        <x:v>206303550</x:v>
      </x:c>
      <x:c r="J389" s="23">
        <x:f>H389-I389</x:f>
      </x:c>
      <x:c r="K389" s="22">
        <x:v>1</x:v>
      </x:c>
      <x:c r="L389" s="24" t="s">
        <x:v>548</x:v>
      </x:c>
      <x:c r="M389" s="24"/>
      <x:c r="N389" s="27" t="s">
        <x:v>548</x:v>
      </x:c>
      <x:c r="O389" s="27"/>
      <x:c r="P389" s="26"/>
      <x:c r="Q389" s="27">
        <x:v>1</x:v>
      </x:c>
      <x:c r="R389" s="27"/>
      <x:c r="S389" s="22">
        <x:f>IF(N389="","تکمیل نشده",IF(N389="بدون تفصیلی (ثبت روی خود معین)","OK",IF(N389="ادغام با تفصیلی دیگر",IF(O389="","کلید مقصد خالی است",IF(IFERROR(MATCH(O389*1,$A:$A,0),0)=0,"کلید مقصد در این فهرست نیست",IF(O389*1=A389,"ادغام با خودش","OK"))),IF(Q389="","سطح شناور خالی است",IF(AND(FALSE,OR(Q389=1,Q389=2)),"سطح ۱ و ۲ این معین مال فعالیت و مرکز هزینه است","OK")))))</x:f>
      </x:c>
      <x:c r="T389" s="28"/>
    </x:row>
    <x:row r="390" spans="1:20">
      <x:c r="A390" s="21">
        <x:v>2911</x:v>
      </x:c>
      <x:c r="B390" s="22" t="s">
        <x:v>138</x:v>
      </x:c>
      <x:c r="C390" s="22" t="s">
        <x:v>192</x:v>
      </x:c>
      <x:c r="D390" s="22" t="s">
        <x:v>1006</x:v>
      </x:c>
      <x:c r="E390" s="22" t="s">
        <x:v>1007</x:v>
      </x:c>
      <x:c r="F390" s="22" t="s">
        <x:v>281</x:v>
      </x:c>
      <x:c r="G390" s="22">
        <x:v>1</x:v>
      </x:c>
      <x:c r="H390" s="23">
        <x:v>0</x:v>
      </x:c>
      <x:c r="I390" s="23">
        <x:v>55014300</x:v>
      </x:c>
      <x:c r="J390" s="23">
        <x:f>H390-I390</x:f>
      </x:c>
      <x:c r="K390" s="22">
        <x:v>1</x:v>
      </x:c>
      <x:c r="L390" s="24" t="s">
        <x:v>548</x:v>
      </x:c>
      <x:c r="M390" s="24"/>
      <x:c r="N390" s="27" t="s">
        <x:v>548</x:v>
      </x:c>
      <x:c r="O390" s="27"/>
      <x:c r="P390" s="26"/>
      <x:c r="Q390" s="27">
        <x:v>1</x:v>
      </x:c>
      <x:c r="R390" s="27"/>
      <x:c r="S390" s="22">
        <x:f>IF(N390="","تکمیل نشده",IF(N390="بدون تفصیلی (ثبت روی خود معین)","OK",IF(N390="ادغام با تفصیلی دیگر",IF(O390="","کلید مقصد خالی است",IF(IFERROR(MATCH(O390*1,$A:$A,0),0)=0,"کلید مقصد در این فهرست نیست",IF(O390*1=A390,"ادغام با خودش","OK"))),IF(Q390="","سطح شناور خالی است",IF(AND(FALSE,OR(Q390=1,Q390=2)),"سطح ۱ و ۲ این معین مال فعالیت و مرکز هزینه است","OK")))))</x:f>
      </x:c>
      <x:c r="T390" s="28"/>
    </x:row>
    <x:row r="391" spans="1:20">
      <x:c r="A391" s="21">
        <x:v>2912</x:v>
      </x:c>
      <x:c r="B391" s="22" t="s">
        <x:v>138</x:v>
      </x:c>
      <x:c r="C391" s="22" t="s">
        <x:v>192</x:v>
      </x:c>
      <x:c r="D391" s="22" t="s">
        <x:v>1008</x:v>
      </x:c>
      <x:c r="E391" s="22" t="s">
        <x:v>1009</x:v>
      </x:c>
      <x:c r="F391" s="22" t="s">
        <x:v>281</x:v>
      </x:c>
      <x:c r="G391" s="22">
        <x:v>2</x:v>
      </x:c>
      <x:c r="H391" s="23">
        <x:v>109904569</x:v>
      </x:c>
      <x:c r="I391" s="23">
        <x:v>109904569</x:v>
      </x:c>
      <x:c r="J391" s="23">
        <x:f>H391-I391</x:f>
      </x:c>
      <x:c r="K391" s="22">
        <x:v>1</x:v>
      </x:c>
      <x:c r="L391" s="24" t="s">
        <x:v>548</x:v>
      </x:c>
      <x:c r="M391" s="24"/>
      <x:c r="N391" s="27" t="s">
        <x:v>548</x:v>
      </x:c>
      <x:c r="O391" s="27"/>
      <x:c r="P391" s="26"/>
      <x:c r="Q391" s="27">
        <x:v>1</x:v>
      </x:c>
      <x:c r="R391" s="27"/>
      <x:c r="S391" s="22">
        <x:f>IF(N391="","تکمیل نشده",IF(N391="بدون تفصیلی (ثبت روی خود معین)","OK",IF(N391="ادغام با تفصیلی دیگر",IF(O391="","کلید مقصد خالی است",IF(IFERROR(MATCH(O391*1,$A:$A,0),0)=0,"کلید مقصد در این فهرست نیست",IF(O391*1=A391,"ادغام با خودش","OK"))),IF(Q391="","سطح شناور خالی است",IF(AND(FALSE,OR(Q391=1,Q391=2)),"سطح ۱ و ۲ این معین مال فعالیت و مرکز هزینه است","OK")))))</x:f>
      </x:c>
      <x:c r="T391" s="28"/>
    </x:row>
    <x:row r="392" spans="1:20">
      <x:c r="A392" s="21">
        <x:v>2913</x:v>
      </x:c>
      <x:c r="B392" s="22" t="s">
        <x:v>138</x:v>
      </x:c>
      <x:c r="C392" s="22" t="s">
        <x:v>192</x:v>
      </x:c>
      <x:c r="D392" s="22" t="s">
        <x:v>1010</x:v>
      </x:c>
      <x:c r="E392" s="22" t="s">
        <x:v>1011</x:v>
      </x:c>
      <x:c r="F392" s="22" t="s">
        <x:v>281</x:v>
      </x:c>
      <x:c r="G392" s="22">
        <x:v>2</x:v>
      </x:c>
      <x:c r="H392" s="23">
        <x:v>40114578</x:v>
      </x:c>
      <x:c r="I392" s="23">
        <x:v>40114578</x:v>
      </x:c>
      <x:c r="J392" s="23">
        <x:f>H392-I392</x:f>
      </x:c>
      <x:c r="K392" s="22">
        <x:v>1</x:v>
      </x:c>
      <x:c r="L392" s="24" t="s">
        <x:v>548</x:v>
      </x:c>
      <x:c r="M392" s="24"/>
      <x:c r="N392" s="27" t="s">
        <x:v>548</x:v>
      </x:c>
      <x:c r="O392" s="27"/>
      <x:c r="P392" s="26"/>
      <x:c r="Q392" s="27">
        <x:v>1</x:v>
      </x:c>
      <x:c r="R392" s="27"/>
      <x:c r="S392" s="22">
        <x:f>IF(N392="","تکمیل نشده",IF(N392="بدون تفصیلی (ثبت روی خود معین)","OK",IF(N392="ادغام با تفصیلی دیگر",IF(O392="","کلید مقصد خالی است",IF(IFERROR(MATCH(O392*1,$A:$A,0),0)=0,"کلید مقصد در این فهرست نیست",IF(O392*1=A392,"ادغام با خودش","OK"))),IF(Q392="","سطح شناور خالی است",IF(AND(FALSE,OR(Q392=1,Q392=2)),"سطح ۱ و ۲ این معین مال فعالیت و مرکز هزینه است","OK")))))</x:f>
      </x:c>
      <x:c r="T392" s="28"/>
    </x:row>
    <x:row r="393" spans="1:20">
      <x:c r="A393" s="21">
        <x:v>2917</x:v>
      </x:c>
      <x:c r="B393" s="22" t="s">
        <x:v>138</x:v>
      </x:c>
      <x:c r="C393" s="22" t="s">
        <x:v>192</x:v>
      </x:c>
      <x:c r="D393" s="22" t="s">
        <x:v>1012</x:v>
      </x:c>
      <x:c r="E393" s="22" t="s">
        <x:v>1013</x:v>
      </x:c>
      <x:c r="F393" s="22" t="s">
        <x:v>281</x:v>
      </x:c>
      <x:c r="G393" s="22">
        <x:v>2</x:v>
      </x:c>
      <x:c r="H393" s="23">
        <x:v>13753570</x:v>
      </x:c>
      <x:c r="I393" s="23">
        <x:v>13753570</x:v>
      </x:c>
      <x:c r="J393" s="23">
        <x:f>H393-I393</x:f>
      </x:c>
      <x:c r="K393" s="22">
        <x:v>1</x:v>
      </x:c>
      <x:c r="L393" s="24" t="s">
        <x:v>548</x:v>
      </x:c>
      <x:c r="M393" s="24"/>
      <x:c r="N393" s="27" t="s">
        <x:v>548</x:v>
      </x:c>
      <x:c r="O393" s="27"/>
      <x:c r="P393" s="26"/>
      <x:c r="Q393" s="27">
        <x:v>1</x:v>
      </x:c>
      <x:c r="R393" s="27"/>
      <x:c r="S393" s="22">
        <x:f>IF(N393="","تکمیل نشده",IF(N393="بدون تفصیلی (ثبت روی خود معین)","OK",IF(N393="ادغام با تفصیلی دیگر",IF(O393="","کلید مقصد خالی است",IF(IFERROR(MATCH(O393*1,$A:$A,0),0)=0,"کلید مقصد در این فهرست نیست",IF(O393*1=A393,"ادغام با خودش","OK"))),IF(Q393="","سطح شناور خالی است",IF(AND(FALSE,OR(Q393=1,Q393=2)),"سطح ۱ و ۲ این معین مال فعالیت و مرکز هزینه است","OK")))))</x:f>
      </x:c>
      <x:c r="T393" s="28"/>
    </x:row>
    <x:row r="394" spans="1:20">
      <x:c r="A394" s="21">
        <x:v>2918</x:v>
      </x:c>
      <x:c r="B394" s="22" t="s">
        <x:v>138</x:v>
      </x:c>
      <x:c r="C394" s="22" t="s">
        <x:v>192</x:v>
      </x:c>
      <x:c r="D394" s="22" t="s">
        <x:v>1014</x:v>
      </x:c>
      <x:c r="E394" s="22" t="s">
        <x:v>1015</x:v>
      </x:c>
      <x:c r="F394" s="22" t="s">
        <x:v>281</x:v>
      </x:c>
      <x:c r="G394" s="22">
        <x:v>1</x:v>
      </x:c>
      <x:c r="H394" s="23">
        <x:v>0</x:v>
      </x:c>
      <x:c r="I394" s="23">
        <x:v>17604576</x:v>
      </x:c>
      <x:c r="J394" s="23">
        <x:f>H394-I394</x:f>
      </x:c>
      <x:c r="K394" s="22">
        <x:v>1</x:v>
      </x:c>
      <x:c r="L394" s="24" t="s">
        <x:v>548</x:v>
      </x:c>
      <x:c r="M394" s="24"/>
      <x:c r="N394" s="27" t="s">
        <x:v>548</x:v>
      </x:c>
      <x:c r="O394" s="27"/>
      <x:c r="P394" s="26"/>
      <x:c r="Q394" s="27">
        <x:v>1</x:v>
      </x:c>
      <x:c r="R394" s="27"/>
      <x:c r="S394" s="22">
        <x:f>IF(N394="","تکمیل نشده",IF(N394="بدون تفصیلی (ثبت روی خود معین)","OK",IF(N394="ادغام با تفصیلی دیگر",IF(O394="","کلید مقصد خالی است",IF(IFERROR(MATCH(O394*1,$A:$A,0),0)=0,"کلید مقصد در این فهرست نیست",IF(O394*1=A394,"ادغام با خودش","OK"))),IF(Q394="","سطح شناور خالی است",IF(AND(FALSE,OR(Q394=1,Q394=2)),"سطح ۱ و ۲ این معین مال فعالیت و مرکز هزینه است","OK")))))</x:f>
      </x:c>
      <x:c r="T394" s="28"/>
    </x:row>
    <x:row r="395" spans="1:20">
      <x:c r="A395" s="21">
        <x:v>2919</x:v>
      </x:c>
      <x:c r="B395" s="22" t="s">
        <x:v>138</x:v>
      </x:c>
      <x:c r="C395" s="22" t="s">
        <x:v>192</x:v>
      </x:c>
      <x:c r="D395" s="22" t="s">
        <x:v>1016</x:v>
      </x:c>
      <x:c r="E395" s="22" t="s">
        <x:v>1017</x:v>
      </x:c>
      <x:c r="F395" s="22" t="s">
        <x:v>281</x:v>
      </x:c>
      <x:c r="G395" s="22">
        <x:v>2</x:v>
      </x:c>
      <x:c r="H395" s="23">
        <x:v>3452142</x:v>
      </x:c>
      <x:c r="I395" s="23">
        <x:v>3452142</x:v>
      </x:c>
      <x:c r="J395" s="23">
        <x:f>H395-I395</x:f>
      </x:c>
      <x:c r="K395" s="22">
        <x:v>1</x:v>
      </x:c>
      <x:c r="L395" s="24" t="s">
        <x:v>548</x:v>
      </x:c>
      <x:c r="M395" s="24"/>
      <x:c r="N395" s="27" t="s">
        <x:v>548</x:v>
      </x:c>
      <x:c r="O395" s="27"/>
      <x:c r="P395" s="26"/>
      <x:c r="Q395" s="27">
        <x:v>1</x:v>
      </x:c>
      <x:c r="R395" s="27"/>
      <x:c r="S395" s="22">
        <x:f>IF(N395="","تکمیل نشده",IF(N395="بدون تفصیلی (ثبت روی خود معین)","OK",IF(N395="ادغام با تفصیلی دیگر",IF(O395="","کلید مقصد خالی است",IF(IFERROR(MATCH(O395*1,$A:$A,0),0)=0,"کلید مقصد در این فهرست نیست",IF(O395*1=A395,"ادغام با خودش","OK"))),IF(Q395="","سطح شناور خالی است",IF(AND(FALSE,OR(Q395=1,Q395=2)),"سطح ۱ و ۲ این معین مال فعالیت و مرکز هزینه است","OK")))))</x:f>
      </x:c>
      <x:c r="T395" s="28"/>
    </x:row>
    <x:row r="396" spans="1:20">
      <x:c r="A396" s="21">
        <x:v>2923</x:v>
      </x:c>
      <x:c r="B396" s="22" t="s">
        <x:v>138</x:v>
      </x:c>
      <x:c r="C396" s="22" t="s">
        <x:v>192</x:v>
      </x:c>
      <x:c r="D396" s="22" t="s">
        <x:v>1018</x:v>
      </x:c>
      <x:c r="E396" s="22" t="s">
        <x:v>1019</x:v>
      </x:c>
      <x:c r="F396" s="22" t="s">
        <x:v>281</x:v>
      </x:c>
      <x:c r="G396" s="22">
        <x:v>8</x:v>
      </x:c>
      <x:c r="H396" s="23">
        <x:v>31724904</x:v>
      </x:c>
      <x:c r="I396" s="23">
        <x:v>31724904</x:v>
      </x:c>
      <x:c r="J396" s="23">
        <x:f>H396-I396</x:f>
      </x:c>
      <x:c r="K396" s="22">
        <x:v>2</x:v>
      </x:c>
      <x:c r="L396" s="24" t="s">
        <x:v>550</x:v>
      </x:c>
      <x:c r="M396" s="24">
        <x:v>3746</x:v>
      </x:c>
      <x:c r="N396" s="27" t="s">
        <x:v>550</x:v>
      </x:c>
      <x:c r="O396" s="27">
        <x:v>3746</x:v>
      </x:c>
      <x:c r="P396" s="26"/>
      <x:c r="Q396" s="27">
        <x:v>1</x:v>
      </x:c>
      <x:c r="R396" s="27"/>
      <x:c r="S396" s="22">
        <x:f>IF(N396="","تکمیل نشده",IF(N396="بدون تفصیلی (ثبت روی خود معین)","OK",IF(N396="ادغام با تفصیلی دیگر",IF(O396="","کلید مقصد خالی است",IF(IFERROR(MATCH(O396*1,$A:$A,0),0)=0,"کلید مقصد در این فهرست نیست",IF(O396*1=A396,"ادغام با خودش","OK"))),IF(Q396="","سطح شناور خالی است",IF(AND(FALSE,OR(Q396=1,Q396=2)),"سطح ۱ و ۲ این معین مال فعالیت و مرکز هزینه است","OK")))))</x:f>
      </x:c>
      <x:c r="T396" s="28"/>
    </x:row>
    <x:row r="397" spans="1:20">
      <x:c r="A397" s="21">
        <x:v>2933</x:v>
      </x:c>
      <x:c r="B397" s="22" t="s">
        <x:v>138</x:v>
      </x:c>
      <x:c r="C397" s="22" t="s">
        <x:v>14</x:v>
      </x:c>
      <x:c r="D397" s="22" t="s">
        <x:v>985</x:v>
      </x:c>
      <x:c r="E397" s="22" t="s">
        <x:v>1020</x:v>
      </x:c>
      <x:c r="F397" s="22" t="s">
        <x:v>282</x:v>
      </x:c>
      <x:c r="G397" s="22">
        <x:v>2</x:v>
      </x:c>
      <x:c r="H397" s="23">
        <x:v>99318609</x:v>
      </x:c>
      <x:c r="I397" s="23">
        <x:v>99318609</x:v>
      </x:c>
      <x:c r="J397" s="23">
        <x:f>H397-I397</x:f>
      </x:c>
      <x:c r="K397" s="22">
        <x:v>1</x:v>
      </x:c>
      <x:c r="L397" s="24" t="s">
        <x:v>548</x:v>
      </x:c>
      <x:c r="M397" s="24"/>
      <x:c r="N397" s="27" t="s">
        <x:v>548</x:v>
      </x:c>
      <x:c r="O397" s="27"/>
      <x:c r="P397" s="26"/>
      <x:c r="Q397" s="27">
        <x:v>1</x:v>
      </x:c>
      <x:c r="R397" s="27"/>
      <x:c r="S397" s="22">
        <x:f>IF(N397="","تکمیل نشده",IF(N397="بدون تفصیلی (ثبت روی خود معین)","OK",IF(N397="ادغام با تفصیلی دیگر",IF(O397="","کلید مقصد خالی است",IF(IFERROR(MATCH(O397*1,$A:$A,0),0)=0,"کلید مقصد در این فهرست نیست",IF(O397*1=A397,"ادغام با خودش","OK"))),IF(Q397="","سطح شناور خالی است",IF(AND(FALSE,OR(Q397=1,Q397=2)),"سطح ۱ و ۲ این معین مال فعالیت و مرکز هزینه است","OK")))))</x:f>
      </x:c>
      <x:c r="T397" s="28"/>
    </x:row>
    <x:row r="398" spans="1:20">
      <x:c r="A398" s="21">
        <x:v>2938</x:v>
      </x:c>
      <x:c r="B398" s="22" t="s">
        <x:v>138</x:v>
      </x:c>
      <x:c r="C398" s="22" t="s">
        <x:v>18</x:v>
      </x:c>
      <x:c r="D398" s="22" t="s">
        <x:v>985</x:v>
      </x:c>
      <x:c r="E398" s="22" t="s">
        <x:v>1021</x:v>
      </x:c>
      <x:c r="F398" s="22" t="s">
        <x:v>283</x:v>
      </x:c>
      <x:c r="G398" s="22">
        <x:v>12</x:v>
      </x:c>
      <x:c r="H398" s="23">
        <x:v>156729804</x:v>
      </x:c>
      <x:c r="I398" s="23">
        <x:v>212334950</x:v>
      </x:c>
      <x:c r="J398" s="23">
        <x:f>H398-I398</x:f>
      </x:c>
      <x:c r="K398" s="22">
        <x:v>1</x:v>
      </x:c>
      <x:c r="L398" s="24" t="s">
        <x:v>548</x:v>
      </x:c>
      <x:c r="M398" s="24"/>
      <x:c r="N398" s="27" t="s">
        <x:v>548</x:v>
      </x:c>
      <x:c r="O398" s="27"/>
      <x:c r="P398" s="26"/>
      <x:c r="Q398" s="27">
        <x:v>1</x:v>
      </x:c>
      <x:c r="R398" s="27"/>
      <x:c r="S398" s="22">
        <x:f>IF(N398="","تکمیل نشده",IF(N398="بدون تفصیلی (ثبت روی خود معین)","OK",IF(N398="ادغام با تفصیلی دیگر",IF(O398="","کلید مقصد خالی است",IF(IFERROR(MATCH(O398*1,$A:$A,0),0)=0,"کلید مقصد در این فهرست نیست",IF(O398*1=A398,"ادغام با خودش","OK"))),IF(Q398="","سطح شناور خالی است",IF(AND(FALSE,OR(Q398=1,Q398=2)),"سطح ۱ و ۲ این معین مال فعالیت و مرکز هزینه است","OK")))))</x:f>
      </x:c>
      <x:c r="T398" s="28"/>
    </x:row>
    <x:row r="399" spans="1:20">
      <x:c r="A399" s="21">
        <x:v>2939</x:v>
      </x:c>
      <x:c r="B399" s="22" t="s">
        <x:v>138</x:v>
      </x:c>
      <x:c r="C399" s="22" t="s">
        <x:v>18</x:v>
      </x:c>
      <x:c r="D399" s="22" t="s">
        <x:v>987</x:v>
      </x:c>
      <x:c r="E399" s="22" t="s">
        <x:v>1022</x:v>
      </x:c>
      <x:c r="F399" s="22" t="s">
        <x:v>283</x:v>
      </x:c>
      <x:c r="G399" s="22">
        <x:v>12</x:v>
      </x:c>
      <x:c r="H399" s="23">
        <x:v>11520810</x:v>
      </x:c>
      <x:c r="I399" s="23">
        <x:v>19971000</x:v>
      </x:c>
      <x:c r="J399" s="23">
        <x:f>H399-I399</x:f>
      </x:c>
      <x:c r="K399" s="22">
        <x:v>1</x:v>
      </x:c>
      <x:c r="L399" s="24" t="s">
        <x:v>548</x:v>
      </x:c>
      <x:c r="M399" s="24"/>
      <x:c r="N399" s="27" t="s">
        <x:v>548</x:v>
      </x:c>
      <x:c r="O399" s="27"/>
      <x:c r="P399" s="26"/>
      <x:c r="Q399" s="27">
        <x:v>1</x:v>
      </x:c>
      <x:c r="R399" s="27"/>
      <x:c r="S399" s="22">
        <x:f>IF(N399="","تکمیل نشده",IF(N399="بدون تفصیلی (ثبت روی خود معین)","OK",IF(N399="ادغام با تفصیلی دیگر",IF(O399="","کلید مقصد خالی است",IF(IFERROR(MATCH(O399*1,$A:$A,0),0)=0,"کلید مقصد در این فهرست نیست",IF(O399*1=A399,"ادغام با خودش","OK"))),IF(Q399="","سطح شناور خالی است",IF(AND(FALSE,OR(Q399=1,Q399=2)),"سطح ۱ و ۲ این معین مال فعالیت و مرکز هزینه است","OK")))))</x:f>
      </x:c>
      <x:c r="T399" s="28"/>
    </x:row>
    <x:row r="400" spans="1:20">
      <x:c r="A400" s="21">
        <x:v>2943</x:v>
      </x:c>
      <x:c r="B400" s="22" t="s">
        <x:v>138</x:v>
      </x:c>
      <x:c r="C400" s="22" t="s">
        <x:v>21</x:v>
      </x:c>
      <x:c r="D400" s="22" t="s">
        <x:v>985</x:v>
      </x:c>
      <x:c r="E400" s="22" t="s">
        <x:v>1023</x:v>
      </x:c>
      <x:c r="F400" s="22" t="s">
        <x:v>284</x:v>
      </x:c>
      <x:c r="G400" s="22">
        <x:v>12</x:v>
      </x:c>
      <x:c r="H400" s="23">
        <x:v>2439013646</x:v>
      </x:c>
      <x:c r="I400" s="23">
        <x:v>3235846989</x:v>
      </x:c>
      <x:c r="J400" s="23">
        <x:f>H400-I400</x:f>
      </x:c>
      <x:c r="K400" s="22">
        <x:v>1</x:v>
      </x:c>
      <x:c r="L400" s="24" t="s">
        <x:v>548</x:v>
      </x:c>
      <x:c r="M400" s="24"/>
      <x:c r="N400" s="27" t="s">
        <x:v>548</x:v>
      </x:c>
      <x:c r="O400" s="27"/>
      <x:c r="P400" s="26"/>
      <x:c r="Q400" s="27">
        <x:v>1</x:v>
      </x:c>
      <x:c r="R400" s="27"/>
      <x:c r="S400" s="22">
        <x:f>IF(N400="","تکمیل نشده",IF(N400="بدون تفصیلی (ثبت روی خود معین)","OK",IF(N400="ادغام با تفصیلی دیگر",IF(O400="","کلید مقصد خالی است",IF(IFERROR(MATCH(O400*1,$A:$A,0),0)=0,"کلید مقصد در این فهرست نیست",IF(O400*1=A400,"ادغام با خودش","OK"))),IF(Q400="","سطح شناور خالی است",IF(AND(FALSE,OR(Q400=1,Q400=2)),"سطح ۱ و ۲ این معین مال فعالیت و مرکز هزینه است","OK")))))</x:f>
      </x:c>
      <x:c r="T400" s="28"/>
    </x:row>
    <x:row r="401" spans="1:20">
      <x:c r="A401" s="21">
        <x:v>2944</x:v>
      </x:c>
      <x:c r="B401" s="22" t="s">
        <x:v>138</x:v>
      </x:c>
      <x:c r="C401" s="22" t="s">
        <x:v>21</x:v>
      </x:c>
      <x:c r="D401" s="22" t="s">
        <x:v>987</x:v>
      </x:c>
      <x:c r="E401" s="22" t="s">
        <x:v>1024</x:v>
      </x:c>
      <x:c r="F401" s="22" t="s">
        <x:v>284</x:v>
      </x:c>
      <x:c r="G401" s="22">
        <x:v>12</x:v>
      </x:c>
      <x:c r="H401" s="23">
        <x:v>225059191</x:v>
      </x:c>
      <x:c r="I401" s="23">
        <x:v>344609396</x:v>
      </x:c>
      <x:c r="J401" s="23">
        <x:f>H401-I401</x:f>
      </x:c>
      <x:c r="K401" s="22">
        <x:v>1</x:v>
      </x:c>
      <x:c r="L401" s="24" t="s">
        <x:v>548</x:v>
      </x:c>
      <x:c r="M401" s="24"/>
      <x:c r="N401" s="27" t="s">
        <x:v>548</x:v>
      </x:c>
      <x:c r="O401" s="27"/>
      <x:c r="P401" s="26"/>
      <x:c r="Q401" s="27">
        <x:v>1</x:v>
      </x:c>
      <x:c r="R401" s="27"/>
      <x:c r="S401" s="22">
        <x:f>IF(N401="","تکمیل نشده",IF(N401="بدون تفصیلی (ثبت روی خود معین)","OK",IF(N401="ادغام با تفصیلی دیگر",IF(O401="","کلید مقصد خالی است",IF(IFERROR(MATCH(O401*1,$A:$A,0),0)=0,"کلید مقصد در این فهرست نیست",IF(O401*1=A401,"ادغام با خودش","OK"))),IF(Q401="","سطح شناور خالی است",IF(AND(FALSE,OR(Q401=1,Q401=2)),"سطح ۱ و ۲ این معین مال فعالیت و مرکز هزینه است","OK")))))</x:f>
      </x:c>
      <x:c r="T401" s="28"/>
    </x:row>
    <x:row r="402" spans="1:20">
      <x:c r="A402" s="21">
        <x:v>2947</x:v>
      </x:c>
      <x:c r="B402" s="22" t="s">
        <x:v>138</x:v>
      </x:c>
      <x:c r="C402" s="22" t="s">
        <x:v>24</x:v>
      </x:c>
      <x:c r="D402" s="22" t="s">
        <x:v>544</x:v>
      </x:c>
      <x:c r="E402" s="22" t="s">
        <x:v>1025</x:v>
      </x:c>
      <x:c r="F402" s="22" t="s">
        <x:v>285</x:v>
      </x:c>
      <x:c r="G402" s="22">
        <x:v>76</x:v>
      </x:c>
      <x:c r="H402" s="23">
        <x:v>1671761918</x:v>
      </x:c>
      <x:c r="I402" s="23">
        <x:v>2380306308</x:v>
      </x:c>
      <x:c r="J402" s="23">
        <x:f>H402-I402</x:f>
      </x:c>
      <x:c r="K402" s="22">
        <x:v>1</x:v>
      </x:c>
      <x:c r="L402" s="24" t="s">
        <x:v>545</x:v>
      </x:c>
      <x:c r="M402" s="24"/>
      <x:c r="N402" s="27" t="s">
        <x:v>545</x:v>
      </x:c>
      <x:c r="O402" s="27"/>
      <x:c r="P402" s="26"/>
      <x:c r="Q402" s="27"/>
      <x:c r="R402" s="27"/>
      <x:c r="S402" s="22">
        <x:f>IF(N402="","تکمیل نشده",IF(N402="بدون تفصیلی (ثبت روی خود معین)","OK",IF(N402="ادغام با تفصیلی دیگر",IF(O402="","کلید مقصد خالی است",IF(IFERROR(MATCH(O402*1,$A:$A,0),0)=0,"کلید مقصد در این فهرست نیست",IF(O402*1=A402,"ادغام با خودش","OK"))),IF(Q402="","سطح شناور خالی است",IF(AND(FALSE,OR(Q402=1,Q402=2)),"سطح ۱ و ۲ این معین مال فعالیت و مرکز هزینه است","OK")))))</x:f>
      </x:c>
      <x:c r="T402" s="28"/>
    </x:row>
    <x:row r="403" spans="1:20">
      <x:c r="A403" s="21">
        <x:v>2962</x:v>
      </x:c>
      <x:c r="B403" s="22" t="s">
        <x:v>138</x:v>
      </x:c>
      <x:c r="C403" s="22" t="s">
        <x:v>286</x:v>
      </x:c>
      <x:c r="D403" s="22" t="s">
        <x:v>985</x:v>
      </x:c>
      <x:c r="E403" s="22" t="s">
        <x:v>1026</x:v>
      </x:c>
      <x:c r="F403" s="22" t="s">
        <x:v>287</x:v>
      </x:c>
      <x:c r="G403" s="22">
        <x:v>13</x:v>
      </x:c>
      <x:c r="H403" s="23">
        <x:v>427398444</x:v>
      </x:c>
      <x:c r="I403" s="23">
        <x:v>562627027</x:v>
      </x:c>
      <x:c r="J403" s="23">
        <x:f>H403-I403</x:f>
      </x:c>
      <x:c r="K403" s="22">
        <x:v>1</x:v>
      </x:c>
      <x:c r="L403" s="24" t="s">
        <x:v>548</x:v>
      </x:c>
      <x:c r="M403" s="24"/>
      <x:c r="N403" s="27" t="s">
        <x:v>548</x:v>
      </x:c>
      <x:c r="O403" s="27"/>
      <x:c r="P403" s="26"/>
      <x:c r="Q403" s="27">
        <x:v>1</x:v>
      </x:c>
      <x:c r="R403" s="27"/>
      <x:c r="S403" s="22">
        <x:f>IF(N403="","تکمیل نشده",IF(N403="بدون تفصیلی (ثبت روی خود معین)","OK",IF(N403="ادغام با تفصیلی دیگر",IF(O403="","کلید مقصد خالی است",IF(IFERROR(MATCH(O403*1,$A:$A,0),0)=0,"کلید مقصد در این فهرست نیست",IF(O403*1=A403,"ادغام با خودش","OK"))),IF(Q403="","سطح شناور خالی است",IF(AND(FALSE,OR(Q403=1,Q403=2)),"سطح ۱ و ۲ این معین مال فعالیت و مرکز هزینه است","OK")))))</x:f>
      </x:c>
      <x:c r="T403" s="28"/>
    </x:row>
    <x:row r="404" spans="1:20">
      <x:c r="A404" s="21">
        <x:v>2963</x:v>
      </x:c>
      <x:c r="B404" s="22" t="s">
        <x:v>138</x:v>
      </x:c>
      <x:c r="C404" s="22" t="s">
        <x:v>286</x:v>
      </x:c>
      <x:c r="D404" s="22" t="s">
        <x:v>987</x:v>
      </x:c>
      <x:c r="E404" s="22" t="s">
        <x:v>1027</x:v>
      </x:c>
      <x:c r="F404" s="22" t="s">
        <x:v>287</x:v>
      </x:c>
      <x:c r="G404" s="22">
        <x:v>12</x:v>
      </x:c>
      <x:c r="H404" s="23">
        <x:v>57566701</x:v>
      </x:c>
      <x:c r="I404" s="23">
        <x:v>104214266</x:v>
      </x:c>
      <x:c r="J404" s="23">
        <x:f>H404-I404</x:f>
      </x:c>
      <x:c r="K404" s="22">
        <x:v>1</x:v>
      </x:c>
      <x:c r="L404" s="24" t="s">
        <x:v>548</x:v>
      </x:c>
      <x:c r="M404" s="24"/>
      <x:c r="N404" s="27" t="s">
        <x:v>548</x:v>
      </x:c>
      <x:c r="O404" s="27"/>
      <x:c r="P404" s="26"/>
      <x:c r="Q404" s="27">
        <x:v>1</x:v>
      </x:c>
      <x:c r="R404" s="27"/>
      <x:c r="S404" s="22">
        <x:f>IF(N404="","تکمیل نشده",IF(N404="بدون تفصیلی (ثبت روی خود معین)","OK",IF(N404="ادغام با تفصیلی دیگر",IF(O404="","کلید مقصد خالی است",IF(IFERROR(MATCH(O404*1,$A:$A,0),0)=0,"کلید مقصد در این فهرست نیست",IF(O404*1=A404,"ادغام با خودش","OK"))),IF(Q404="","سطح شناور خالی است",IF(AND(FALSE,OR(Q404=1,Q404=2)),"سطح ۱ و ۲ این معین مال فعالیت و مرکز هزینه است","OK")))))</x:f>
      </x:c>
      <x:c r="T404" s="28"/>
    </x:row>
    <x:row r="405" spans="1:20">
      <x:c r="A405" s="21">
        <x:v>2974</x:v>
      </x:c>
      <x:c r="B405" s="22" t="s">
        <x:v>138</x:v>
      </x:c>
      <x:c r="C405" s="22" t="s">
        <x:v>30</x:v>
      </x:c>
      <x:c r="D405" s="22" t="s">
        <x:v>927</x:v>
      </x:c>
      <x:c r="E405" s="22" t="s">
        <x:v>1028</x:v>
      </x:c>
      <x:c r="F405" s="22" t="s">
        <x:v>288</x:v>
      </x:c>
      <x:c r="G405" s="22">
        <x:v>3</x:v>
      </x:c>
      <x:c r="H405" s="23">
        <x:v>15063480</x:v>
      </x:c>
      <x:c r="I405" s="23">
        <x:v>15063480</x:v>
      </x:c>
      <x:c r="J405" s="23">
        <x:f>H405-I405</x:f>
      </x:c>
      <x:c r="K405" s="22">
        <x:v>1</x:v>
      </x:c>
      <x:c r="L405" s="24" t="s">
        <x:v>548</x:v>
      </x:c>
      <x:c r="M405" s="24"/>
      <x:c r="N405" s="27" t="s">
        <x:v>548</x:v>
      </x:c>
      <x:c r="O405" s="27"/>
      <x:c r="P405" s="26"/>
      <x:c r="Q405" s="27">
        <x:v>1</x:v>
      </x:c>
      <x:c r="R405" s="27"/>
      <x:c r="S405" s="22">
        <x:f>IF(N405="","تکمیل نشده",IF(N405="بدون تفصیلی (ثبت روی خود معین)","OK",IF(N405="ادغام با تفصیلی دیگر",IF(O405="","کلید مقصد خالی است",IF(IFERROR(MATCH(O405*1,$A:$A,0),0)=0,"کلید مقصد در این فهرست نیست",IF(O405*1=A405,"ادغام با خودش","OK"))),IF(Q405="","سطح شناور خالی است",IF(AND(FALSE,OR(Q405=1,Q405=2)),"سطح ۱ و ۲ این معین مال فعالیت و مرکز هزینه است","OK")))))</x:f>
      </x:c>
      <x:c r="T405" s="28"/>
    </x:row>
    <x:row r="406" spans="1:20">
      <x:c r="A406" s="21">
        <x:v>2975</x:v>
      </x:c>
      <x:c r="B406" s="22" t="s">
        <x:v>138</x:v>
      </x:c>
      <x:c r="C406" s="22" t="s">
        <x:v>30</x:v>
      </x:c>
      <x:c r="D406" s="22" t="s">
        <x:v>921</x:v>
      </x:c>
      <x:c r="E406" s="22" t="s">
        <x:v>1029</x:v>
      </x:c>
      <x:c r="F406" s="22" t="s">
        <x:v>288</x:v>
      </x:c>
      <x:c r="G406" s="22">
        <x:v>3</x:v>
      </x:c>
      <x:c r="H406" s="23">
        <x:v>60768048</x:v>
      </x:c>
      <x:c r="I406" s="23">
        <x:v>60768048</x:v>
      </x:c>
      <x:c r="J406" s="23">
        <x:f>H406-I406</x:f>
      </x:c>
      <x:c r="K406" s="22">
        <x:v>1</x:v>
      </x:c>
      <x:c r="L406" s="24" t="s">
        <x:v>548</x:v>
      </x:c>
      <x:c r="M406" s="24"/>
      <x:c r="N406" s="27" t="s">
        <x:v>548</x:v>
      </x:c>
      <x:c r="O406" s="27"/>
      <x:c r="P406" s="26"/>
      <x:c r="Q406" s="27">
        <x:v>1</x:v>
      </x:c>
      <x:c r="R406" s="27"/>
      <x:c r="S406" s="22">
        <x:f>IF(N406="","تکمیل نشده",IF(N406="بدون تفصیلی (ثبت روی خود معین)","OK",IF(N406="ادغام با تفصیلی دیگر",IF(O406="","کلید مقصد خالی است",IF(IFERROR(MATCH(O406*1,$A:$A,0),0)=0,"کلید مقصد در این فهرست نیست",IF(O406*1=A406,"ادغام با خودش","OK"))),IF(Q406="","سطح شناور خالی است",IF(AND(FALSE,OR(Q406=1,Q406=2)),"سطح ۱ و ۲ این معین مال فعالیت و مرکز هزینه است","OK")))))</x:f>
      </x:c>
      <x:c r="T406" s="28"/>
    </x:row>
    <x:row r="407" spans="1:20">
      <x:c r="A407" s="21">
        <x:v>2983</x:v>
      </x:c>
      <x:c r="B407" s="22" t="s">
        <x:v>138</x:v>
      </x:c>
      <x:c r="C407" s="22" t="s">
        <x:v>34</x:v>
      </x:c>
      <x:c r="D407" s="22" t="s">
        <x:v>985</x:v>
      </x:c>
      <x:c r="E407" s="22" t="s">
        <x:v>1030</x:v>
      </x:c>
      <x:c r="F407" s="22" t="s">
        <x:v>289</x:v>
      </x:c>
      <x:c r="G407" s="22">
        <x:v>15</x:v>
      </x:c>
      <x:c r="H407" s="23">
        <x:v>1649443921</x:v>
      </x:c>
      <x:c r="I407" s="23">
        <x:v>2156758581</x:v>
      </x:c>
      <x:c r="J407" s="23">
        <x:f>H407-I407</x:f>
      </x:c>
      <x:c r="K407" s="22">
        <x:v>1</x:v>
      </x:c>
      <x:c r="L407" s="24" t="s">
        <x:v>548</x:v>
      </x:c>
      <x:c r="M407" s="24"/>
      <x:c r="N407" s="27" t="s">
        <x:v>548</x:v>
      </x:c>
      <x:c r="O407" s="27"/>
      <x:c r="P407" s="26"/>
      <x:c r="Q407" s="27">
        <x:v>1</x:v>
      </x:c>
      <x:c r="R407" s="27"/>
      <x:c r="S407" s="22">
        <x:f>IF(N407="","تکمیل نشده",IF(N407="بدون تفصیلی (ثبت روی خود معین)","OK",IF(N407="ادغام با تفصیلی دیگر",IF(O407="","کلید مقصد خالی است",IF(IFERROR(MATCH(O407*1,$A:$A,0),0)=0,"کلید مقصد در این فهرست نیست",IF(O407*1=A407,"ادغام با خودش","OK"))),IF(Q407="","سطح شناور خالی است",IF(AND(FALSE,OR(Q407=1,Q407=2)),"سطح ۱ و ۲ این معین مال فعالیت و مرکز هزینه است","OK")))))</x:f>
      </x:c>
      <x:c r="T407" s="28"/>
    </x:row>
    <x:row r="408" spans="1:20">
      <x:c r="A408" s="21">
        <x:v>2984</x:v>
      </x:c>
      <x:c r="B408" s="22" t="s">
        <x:v>138</x:v>
      </x:c>
      <x:c r="C408" s="22" t="s">
        <x:v>34</x:v>
      </x:c>
      <x:c r="D408" s="22" t="s">
        <x:v>987</x:v>
      </x:c>
      <x:c r="E408" s="22" t="s">
        <x:v>1031</x:v>
      </x:c>
      <x:c r="F408" s="22" t="s">
        <x:v>289</x:v>
      </x:c>
      <x:c r="G408" s="22">
        <x:v>12</x:v>
      </x:c>
      <x:c r="H408" s="23">
        <x:v>173208816</x:v>
      </x:c>
      <x:c r="I408" s="23">
        <x:v>272927464</x:v>
      </x:c>
      <x:c r="J408" s="23">
        <x:f>H408-I408</x:f>
      </x:c>
      <x:c r="K408" s="22">
        <x:v>1</x:v>
      </x:c>
      <x:c r="L408" s="24" t="s">
        <x:v>548</x:v>
      </x:c>
      <x:c r="M408" s="24"/>
      <x:c r="N408" s="27" t="s">
        <x:v>548</x:v>
      </x:c>
      <x:c r="O408" s="27"/>
      <x:c r="P408" s="26"/>
      <x:c r="Q408" s="27">
        <x:v>1</x:v>
      </x:c>
      <x:c r="R408" s="27"/>
      <x:c r="S408" s="22">
        <x:f>IF(N408="","تکمیل نشده",IF(N408="بدون تفصیلی (ثبت روی خود معین)","OK",IF(N408="ادغام با تفصیلی دیگر",IF(O408="","کلید مقصد خالی است",IF(IFERROR(MATCH(O408*1,$A:$A,0),0)=0,"کلید مقصد در این فهرست نیست",IF(O408*1=A408,"ادغام با خودش","OK"))),IF(Q408="","سطح شناور خالی است",IF(AND(FALSE,OR(Q408=1,Q408=2)),"سطح ۱ و ۲ این معین مال فعالیت و مرکز هزینه است","OK")))))</x:f>
      </x:c>
      <x:c r="T408" s="28"/>
    </x:row>
    <x:row r="409" spans="1:20">
      <x:c r="A409" s="21">
        <x:v>2995</x:v>
      </x:c>
      <x:c r="B409" s="22" t="s">
        <x:v>138</x:v>
      </x:c>
      <x:c r="C409" s="22" t="s">
        <x:v>290</x:v>
      </x:c>
      <x:c r="D409" s="22" t="s">
        <x:v>646</x:v>
      </x:c>
      <x:c r="E409" s="22" t="s">
        <x:v>1032</x:v>
      </x:c>
      <x:c r="F409" s="22" t="s">
        <x:v>291</x:v>
      </x:c>
      <x:c r="G409" s="22">
        <x:v>5</x:v>
      </x:c>
      <x:c r="H409" s="23">
        <x:v>4238682</x:v>
      </x:c>
      <x:c r="I409" s="23">
        <x:v>4238682</x:v>
      </x:c>
      <x:c r="J409" s="23">
        <x:f>H409-I409</x:f>
      </x:c>
      <x:c r="K409" s="22">
        <x:v>1</x:v>
      </x:c>
      <x:c r="L409" s="24" t="s">
        <x:v>548</x:v>
      </x:c>
      <x:c r="M409" s="24"/>
      <x:c r="N409" s="27" t="s">
        <x:v>548</x:v>
      </x:c>
      <x:c r="O409" s="27"/>
      <x:c r="P409" s="26"/>
      <x:c r="Q409" s="27">
        <x:v>1</x:v>
      </x:c>
      <x:c r="R409" s="27"/>
      <x:c r="S409" s="22">
        <x:f>IF(N409="","تکمیل نشده",IF(N409="بدون تفصیلی (ثبت روی خود معین)","OK",IF(N409="ادغام با تفصیلی دیگر",IF(O409="","کلید مقصد خالی است",IF(IFERROR(MATCH(O409*1,$A:$A,0),0)=0,"کلید مقصد در این فهرست نیست",IF(O409*1=A409,"ادغام با خودش","OK"))),IF(Q409="","سطح شناور خالی است",IF(AND(FALSE,OR(Q409=1,Q409=2)),"سطح ۱ و ۲ این معین مال فعالیت و مرکز هزینه است","OK")))))</x:f>
      </x:c>
      <x:c r="T409" s="28"/>
    </x:row>
    <x:row r="410" spans="1:20">
      <x:c r="A410" s="21">
        <x:v>3007</x:v>
      </x:c>
      <x:c r="B410" s="22" t="s">
        <x:v>138</x:v>
      </x:c>
      <x:c r="C410" s="22" t="s">
        <x:v>292</x:v>
      </x:c>
      <x:c r="D410" s="22" t="s">
        <x:v>985</x:v>
      </x:c>
      <x:c r="E410" s="22" t="s">
        <x:v>1033</x:v>
      </x:c>
      <x:c r="F410" s="22" t="s">
        <x:v>293</x:v>
      </x:c>
      <x:c r="G410" s="22">
        <x:v>295</x:v>
      </x:c>
      <x:c r="H410" s="23">
        <x:v>10763989606</x:v>
      </x:c>
      <x:c r="I410" s="23">
        <x:v>13021153972</x:v>
      </x:c>
      <x:c r="J410" s="23">
        <x:f>H410-I410</x:f>
      </x:c>
      <x:c r="K410" s="22">
        <x:v>1</x:v>
      </x:c>
      <x:c r="L410" s="24" t="s">
        <x:v>548</x:v>
      </x:c>
      <x:c r="M410" s="24"/>
      <x:c r="N410" s="27" t="s">
        <x:v>548</x:v>
      </x:c>
      <x:c r="O410" s="27"/>
      <x:c r="P410" s="26"/>
      <x:c r="Q410" s="27">
        <x:v>1</x:v>
      </x:c>
      <x:c r="R410" s="27"/>
      <x:c r="S410" s="22">
        <x:f>IF(N410="","تکمیل نشده",IF(N410="بدون تفصیلی (ثبت روی خود معین)","OK",IF(N410="ادغام با تفصیلی دیگر",IF(O410="","کلید مقصد خالی است",IF(IFERROR(MATCH(O410*1,$A:$A,0),0)=0,"کلید مقصد در این فهرست نیست",IF(O410*1=A410,"ادغام با خودش","OK"))),IF(Q410="","سطح شناور خالی است",IF(AND(FALSE,OR(Q410=1,Q410=2)),"سطح ۱ و ۲ این معین مال فعالیت و مرکز هزینه است","OK")))))</x:f>
      </x:c>
      <x:c r="T410" s="28"/>
    </x:row>
    <x:row r="411" spans="1:20">
      <x:c r="A411" s="21">
        <x:v>3008</x:v>
      </x:c>
      <x:c r="B411" s="22" t="s">
        <x:v>138</x:v>
      </x:c>
      <x:c r="C411" s="22" t="s">
        <x:v>292</x:v>
      </x:c>
      <x:c r="D411" s="22" t="s">
        <x:v>987</x:v>
      </x:c>
      <x:c r="E411" s="22" t="s">
        <x:v>1034</x:v>
      </x:c>
      <x:c r="F411" s="22" t="s">
        <x:v>293</x:v>
      </x:c>
      <x:c r="G411" s="22">
        <x:v>25</x:v>
      </x:c>
      <x:c r="H411" s="23">
        <x:v>5883807369</x:v>
      </x:c>
      <x:c r="I411" s="23">
        <x:v>7094155435</x:v>
      </x:c>
      <x:c r="J411" s="23">
        <x:f>H411-I411</x:f>
      </x:c>
      <x:c r="K411" s="22">
        <x:v>1</x:v>
      </x:c>
      <x:c r="L411" s="24" t="s">
        <x:v>548</x:v>
      </x:c>
      <x:c r="M411" s="24"/>
      <x:c r="N411" s="27" t="s">
        <x:v>548</x:v>
      </x:c>
      <x:c r="O411" s="27"/>
      <x:c r="P411" s="26"/>
      <x:c r="Q411" s="27">
        <x:v>1</x:v>
      </x:c>
      <x:c r="R411" s="27"/>
      <x:c r="S411" s="22">
        <x:f>IF(N411="","تکمیل نشده",IF(N411="بدون تفصیلی (ثبت روی خود معین)","OK",IF(N411="ادغام با تفصیلی دیگر",IF(O411="","کلید مقصد خالی است",IF(IFERROR(MATCH(O411*1,$A:$A,0),0)=0,"کلید مقصد در این فهرست نیست",IF(O411*1=A411,"ادغام با خودش","OK"))),IF(Q411="","سطح شناور خالی است",IF(AND(FALSE,OR(Q411=1,Q411=2)),"سطح ۱ و ۲ این معین مال فعالیت و مرکز هزینه است","OK")))))</x:f>
      </x:c>
      <x:c r="T411" s="28"/>
    </x:row>
    <x:row r="412" spans="1:20">
      <x:c r="A412" s="21">
        <x:v>3032</x:v>
      </x:c>
      <x:c r="B412" s="22" t="s">
        <x:v>138</x:v>
      </x:c>
      <x:c r="C412" s="22" t="s">
        <x:v>63</x:v>
      </x:c>
      <x:c r="D412" s="22" t="s">
        <x:v>985</x:v>
      </x:c>
      <x:c r="E412" s="22" t="s">
        <x:v>1035</x:v>
      </x:c>
      <x:c r="F412" s="22" t="s">
        <x:v>294</x:v>
      </x:c>
      <x:c r="G412" s="22">
        <x:v>3</x:v>
      </x:c>
      <x:c r="H412" s="23">
        <x:v>32157400448</x:v>
      </x:c>
      <x:c r="I412" s="23">
        <x:v>44114155925</x:v>
      </x:c>
      <x:c r="J412" s="23">
        <x:f>H412-I412</x:f>
      </x:c>
      <x:c r="K412" s="22">
        <x:v>1</x:v>
      </x:c>
      <x:c r="L412" s="24" t="s">
        <x:v>548</x:v>
      </x:c>
      <x:c r="M412" s="24"/>
      <x:c r="N412" s="27" t="s">
        <x:v>548</x:v>
      </x:c>
      <x:c r="O412" s="27"/>
      <x:c r="P412" s="26"/>
      <x:c r="Q412" s="27">
        <x:v>1</x:v>
      </x:c>
      <x:c r="R412" s="27"/>
      <x:c r="S412" s="22">
        <x:f>IF(N412="","تکمیل نشده",IF(N412="بدون تفصیلی (ثبت روی خود معین)","OK",IF(N412="ادغام با تفصیلی دیگر",IF(O412="","کلید مقصد خالی است",IF(IFERROR(MATCH(O412*1,$A:$A,0),0)=0,"کلید مقصد در این فهرست نیست",IF(O412*1=A412,"ادغام با خودش","OK"))),IF(Q412="","سطح شناور خالی است",IF(AND(FALSE,OR(Q412=1,Q412=2)),"سطح ۱ و ۲ این معین مال فعالیت و مرکز هزینه است","OK")))))</x:f>
      </x:c>
      <x:c r="T412" s="28"/>
    </x:row>
    <x:row r="413" spans="1:20">
      <x:c r="A413" s="21">
        <x:v>3034</x:v>
      </x:c>
      <x:c r="B413" s="22" t="s">
        <x:v>138</x:v>
      </x:c>
      <x:c r="C413" s="22" t="s">
        <x:v>63</x:v>
      </x:c>
      <x:c r="D413" s="22" t="s">
        <x:v>987</x:v>
      </x:c>
      <x:c r="E413" s="22" t="s">
        <x:v>1036</x:v>
      </x:c>
      <x:c r="F413" s="22" t="s">
        <x:v>294</x:v>
      </x:c>
      <x:c r="G413" s="22">
        <x:v>2</x:v>
      </x:c>
      <x:c r="H413" s="23">
        <x:v>2679837038</x:v>
      </x:c>
      <x:c r="I413" s="23">
        <x:v>2679837038</x:v>
      </x:c>
      <x:c r="J413" s="23">
        <x:f>H413-I413</x:f>
      </x:c>
      <x:c r="K413" s="22">
        <x:v>1</x:v>
      </x:c>
      <x:c r="L413" s="24" t="s">
        <x:v>548</x:v>
      </x:c>
      <x:c r="M413" s="24"/>
      <x:c r="N413" s="27" t="s">
        <x:v>548</x:v>
      </x:c>
      <x:c r="O413" s="27"/>
      <x:c r="P413" s="26"/>
      <x:c r="Q413" s="27">
        <x:v>1</x:v>
      </x:c>
      <x:c r="R413" s="27"/>
      <x:c r="S413" s="22">
        <x:f>IF(N413="","تکمیل نشده",IF(N413="بدون تفصیلی (ثبت روی خود معین)","OK",IF(N413="ادغام با تفصیلی دیگر",IF(O413="","کلید مقصد خالی است",IF(IFERROR(MATCH(O413*1,$A:$A,0),0)=0,"کلید مقصد در این فهرست نیست",IF(O413*1=A413,"ادغام با خودش","OK"))),IF(Q413="","سطح شناور خالی است",IF(AND(FALSE,OR(Q413=1,Q413=2)),"سطح ۱ و ۲ این معین مال فعالیت و مرکز هزینه است","OK")))))</x:f>
      </x:c>
      <x:c r="T413" s="28"/>
    </x:row>
    <x:row r="414" spans="1:20">
      <x:c r="A414" s="21">
        <x:v>3038</x:v>
      </x:c>
      <x:c r="B414" s="22" t="s">
        <x:v>138</x:v>
      </x:c>
      <x:c r="C414" s="22" t="s">
        <x:v>66</x:v>
      </x:c>
      <x:c r="D414" s="22" t="s">
        <x:v>985</x:v>
      </x:c>
      <x:c r="E414" s="22" t="s">
        <x:v>1037</x:v>
      </x:c>
      <x:c r="F414" s="22" t="s">
        <x:v>295</x:v>
      </x:c>
      <x:c r="G414" s="22">
        <x:v>1</x:v>
      </x:c>
      <x:c r="H414" s="23">
        <x:v>0</x:v>
      </x:c>
      <x:c r="I414" s="23">
        <x:v>204145253</x:v>
      </x:c>
      <x:c r="J414" s="23">
        <x:f>H414-I414</x:f>
      </x:c>
      <x:c r="K414" s="22">
        <x:v>1</x:v>
      </x:c>
      <x:c r="L414" s="24" t="s">
        <x:v>548</x:v>
      </x:c>
      <x:c r="M414" s="24"/>
      <x:c r="N414" s="27" t="s">
        <x:v>548</x:v>
      </x:c>
      <x:c r="O414" s="27"/>
      <x:c r="P414" s="26"/>
      <x:c r="Q414" s="27">
        <x:v>1</x:v>
      </x:c>
      <x:c r="R414" s="27"/>
      <x:c r="S414" s="22">
        <x:f>IF(N414="","تکمیل نشده",IF(N414="بدون تفصیلی (ثبت روی خود معین)","OK",IF(N414="ادغام با تفصیلی دیگر",IF(O414="","کلید مقصد خالی است",IF(IFERROR(MATCH(O414*1,$A:$A,0),0)=0,"کلید مقصد در این فهرست نیست",IF(O414*1=A414,"ادغام با خودش","OK"))),IF(Q414="","سطح شناور خالی است",IF(AND(FALSE,OR(Q414=1,Q414=2)),"سطح ۱ و ۲ این معین مال فعالیت و مرکز هزینه است","OK")))))</x:f>
      </x:c>
      <x:c r="T414" s="28"/>
    </x:row>
    <x:row r="415" spans="1:20">
      <x:c r="A415" s="21">
        <x:v>3039</x:v>
      </x:c>
      <x:c r="B415" s="22" t="s">
        <x:v>138</x:v>
      </x:c>
      <x:c r="C415" s="22" t="s">
        <x:v>66</x:v>
      </x:c>
      <x:c r="D415" s="22" t="s">
        <x:v>927</x:v>
      </x:c>
      <x:c r="E415" s="22" t="s">
        <x:v>1038</x:v>
      </x:c>
      <x:c r="F415" s="22" t="s">
        <x:v>295</x:v>
      </x:c>
      <x:c r="G415" s="22">
        <x:v>4</x:v>
      </x:c>
      <x:c r="H415" s="23">
        <x:v>597021442</x:v>
      </x:c>
      <x:c r="I415" s="23">
        <x:v>1359308426</x:v>
      </x:c>
      <x:c r="J415" s="23">
        <x:f>H415-I415</x:f>
      </x:c>
      <x:c r="K415" s="22">
        <x:v>1</x:v>
      </x:c>
      <x:c r="L415" s="24" t="s">
        <x:v>548</x:v>
      </x:c>
      <x:c r="M415" s="24"/>
      <x:c r="N415" s="27" t="s">
        <x:v>548</x:v>
      </x:c>
      <x:c r="O415" s="27"/>
      <x:c r="P415" s="26"/>
      <x:c r="Q415" s="27">
        <x:v>1</x:v>
      </x:c>
      <x:c r="R415" s="27"/>
      <x:c r="S415" s="22">
        <x:f>IF(N415="","تکمیل نشده",IF(N415="بدون تفصیلی (ثبت روی خود معین)","OK",IF(N415="ادغام با تفصیلی دیگر",IF(O415="","کلید مقصد خالی است",IF(IFERROR(MATCH(O415*1,$A:$A,0),0)=0,"کلید مقصد در این فهرست نیست",IF(O415*1=A415,"ادغام با خودش","OK"))),IF(Q415="","سطح شناور خالی است",IF(AND(FALSE,OR(Q415=1,Q415=2)),"سطح ۱ و ۲ این معین مال فعالیت و مرکز هزینه است","OK")))))</x:f>
      </x:c>
      <x:c r="T415" s="28"/>
    </x:row>
    <x:row r="416" spans="1:20">
      <x:c r="A416" s="21">
        <x:v>3041</x:v>
      </x:c>
      <x:c r="B416" s="22" t="s">
        <x:v>138</x:v>
      </x:c>
      <x:c r="C416" s="22" t="s">
        <x:v>66</x:v>
      </x:c>
      <x:c r="D416" s="22" t="s">
        <x:v>929</x:v>
      </x:c>
      <x:c r="E416" s="22" t="s">
        <x:v>1039</x:v>
      </x:c>
      <x:c r="F416" s="22" t="s">
        <x:v>295</x:v>
      </x:c>
      <x:c r="G416" s="22">
        <x:v>2</x:v>
      </x:c>
      <x:c r="H416" s="23">
        <x:v>381970657</x:v>
      </x:c>
      <x:c r="I416" s="23">
        <x:v>381970657</x:v>
      </x:c>
      <x:c r="J416" s="23">
        <x:f>H416-I416</x:f>
      </x:c>
      <x:c r="K416" s="22">
        <x:v>1</x:v>
      </x:c>
      <x:c r="L416" s="24" t="s">
        <x:v>548</x:v>
      </x:c>
      <x:c r="M416" s="24"/>
      <x:c r="N416" s="27" t="s">
        <x:v>548</x:v>
      </x:c>
      <x:c r="O416" s="27"/>
      <x:c r="P416" s="26"/>
      <x:c r="Q416" s="27">
        <x:v>1</x:v>
      </x:c>
      <x:c r="R416" s="27"/>
      <x:c r="S416" s="22">
        <x:f>IF(N416="","تکمیل نشده",IF(N416="بدون تفصیلی (ثبت روی خود معین)","OK",IF(N416="ادغام با تفصیلی دیگر",IF(O416="","کلید مقصد خالی است",IF(IFERROR(MATCH(O416*1,$A:$A,0),0)=0,"کلید مقصد در این فهرست نیست",IF(O416*1=A416,"ادغام با خودش","OK"))),IF(Q416="","سطح شناور خالی است",IF(AND(FALSE,OR(Q416=1,Q416=2)),"سطح ۱ و ۲ این معین مال فعالیت و مرکز هزینه است","OK")))))</x:f>
      </x:c>
      <x:c r="T416" s="28"/>
    </x:row>
    <x:row r="417" spans="1:20">
      <x:c r="A417" s="21">
        <x:v>3059</x:v>
      </x:c>
      <x:c r="B417" s="22" t="s">
        <x:v>138</x:v>
      </x:c>
      <x:c r="C417" s="22" t="s">
        <x:v>70</x:v>
      </x:c>
      <x:c r="D417" s="22" t="s">
        <x:v>985</x:v>
      </x:c>
      <x:c r="E417" s="22" t="s">
        <x:v>1040</x:v>
      </x:c>
      <x:c r="F417" s="22" t="s">
        <x:v>296</x:v>
      </x:c>
      <x:c r="G417" s="22">
        <x:v>13</x:v>
      </x:c>
      <x:c r="H417" s="23">
        <x:v>18577841636</x:v>
      </x:c>
      <x:c r="I417" s="23">
        <x:v>8577841636</x:v>
      </x:c>
      <x:c r="J417" s="23">
        <x:f>H417-I417</x:f>
      </x:c>
      <x:c r="K417" s="22">
        <x:v>1</x:v>
      </x:c>
      <x:c r="L417" s="24" t="s">
        <x:v>548</x:v>
      </x:c>
      <x:c r="M417" s="24"/>
      <x:c r="N417" s="27" t="s">
        <x:v>548</x:v>
      </x:c>
      <x:c r="O417" s="27"/>
      <x:c r="P417" s="26"/>
      <x:c r="Q417" s="27">
        <x:v>1</x:v>
      </x:c>
      <x:c r="R417" s="27"/>
      <x:c r="S417" s="22">
        <x:f>IF(N417="","تکمیل نشده",IF(N417="بدون تفصیلی (ثبت روی خود معین)","OK",IF(N417="ادغام با تفصیلی دیگر",IF(O417="","کلید مقصد خالی است",IF(IFERROR(MATCH(O417*1,$A:$A,0),0)=0,"کلید مقصد در این فهرست نیست",IF(O417*1=A417,"ادغام با خودش","OK"))),IF(Q417="","سطح شناور خالی است",IF(AND(FALSE,OR(Q417=1,Q417=2)),"سطح ۱ و ۲ این معین مال فعالیت و مرکز هزینه است","OK")))))</x:f>
      </x:c>
      <x:c r="T417" s="28"/>
    </x:row>
    <x:row r="418" spans="1:20">
      <x:c r="A418" s="21">
        <x:v>3060</x:v>
      </x:c>
      <x:c r="B418" s="22" t="s">
        <x:v>138</x:v>
      </x:c>
      <x:c r="C418" s="22" t="s">
        <x:v>70</x:v>
      </x:c>
      <x:c r="D418" s="22" t="s">
        <x:v>987</x:v>
      </x:c>
      <x:c r="E418" s="22" t="s">
        <x:v>1041</x:v>
      </x:c>
      <x:c r="F418" s="22" t="s">
        <x:v>296</x:v>
      </x:c>
      <x:c r="G418" s="22">
        <x:v>5</x:v>
      </x:c>
      <x:c r="H418" s="23">
        <x:v>252397859</x:v>
      </x:c>
      <x:c r="I418" s="23">
        <x:v>252397849</x:v>
      </x:c>
      <x:c r="J418" s="23">
        <x:f>H418-I418</x:f>
      </x:c>
      <x:c r="K418" s="22">
        <x:v>1</x:v>
      </x:c>
      <x:c r="L418" s="24" t="s">
        <x:v>548</x:v>
      </x:c>
      <x:c r="M418" s="24"/>
      <x:c r="N418" s="27" t="s">
        <x:v>548</x:v>
      </x:c>
      <x:c r="O418" s="27"/>
      <x:c r="P418" s="26"/>
      <x:c r="Q418" s="27">
        <x:v>1</x:v>
      </x:c>
      <x:c r="R418" s="27"/>
      <x:c r="S418" s="22">
        <x:f>IF(N418="","تکمیل نشده",IF(N418="بدون تفصیلی (ثبت روی خود معین)","OK",IF(N418="ادغام با تفصیلی دیگر",IF(O418="","کلید مقصد خالی است",IF(IFERROR(MATCH(O418*1,$A:$A,0),0)=0,"کلید مقصد در این فهرست نیست",IF(O418*1=A418,"ادغام با خودش","OK"))),IF(Q418="","سطح شناور خالی است",IF(AND(FALSE,OR(Q418=1,Q418=2)),"سطح ۱ و ۲ این معین مال فعالیت و مرکز هزینه است","OK")))))</x:f>
      </x:c>
      <x:c r="T418" s="28"/>
    </x:row>
    <x:row r="419" spans="1:20">
      <x:c r="A419" s="21">
        <x:v>3062</x:v>
      </x:c>
      <x:c r="B419" s="22" t="s">
        <x:v>138</x:v>
      </x:c>
      <x:c r="C419" s="22" t="s">
        <x:v>70</x:v>
      </x:c>
      <x:c r="D419" s="22" t="s">
        <x:v>1018</x:v>
      </x:c>
      <x:c r="E419" s="22" t="s">
        <x:v>1042</x:v>
      </x:c>
      <x:c r="F419" s="22" t="s">
        <x:v>296</x:v>
      </x:c>
      <x:c r="G419" s="22">
        <x:v>11</x:v>
      </x:c>
      <x:c r="H419" s="23">
        <x:v>429228835</x:v>
      </x:c>
      <x:c r="I419" s="23">
        <x:v>429228835</x:v>
      </x:c>
      <x:c r="J419" s="23">
        <x:f>H419-I419</x:f>
      </x:c>
      <x:c r="K419" s="22">
        <x:v>1</x:v>
      </x:c>
      <x:c r="L419" s="24" t="s">
        <x:v>548</x:v>
      </x:c>
      <x:c r="M419" s="24"/>
      <x:c r="N419" s="27" t="s">
        <x:v>548</x:v>
      </x:c>
      <x:c r="O419" s="27"/>
      <x:c r="P419" s="26"/>
      <x:c r="Q419" s="27">
        <x:v>1</x:v>
      </x:c>
      <x:c r="R419" s="27"/>
      <x:c r="S419" s="22">
        <x:f>IF(N419="","تکمیل نشده",IF(N419="بدون تفصیلی (ثبت روی خود معین)","OK",IF(N419="ادغام با تفصیلی دیگر",IF(O419="","کلید مقصد خالی است",IF(IFERROR(MATCH(O419*1,$A:$A,0),0)=0,"کلید مقصد در این فهرست نیست",IF(O419*1=A419,"ادغام با خودش","OK"))),IF(Q419="","سطح شناور خالی است",IF(AND(FALSE,OR(Q419=1,Q419=2)),"سطح ۱ و ۲ این معین مال فعالیت و مرکز هزینه است","OK")))))</x:f>
      </x:c>
      <x:c r="T419" s="28"/>
    </x:row>
    <x:row r="420" spans="1:20">
      <x:c r="A420" s="21">
        <x:v>3077</x:v>
      </x:c>
      <x:c r="B420" s="22" t="s">
        <x:v>138</x:v>
      </x:c>
      <x:c r="C420" s="22" t="s">
        <x:v>207</x:v>
      </x:c>
      <x:c r="D420" s="22" t="s">
        <x:v>654</x:v>
      </x:c>
      <x:c r="E420" s="22" t="s">
        <x:v>1043</x:v>
      </x:c>
      <x:c r="F420" s="22" t="s">
        <x:v>297</x:v>
      </x:c>
      <x:c r="G420" s="22">
        <x:v>2</x:v>
      </x:c>
      <x:c r="H420" s="23">
        <x:v>12607439</x:v>
      </x:c>
      <x:c r="I420" s="23">
        <x:v>12607439</x:v>
      </x:c>
      <x:c r="J420" s="23">
        <x:f>H420-I420</x:f>
      </x:c>
      <x:c r="K420" s="22">
        <x:v>1</x:v>
      </x:c>
      <x:c r="L420" s="24" t="s">
        <x:v>548</x:v>
      </x:c>
      <x:c r="M420" s="24"/>
      <x:c r="N420" s="27" t="s">
        <x:v>548</x:v>
      </x:c>
      <x:c r="O420" s="27"/>
      <x:c r="P420" s="26"/>
      <x:c r="Q420" s="27">
        <x:v>1</x:v>
      </x:c>
      <x:c r="R420" s="27"/>
      <x:c r="S420" s="22">
        <x:f>IF(N420="","تکمیل نشده",IF(N420="بدون تفصیلی (ثبت روی خود معین)","OK",IF(N420="ادغام با تفصیلی دیگر",IF(O420="","کلید مقصد خالی است",IF(IFERROR(MATCH(O420*1,$A:$A,0),0)=0,"کلید مقصد در این فهرست نیست",IF(O420*1=A420,"ادغام با خودش","OK"))),IF(Q420="","سطح شناور خالی است",IF(AND(FALSE,OR(Q420=1,Q420=2)),"سطح ۱ و ۲ این معین مال فعالیت و مرکز هزینه است","OK")))))</x:f>
      </x:c>
      <x:c r="T420" s="28"/>
    </x:row>
    <x:row r="421" spans="1:20">
      <x:c r="A421" s="21">
        <x:v>3080</x:v>
      </x:c>
      <x:c r="B421" s="22" t="s">
        <x:v>138</x:v>
      </x:c>
      <x:c r="C421" s="22" t="s">
        <x:v>207</x:v>
      </x:c>
      <x:c r="D421" s="22" t="s">
        <x:v>775</x:v>
      </x:c>
      <x:c r="E421" s="22" t="s">
        <x:v>1044</x:v>
      </x:c>
      <x:c r="F421" s="22" t="s">
        <x:v>297</x:v>
      </x:c>
      <x:c r="G421" s="22">
        <x:v>2</x:v>
      </x:c>
      <x:c r="H421" s="23">
        <x:v>478000000</x:v>
      </x:c>
      <x:c r="I421" s="23">
        <x:v>478000000</x:v>
      </x:c>
      <x:c r="J421" s="23">
        <x:f>H421-I421</x:f>
      </x:c>
      <x:c r="K421" s="22">
        <x:v>1</x:v>
      </x:c>
      <x:c r="L421" s="24" t="s">
        <x:v>548</x:v>
      </x:c>
      <x:c r="M421" s="24"/>
      <x:c r="N421" s="27" t="s">
        <x:v>548</x:v>
      </x:c>
      <x:c r="O421" s="27"/>
      <x:c r="P421" s="26"/>
      <x:c r="Q421" s="27">
        <x:v>1</x:v>
      </x:c>
      <x:c r="R421" s="27"/>
      <x:c r="S421" s="22">
        <x:f>IF(N421="","تکمیل نشده",IF(N421="بدون تفصیلی (ثبت روی خود معین)","OK",IF(N421="ادغام با تفصیلی دیگر",IF(O421="","کلید مقصد خالی است",IF(IFERROR(MATCH(O421*1,$A:$A,0),0)=0,"کلید مقصد در این فهرست نیست",IF(O421*1=A421,"ادغام با خودش","OK"))),IF(Q421="","سطح شناور خالی است",IF(AND(FALSE,OR(Q421=1,Q421=2)),"سطح ۱ و ۲ این معین مال فعالیت و مرکز هزینه است","OK")))))</x:f>
      </x:c>
      <x:c r="T421" s="28"/>
    </x:row>
    <x:row r="422" spans="1:20">
      <x:c r="A422" s="21">
        <x:v>3651</x:v>
      </x:c>
      <x:c r="B422" s="22" t="s">
        <x:v>138</x:v>
      </x:c>
      <x:c r="C422" s="22" t="s">
        <x:v>207</x:v>
      </x:c>
      <x:c r="D422" s="22" t="s">
        <x:v>996</x:v>
      </x:c>
      <x:c r="E422" s="22" t="s">
        <x:v>1045</x:v>
      </x:c>
      <x:c r="F422" s="22" t="s">
        <x:v>297</x:v>
      </x:c>
      <x:c r="G422" s="22">
        <x:v>4</x:v>
      </x:c>
      <x:c r="H422" s="23">
        <x:v>52492862</x:v>
      </x:c>
      <x:c r="I422" s="23">
        <x:v>52492862</x:v>
      </x:c>
      <x:c r="J422" s="23">
        <x:f>H422-I422</x:f>
      </x:c>
      <x:c r="K422" s="22">
        <x:v>1</x:v>
      </x:c>
      <x:c r="L422" s="24" t="s">
        <x:v>548</x:v>
      </x:c>
      <x:c r="M422" s="24"/>
      <x:c r="N422" s="27" t="s">
        <x:v>548</x:v>
      </x:c>
      <x:c r="O422" s="27"/>
      <x:c r="P422" s="26"/>
      <x:c r="Q422" s="27">
        <x:v>1</x:v>
      </x:c>
      <x:c r="R422" s="27"/>
      <x:c r="S422" s="22">
        <x:f>IF(N422="","تکمیل نشده",IF(N422="بدون تفصیلی (ثبت روی خود معین)","OK",IF(N422="ادغام با تفصیلی دیگر",IF(O422="","کلید مقصد خالی است",IF(IFERROR(MATCH(O422*1,$A:$A,0),0)=0,"کلید مقصد در این فهرست نیست",IF(O422*1=A422,"ادغام با خودش","OK"))),IF(Q422="","سطح شناور خالی است",IF(AND(FALSE,OR(Q422=1,Q422=2)),"سطح ۱ و ۲ این معین مال فعالیت و مرکز هزینه است","OK")))))</x:f>
      </x:c>
      <x:c r="T422" s="28"/>
    </x:row>
    <x:row r="423" spans="1:20">
      <x:c r="A423" s="21">
        <x:v>3085</x:v>
      </x:c>
      <x:c r="B423" s="22" t="s">
        <x:v>138</x:v>
      </x:c>
      <x:c r="C423" s="22" t="s">
        <x:v>207</x:v>
      </x:c>
      <x:c r="D423" s="22" t="s">
        <x:v>921</x:v>
      </x:c>
      <x:c r="E423" s="22" t="s">
        <x:v>1046</x:v>
      </x:c>
      <x:c r="F423" s="22" t="s">
        <x:v>297</x:v>
      </x:c>
      <x:c r="G423" s="22">
        <x:v>2</x:v>
      </x:c>
      <x:c r="H423" s="23">
        <x:v>5730654</x:v>
      </x:c>
      <x:c r="I423" s="23">
        <x:v>5730654</x:v>
      </x:c>
      <x:c r="J423" s="23">
        <x:f>H423-I423</x:f>
      </x:c>
      <x:c r="K423" s="22">
        <x:v>1</x:v>
      </x:c>
      <x:c r="L423" s="24" t="s">
        <x:v>548</x:v>
      </x:c>
      <x:c r="M423" s="24"/>
      <x:c r="N423" s="27" t="s">
        <x:v>548</x:v>
      </x:c>
      <x:c r="O423" s="27"/>
      <x:c r="P423" s="26"/>
      <x:c r="Q423" s="27">
        <x:v>1</x:v>
      </x:c>
      <x:c r="R423" s="27"/>
      <x:c r="S423" s="22">
        <x:f>IF(N423="","تکمیل نشده",IF(N423="بدون تفصیلی (ثبت روی خود معین)","OK",IF(N423="ادغام با تفصیلی دیگر",IF(O423="","کلید مقصد خالی است",IF(IFERROR(MATCH(O423*1,$A:$A,0),0)=0,"کلید مقصد در این فهرست نیست",IF(O423*1=A423,"ادغام با خودش","OK"))),IF(Q423="","سطح شناور خالی است",IF(AND(FALSE,OR(Q423=1,Q423=2)),"سطح ۱ و ۲ این معین مال فعالیت و مرکز هزینه است","OK")))))</x:f>
      </x:c>
      <x:c r="T423" s="28"/>
    </x:row>
    <x:row r="424" spans="1:20">
      <x:c r="A424" s="21">
        <x:v>3086</x:v>
      </x:c>
      <x:c r="B424" s="22" t="s">
        <x:v>138</x:v>
      </x:c>
      <x:c r="C424" s="22" t="s">
        <x:v>207</x:v>
      </x:c>
      <x:c r="D424" s="22" t="s">
        <x:v>564</x:v>
      </x:c>
      <x:c r="E424" s="22" t="s">
        <x:v>1047</x:v>
      </x:c>
      <x:c r="F424" s="22" t="s">
        <x:v>297</x:v>
      </x:c>
      <x:c r="G424" s="22">
        <x:v>3</x:v>
      </x:c>
      <x:c r="H424" s="23">
        <x:v>80000000</x:v>
      </x:c>
      <x:c r="I424" s="23">
        <x:v>80000000</x:v>
      </x:c>
      <x:c r="J424" s="23">
        <x:f>H424-I424</x:f>
      </x:c>
      <x:c r="K424" s="22">
        <x:v>1</x:v>
      </x:c>
      <x:c r="L424" s="24" t="s">
        <x:v>548</x:v>
      </x:c>
      <x:c r="M424" s="24"/>
      <x:c r="N424" s="27" t="s">
        <x:v>548</x:v>
      </x:c>
      <x:c r="O424" s="27"/>
      <x:c r="P424" s="26"/>
      <x:c r="Q424" s="27">
        <x:v>1</x:v>
      </x:c>
      <x:c r="R424" s="27"/>
      <x:c r="S424" s="22">
        <x:f>IF(N424="","تکمیل نشده",IF(N424="بدون تفصیلی (ثبت روی خود معین)","OK",IF(N424="ادغام با تفصیلی دیگر",IF(O424="","کلید مقصد خالی است",IF(IFERROR(MATCH(O424*1,$A:$A,0),0)=0,"کلید مقصد در این فهرست نیست",IF(O424*1=A424,"ادغام با خودش","OK"))),IF(Q424="","سطح شناور خالی است",IF(AND(FALSE,OR(Q424=1,Q424=2)),"سطح ۱ و ۲ این معین مال فعالیت و مرکز هزینه است","OK")))))</x:f>
      </x:c>
      <x:c r="T424" s="28"/>
    </x:row>
    <x:row r="425" spans="1:20">
      <x:c r="A425" s="21">
        <x:v>3087</x:v>
      </x:c>
      <x:c r="B425" s="22" t="s">
        <x:v>138</x:v>
      </x:c>
      <x:c r="C425" s="22" t="s">
        <x:v>207</x:v>
      </x:c>
      <x:c r="D425" s="22" t="s">
        <x:v>944</x:v>
      </x:c>
      <x:c r="E425" s="22" t="s">
        <x:v>1048</x:v>
      </x:c>
      <x:c r="F425" s="22" t="s">
        <x:v>297</x:v>
      </x:c>
      <x:c r="G425" s="22">
        <x:v>2</x:v>
      </x:c>
      <x:c r="H425" s="23">
        <x:v>75644624</x:v>
      </x:c>
      <x:c r="I425" s="23">
        <x:v>75644624</x:v>
      </x:c>
      <x:c r="J425" s="23">
        <x:f>H425-I425</x:f>
      </x:c>
      <x:c r="K425" s="22">
        <x:v>1</x:v>
      </x:c>
      <x:c r="L425" s="24" t="s">
        <x:v>548</x:v>
      </x:c>
      <x:c r="M425" s="24"/>
      <x:c r="N425" s="27" t="s">
        <x:v>548</x:v>
      </x:c>
      <x:c r="O425" s="27"/>
      <x:c r="P425" s="26"/>
      <x:c r="Q425" s="27">
        <x:v>1</x:v>
      </x:c>
      <x:c r="R425" s="27"/>
      <x:c r="S425" s="22">
        <x:f>IF(N425="","تکمیل نشده",IF(N425="بدون تفصیلی (ثبت روی خود معین)","OK",IF(N425="ادغام با تفصیلی دیگر",IF(O425="","کلید مقصد خالی است",IF(IFERROR(MATCH(O425*1,$A:$A,0),0)=0,"کلید مقصد در این فهرست نیست",IF(O425*1=A425,"ادغام با خودش","OK"))),IF(Q425="","سطح شناور خالی است",IF(AND(FALSE,OR(Q425=1,Q425=2)),"سطح ۱ و ۲ این معین مال فعالیت و مرکز هزینه است","OK")))))</x:f>
      </x:c>
      <x:c r="T425" s="28"/>
    </x:row>
    <x:row r="426" spans="1:20">
      <x:c r="A426" s="21">
        <x:v>3088</x:v>
      </x:c>
      <x:c r="B426" s="22" t="s">
        <x:v>138</x:v>
      </x:c>
      <x:c r="C426" s="22" t="s">
        <x:v>207</x:v>
      </x:c>
      <x:c r="D426" s="22" t="s">
        <x:v>946</x:v>
      </x:c>
      <x:c r="E426" s="22" t="s">
        <x:v>1049</x:v>
      </x:c>
      <x:c r="F426" s="22" t="s">
        <x:v>297</x:v>
      </x:c>
      <x:c r="G426" s="22">
        <x:v>2</x:v>
      </x:c>
      <x:c r="H426" s="23">
        <x:v>30945528</x:v>
      </x:c>
      <x:c r="I426" s="23">
        <x:v>30945528</x:v>
      </x:c>
      <x:c r="J426" s="23">
        <x:f>H426-I426</x:f>
      </x:c>
      <x:c r="K426" s="22">
        <x:v>1</x:v>
      </x:c>
      <x:c r="L426" s="24" t="s">
        <x:v>548</x:v>
      </x:c>
      <x:c r="M426" s="24"/>
      <x:c r="N426" s="27" t="s">
        <x:v>548</x:v>
      </x:c>
      <x:c r="O426" s="27"/>
      <x:c r="P426" s="26"/>
      <x:c r="Q426" s="27">
        <x:v>1</x:v>
      </x:c>
      <x:c r="R426" s="27"/>
      <x:c r="S426" s="22">
        <x:f>IF(N426="","تکمیل نشده",IF(N426="بدون تفصیلی (ثبت روی خود معین)","OK",IF(N426="ادغام با تفصیلی دیگر",IF(O426="","کلید مقصد خالی است",IF(IFERROR(MATCH(O426*1,$A:$A,0),0)=0,"کلید مقصد در این فهرست نیست",IF(O426*1=A426,"ادغام با خودش","OK"))),IF(Q426="","سطح شناور خالی است",IF(AND(FALSE,OR(Q426=1,Q426=2)),"سطح ۱ و ۲ این معین مال فعالیت و مرکز هزینه است","OK")))))</x:f>
      </x:c>
      <x:c r="T426" s="28"/>
    </x:row>
    <x:row r="427" spans="1:20">
      <x:c r="A427" s="21">
        <x:v>3091</x:v>
      </x:c>
      <x:c r="B427" s="22" t="s">
        <x:v>138</x:v>
      </x:c>
      <x:c r="C427" s="22" t="s">
        <x:v>207</x:v>
      </x:c>
      <x:c r="D427" s="22" t="s">
        <x:v>979</x:v>
      </x:c>
      <x:c r="E427" s="22" t="s">
        <x:v>1050</x:v>
      </x:c>
      <x:c r="F427" s="22" t="s">
        <x:v>297</x:v>
      </x:c>
      <x:c r="G427" s="22">
        <x:v>2</x:v>
      </x:c>
      <x:c r="H427" s="23">
        <x:v>12607439</x:v>
      </x:c>
      <x:c r="I427" s="23">
        <x:v>12607439</x:v>
      </x:c>
      <x:c r="J427" s="23">
        <x:f>H427-I427</x:f>
      </x:c>
      <x:c r="K427" s="22">
        <x:v>1</x:v>
      </x:c>
      <x:c r="L427" s="24" t="s">
        <x:v>548</x:v>
      </x:c>
      <x:c r="M427" s="24"/>
      <x:c r="N427" s="27" t="s">
        <x:v>548</x:v>
      </x:c>
      <x:c r="O427" s="27"/>
      <x:c r="P427" s="26"/>
      <x:c r="Q427" s="27">
        <x:v>1</x:v>
      </x:c>
      <x:c r="R427" s="27"/>
      <x:c r="S427" s="22">
        <x:f>IF(N427="","تکمیل نشده",IF(N427="بدون تفصیلی (ثبت روی خود معین)","OK",IF(N427="ادغام با تفصیلی دیگر",IF(O427="","کلید مقصد خالی است",IF(IFERROR(MATCH(O427*1,$A:$A,0),0)=0,"کلید مقصد در این فهرست نیست",IF(O427*1=A427,"ادغام با خودش","OK"))),IF(Q427="","سطح شناور خالی است",IF(AND(FALSE,OR(Q427=1,Q427=2)),"سطح ۱ و ۲ این معین مال فعالیت و مرکز هزینه است","OK")))))</x:f>
      </x:c>
      <x:c r="T427" s="28"/>
    </x:row>
    <x:row r="428" spans="1:20">
      <x:c r="A428" s="21">
        <x:v>3094</x:v>
      </x:c>
      <x:c r="B428" s="22" t="s">
        <x:v>138</x:v>
      </x:c>
      <x:c r="C428" s="22" t="s">
        <x:v>207</x:v>
      </x:c>
      <x:c r="D428" s="22" t="s">
        <x:v>1051</x:v>
      </x:c>
      <x:c r="E428" s="22" t="s">
        <x:v>1052</x:v>
      </x:c>
      <x:c r="F428" s="22" t="s">
        <x:v>297</x:v>
      </x:c>
      <x:c r="G428" s="22">
        <x:v>2</x:v>
      </x:c>
      <x:c r="H428" s="23">
        <x:v>478000000</x:v>
      </x:c>
      <x:c r="I428" s="23">
        <x:v>478000000</x:v>
      </x:c>
      <x:c r="J428" s="23">
        <x:f>H428-I428</x:f>
      </x:c>
      <x:c r="K428" s="22">
        <x:v>1</x:v>
      </x:c>
      <x:c r="L428" s="24" t="s">
        <x:v>548</x:v>
      </x:c>
      <x:c r="M428" s="24"/>
      <x:c r="N428" s="27" t="s">
        <x:v>548</x:v>
      </x:c>
      <x:c r="O428" s="27"/>
      <x:c r="P428" s="26"/>
      <x:c r="Q428" s="27">
        <x:v>1</x:v>
      </x:c>
      <x:c r="R428" s="27"/>
      <x:c r="S428" s="22">
        <x:f>IF(N428="","تکمیل نشده",IF(N428="بدون تفصیلی (ثبت روی خود معین)","OK",IF(N428="ادغام با تفصیلی دیگر",IF(O428="","کلید مقصد خالی است",IF(IFERROR(MATCH(O428*1,$A:$A,0),0)=0,"کلید مقصد در این فهرست نیست",IF(O428*1=A428,"ادغام با خودش","OK"))),IF(Q428="","سطح شناور خالی است",IF(AND(FALSE,OR(Q428=1,Q428=2)),"سطح ۱ و ۲ این معین مال فعالیت و مرکز هزینه است","OK")))))</x:f>
      </x:c>
      <x:c r="T428" s="28"/>
    </x:row>
    <x:row r="429" spans="1:20">
      <x:c r="A429" s="21">
        <x:v>3095</x:v>
      </x:c>
      <x:c r="B429" s="22" t="s">
        <x:v>138</x:v>
      </x:c>
      <x:c r="C429" s="22" t="s">
        <x:v>207</x:v>
      </x:c>
      <x:c r="D429" s="22" t="s">
        <x:v>1053</x:v>
      </x:c>
      <x:c r="E429" s="22" t="s">
        <x:v>1054</x:v>
      </x:c>
      <x:c r="F429" s="22" t="s">
        <x:v>297</x:v>
      </x:c>
      <x:c r="G429" s="22">
        <x:v>2</x:v>
      </x:c>
      <x:c r="H429" s="23">
        <x:v>206303550</x:v>
      </x:c>
      <x:c r="I429" s="23">
        <x:v>206303550</x:v>
      </x:c>
      <x:c r="J429" s="23">
        <x:f>H429-I429</x:f>
      </x:c>
      <x:c r="K429" s="22">
        <x:v>1</x:v>
      </x:c>
      <x:c r="L429" s="24" t="s">
        <x:v>548</x:v>
      </x:c>
      <x:c r="M429" s="24"/>
      <x:c r="N429" s="27" t="s">
        <x:v>548</x:v>
      </x:c>
      <x:c r="O429" s="27"/>
      <x:c r="P429" s="26"/>
      <x:c r="Q429" s="27">
        <x:v>1</x:v>
      </x:c>
      <x:c r="R429" s="27"/>
      <x:c r="S429" s="22">
        <x:f>IF(N429="","تکمیل نشده",IF(N429="بدون تفصیلی (ثبت روی خود معین)","OK",IF(N429="ادغام با تفصیلی دیگر",IF(O429="","کلید مقصد خالی است",IF(IFERROR(MATCH(O429*1,$A:$A,0),0)=0,"کلید مقصد در این فهرست نیست",IF(O429*1=A429,"ادغام با خودش","OK"))),IF(Q429="","سطح شناور خالی است",IF(AND(FALSE,OR(Q429=1,Q429=2)),"سطح ۱ و ۲ این معین مال فعالیت و مرکز هزینه است","OK")))))</x:f>
      </x:c>
      <x:c r="T429" s="28"/>
    </x:row>
    <x:row r="430" spans="1:20">
      <x:c r="A430" s="21">
        <x:v>3096</x:v>
      </x:c>
      <x:c r="B430" s="22" t="s">
        <x:v>138</x:v>
      </x:c>
      <x:c r="C430" s="22" t="s">
        <x:v>207</x:v>
      </x:c>
      <x:c r="D430" s="22" t="s">
        <x:v>954</x:v>
      </x:c>
      <x:c r="E430" s="22" t="s">
        <x:v>1055</x:v>
      </x:c>
      <x:c r="F430" s="22" t="s">
        <x:v>297</x:v>
      </x:c>
      <x:c r="G430" s="22">
        <x:v>16</x:v>
      </x:c>
      <x:c r="H430" s="23">
        <x:v>65737474</x:v>
      </x:c>
      <x:c r="I430" s="23">
        <x:v>87569262</x:v>
      </x:c>
      <x:c r="J430" s="23">
        <x:f>H430-I430</x:f>
      </x:c>
      <x:c r="K430" s="22">
        <x:v>1</x:v>
      </x:c>
      <x:c r="L430" s="24" t="s">
        <x:v>548</x:v>
      </x:c>
      <x:c r="M430" s="24"/>
      <x:c r="N430" s="27" t="s">
        <x:v>548</x:v>
      </x:c>
      <x:c r="O430" s="27"/>
      <x:c r="P430" s="26"/>
      <x:c r="Q430" s="27">
        <x:v>1</x:v>
      </x:c>
      <x:c r="R430" s="27"/>
      <x:c r="S430" s="22">
        <x:f>IF(N430="","تکمیل نشده",IF(N430="بدون تفصیلی (ثبت روی خود معین)","OK",IF(N430="ادغام با تفصیلی دیگر",IF(O430="","کلید مقصد خالی است",IF(IFERROR(MATCH(O430*1,$A:$A,0),0)=0,"کلید مقصد در این فهرست نیست",IF(O430*1=A430,"ادغام با خودش","OK"))),IF(Q430="","سطح شناور خالی است",IF(AND(FALSE,OR(Q430=1,Q430=2)),"سطح ۱ و ۲ این معین مال فعالیت و مرکز هزینه است","OK")))))</x:f>
      </x:c>
      <x:c r="T430" s="28"/>
    </x:row>
    <x:row r="431" spans="1:20">
      <x:c r="A431" s="21">
        <x:v>3099</x:v>
      </x:c>
      <x:c r="B431" s="22" t="s">
        <x:v>138</x:v>
      </x:c>
      <x:c r="C431" s="22" t="s">
        <x:v>207</x:v>
      </x:c>
      <x:c r="D431" s="22" t="s">
        <x:v>1056</x:v>
      </x:c>
      <x:c r="E431" s="22" t="s">
        <x:v>1057</x:v>
      </x:c>
      <x:c r="F431" s="22" t="s">
        <x:v>297</x:v>
      </x:c>
      <x:c r="G431" s="22">
        <x:v>2</x:v>
      </x:c>
      <x:c r="H431" s="23">
        <x:v>7470000</x:v>
      </x:c>
      <x:c r="I431" s="23">
        <x:v>32106000</x:v>
      </x:c>
      <x:c r="J431" s="23">
        <x:f>H431-I431</x:f>
      </x:c>
      <x:c r="K431" s="22">
        <x:v>1</x:v>
      </x:c>
      <x:c r="L431" s="24" t="s">
        <x:v>548</x:v>
      </x:c>
      <x:c r="M431" s="24"/>
      <x:c r="N431" s="27" t="s">
        <x:v>548</x:v>
      </x:c>
      <x:c r="O431" s="27"/>
      <x:c r="P431" s="26"/>
      <x:c r="Q431" s="27">
        <x:v>1</x:v>
      </x:c>
      <x:c r="R431" s="27"/>
      <x:c r="S431" s="22">
        <x:f>IF(N431="","تکمیل نشده",IF(N431="بدون تفصیلی (ثبت روی خود معین)","OK",IF(N431="ادغام با تفصیلی دیگر",IF(O431="","کلید مقصد خالی است",IF(IFERROR(MATCH(O431*1,$A:$A,0),0)=0,"کلید مقصد در این فهرست نیست",IF(O431*1=A431,"ادغام با خودش","OK"))),IF(Q431="","سطح شناور خالی است",IF(AND(FALSE,OR(Q431=1,Q431=2)),"سطح ۱ و ۲ این معین مال فعالیت و مرکز هزینه است","OK")))))</x:f>
      </x:c>
      <x:c r="T431" s="28"/>
    </x:row>
    <x:row r="432" spans="1:20">
      <x:c r="A432" s="21">
        <x:v>3100</x:v>
      </x:c>
      <x:c r="B432" s="22" t="s">
        <x:v>138</x:v>
      </x:c>
      <x:c r="C432" s="22" t="s">
        <x:v>207</x:v>
      </x:c>
      <x:c r="D432" s="22" t="s">
        <x:v>1058</x:v>
      </x:c>
      <x:c r="E432" s="22" t="s">
        <x:v>1059</x:v>
      </x:c>
      <x:c r="F432" s="22" t="s">
        <x:v>297</x:v>
      </x:c>
      <x:c r="G432" s="22">
        <x:v>5</x:v>
      </x:c>
      <x:c r="H432" s="23">
        <x:v>577229172</x:v>
      </x:c>
      <x:c r="I432" s="23">
        <x:v>577229172</x:v>
      </x:c>
      <x:c r="J432" s="23">
        <x:f>H432-I432</x:f>
      </x:c>
      <x:c r="K432" s="22">
        <x:v>1</x:v>
      </x:c>
      <x:c r="L432" s="24" t="s">
        <x:v>548</x:v>
      </x:c>
      <x:c r="M432" s="24"/>
      <x:c r="N432" s="27" t="s">
        <x:v>548</x:v>
      </x:c>
      <x:c r="O432" s="27"/>
      <x:c r="P432" s="26"/>
      <x:c r="Q432" s="27">
        <x:v>1</x:v>
      </x:c>
      <x:c r="R432" s="27"/>
      <x:c r="S432" s="22">
        <x:f>IF(N432="","تکمیل نشده",IF(N432="بدون تفصیلی (ثبت روی خود معین)","OK",IF(N432="ادغام با تفصیلی دیگر",IF(O432="","کلید مقصد خالی است",IF(IFERROR(MATCH(O432*1,$A:$A,0),0)=0,"کلید مقصد در این فهرست نیست",IF(O432*1=A432,"ادغام با خودش","OK"))),IF(Q432="","سطح شناور خالی است",IF(AND(FALSE,OR(Q432=1,Q432=2)),"سطح ۱ و ۲ این معین مال فعالیت و مرکز هزینه است","OK")))))</x:f>
      </x:c>
      <x:c r="T432" s="28"/>
    </x:row>
    <x:row r="433" spans="1:20">
      <x:c r="A433" s="21">
        <x:v>3101</x:v>
      </x:c>
      <x:c r="B433" s="22" t="s">
        <x:v>138</x:v>
      </x:c>
      <x:c r="C433" s="22" t="s">
        <x:v>207</x:v>
      </x:c>
      <x:c r="D433" s="22" t="s">
        <x:v>1060</x:v>
      </x:c>
      <x:c r="E433" s="22" t="s">
        <x:v>1061</x:v>
      </x:c>
      <x:c r="F433" s="22" t="s">
        <x:v>297</x:v>
      </x:c>
      <x:c r="G433" s="22">
        <x:v>3</x:v>
      </x:c>
      <x:c r="H433" s="23">
        <x:v>19942671</x:v>
      </x:c>
      <x:c r="I433" s="23">
        <x:v>19942671</x:v>
      </x:c>
      <x:c r="J433" s="23">
        <x:f>H433-I433</x:f>
      </x:c>
      <x:c r="K433" s="22">
        <x:v>1</x:v>
      </x:c>
      <x:c r="L433" s="24" t="s">
        <x:v>548</x:v>
      </x:c>
      <x:c r="M433" s="24"/>
      <x:c r="N433" s="27" t="s">
        <x:v>548</x:v>
      </x:c>
      <x:c r="O433" s="27"/>
      <x:c r="P433" s="26"/>
      <x:c r="Q433" s="27">
        <x:v>1</x:v>
      </x:c>
      <x:c r="R433" s="27"/>
      <x:c r="S433" s="22">
        <x:f>IF(N433="","تکمیل نشده",IF(N433="بدون تفصیلی (ثبت روی خود معین)","OK",IF(N433="ادغام با تفصیلی دیگر",IF(O433="","کلید مقصد خالی است",IF(IFERROR(MATCH(O433*1,$A:$A,0),0)=0,"کلید مقصد در این فهرست نیست",IF(O433*1=A433,"ادغام با خودش","OK"))),IF(Q433="","سطح شناور خالی است",IF(AND(FALSE,OR(Q433=1,Q433=2)),"سطح ۱ و ۲ این معین مال فعالیت و مرکز هزینه است","OK")))))</x:f>
      </x:c>
      <x:c r="T433" s="28"/>
    </x:row>
    <x:row r="434" spans="1:20">
      <x:c r="A434" s="21">
        <x:v>3105</x:v>
      </x:c>
      <x:c r="B434" s="22" t="s">
        <x:v>138</x:v>
      </x:c>
      <x:c r="C434" s="22" t="s">
        <x:v>207</x:v>
      </x:c>
      <x:c r="D434" s="22" t="s">
        <x:v>959</x:v>
      </x:c>
      <x:c r="E434" s="22" t="s">
        <x:v>1062</x:v>
      </x:c>
      <x:c r="F434" s="22" t="s">
        <x:v>297</x:v>
      </x:c>
      <x:c r="G434" s="22">
        <x:v>3</x:v>
      </x:c>
      <x:c r="H434" s="23">
        <x:v>183380928</x:v>
      </x:c>
      <x:c r="I434" s="23">
        <x:v>183380928</x:v>
      </x:c>
      <x:c r="J434" s="23">
        <x:f>H434-I434</x:f>
      </x:c>
      <x:c r="K434" s="22">
        <x:v>1</x:v>
      </x:c>
      <x:c r="L434" s="24" t="s">
        <x:v>548</x:v>
      </x:c>
      <x:c r="M434" s="24"/>
      <x:c r="N434" s="27" t="s">
        <x:v>548</x:v>
      </x:c>
      <x:c r="O434" s="27"/>
      <x:c r="P434" s="26"/>
      <x:c r="Q434" s="27">
        <x:v>1</x:v>
      </x:c>
      <x:c r="R434" s="27"/>
      <x:c r="S434" s="22">
        <x:f>IF(N434="","تکمیل نشده",IF(N434="بدون تفصیلی (ثبت روی خود معین)","OK",IF(N434="ادغام با تفصیلی دیگر",IF(O434="","کلید مقصد خالی است",IF(IFERROR(MATCH(O434*1,$A:$A,0),0)=0,"کلید مقصد در این فهرست نیست",IF(O434*1=A434,"ادغام با خودش","OK"))),IF(Q434="","سطح شناور خالی است",IF(AND(FALSE,OR(Q434=1,Q434=2)),"سطح ۱ و ۲ این معین مال فعالیت و مرکز هزینه است","OK")))))</x:f>
      </x:c>
      <x:c r="T434" s="28"/>
    </x:row>
    <x:row r="435" spans="1:20">
      <x:c r="A435" s="21">
        <x:v>3107</x:v>
      </x:c>
      <x:c r="B435" s="22" t="s">
        <x:v>138</x:v>
      </x:c>
      <x:c r="C435" s="22" t="s">
        <x:v>207</x:v>
      </x:c>
      <x:c r="D435" s="22" t="s">
        <x:v>963</x:v>
      </x:c>
      <x:c r="E435" s="22" t="s">
        <x:v>1063</x:v>
      </x:c>
      <x:c r="F435" s="22" t="s">
        <x:v>297</x:v>
      </x:c>
      <x:c r="G435" s="22">
        <x:v>2</x:v>
      </x:c>
      <x:c r="H435" s="23">
        <x:v>3438392</x:v>
      </x:c>
      <x:c r="I435" s="23">
        <x:v>3438392</x:v>
      </x:c>
      <x:c r="J435" s="23">
        <x:f>H435-I435</x:f>
      </x:c>
      <x:c r="K435" s="22">
        <x:v>1</x:v>
      </x:c>
      <x:c r="L435" s="24" t="s">
        <x:v>548</x:v>
      </x:c>
      <x:c r="M435" s="24"/>
      <x:c r="N435" s="27" t="s">
        <x:v>548</x:v>
      </x:c>
      <x:c r="O435" s="27"/>
      <x:c r="P435" s="26"/>
      <x:c r="Q435" s="27">
        <x:v>1</x:v>
      </x:c>
      <x:c r="R435" s="27"/>
      <x:c r="S435" s="22">
        <x:f>IF(N435="","تکمیل نشده",IF(N435="بدون تفصیلی (ثبت روی خود معین)","OK",IF(N435="ادغام با تفصیلی دیگر",IF(O435="","کلید مقصد خالی است",IF(IFERROR(MATCH(O435*1,$A:$A,0),0)=0,"کلید مقصد در این فهرست نیست",IF(O435*1=A435,"ادغام با خودش","OK"))),IF(Q435="","سطح شناور خالی است",IF(AND(FALSE,OR(Q435=1,Q435=2)),"سطح ۱ و ۲ این معین مال فعالیت و مرکز هزینه است","OK")))))</x:f>
      </x:c>
      <x:c r="T435" s="28"/>
    </x:row>
    <x:row r="436" spans="1:20">
      <x:c r="A436" s="21">
        <x:v>3108</x:v>
      </x:c>
      <x:c r="B436" s="22" t="s">
        <x:v>138</x:v>
      </x:c>
      <x:c r="C436" s="22" t="s">
        <x:v>207</x:v>
      </x:c>
      <x:c r="D436" s="22" t="s">
        <x:v>965</x:v>
      </x:c>
      <x:c r="E436" s="22" t="s">
        <x:v>1064</x:v>
      </x:c>
      <x:c r="F436" s="22" t="s">
        <x:v>297</x:v>
      </x:c>
      <x:c r="G436" s="22">
        <x:v>2</x:v>
      </x:c>
      <x:c r="H436" s="23">
        <x:v>6876784</x:v>
      </x:c>
      <x:c r="I436" s="23">
        <x:v>6876784</x:v>
      </x:c>
      <x:c r="J436" s="23">
        <x:f>H436-I436</x:f>
      </x:c>
      <x:c r="K436" s="22">
        <x:v>1</x:v>
      </x:c>
      <x:c r="L436" s="24" t="s">
        <x:v>548</x:v>
      </x:c>
      <x:c r="M436" s="24"/>
      <x:c r="N436" s="27" t="s">
        <x:v>548</x:v>
      </x:c>
      <x:c r="O436" s="27"/>
      <x:c r="P436" s="26"/>
      <x:c r="Q436" s="27">
        <x:v>1</x:v>
      </x:c>
      <x:c r="R436" s="27"/>
      <x:c r="S436" s="22">
        <x:f>IF(N436="","تکمیل نشده",IF(N436="بدون تفصیلی (ثبت روی خود معین)","OK",IF(N436="ادغام با تفصیلی دیگر",IF(O436="","کلید مقصد خالی است",IF(IFERROR(MATCH(O436*1,$A:$A,0),0)=0,"کلید مقصد در این فهرست نیست",IF(O436*1=A436,"ادغام با خودش","OK"))),IF(Q436="","سطح شناور خالی است",IF(AND(FALSE,OR(Q436=1,Q436=2)),"سطح ۱ و ۲ این معین مال فعالیت و مرکز هزینه است","OK")))))</x:f>
      </x:c>
      <x:c r="T436" s="28"/>
    </x:row>
    <x:row r="437" spans="1:20">
      <x:c r="A437" s="21">
        <x:v>3114</x:v>
      </x:c>
      <x:c r="B437" s="22" t="s">
        <x:v>138</x:v>
      </x:c>
      <x:c r="C437" s="22" t="s">
        <x:v>207</x:v>
      </x:c>
      <x:c r="D437" s="22" t="s">
        <x:v>1065</x:v>
      </x:c>
      <x:c r="E437" s="22" t="s">
        <x:v>1066</x:v>
      </x:c>
      <x:c r="F437" s="22" t="s">
        <x:v>297</x:v>
      </x:c>
      <x:c r="G437" s="22">
        <x:v>2</x:v>
      </x:c>
      <x:c r="H437" s="23">
        <x:v>13753570</x:v>
      </x:c>
      <x:c r="I437" s="23">
        <x:v>13753570</x:v>
      </x:c>
      <x:c r="J437" s="23">
        <x:f>H437-I437</x:f>
      </x:c>
      <x:c r="K437" s="22">
        <x:v>1</x:v>
      </x:c>
      <x:c r="L437" s="24" t="s">
        <x:v>548</x:v>
      </x:c>
      <x:c r="M437" s="24"/>
      <x:c r="N437" s="27" t="s">
        <x:v>548</x:v>
      </x:c>
      <x:c r="O437" s="27"/>
      <x:c r="P437" s="26"/>
      <x:c r="Q437" s="27">
        <x:v>1</x:v>
      </x:c>
      <x:c r="R437" s="27"/>
      <x:c r="S437" s="22">
        <x:f>IF(N437="","تکمیل نشده",IF(N437="بدون تفصیلی (ثبت روی خود معین)","OK",IF(N437="ادغام با تفصیلی دیگر",IF(O437="","کلید مقصد خالی است",IF(IFERROR(MATCH(O437*1,$A:$A,0),0)=0,"کلید مقصد در این فهرست نیست",IF(O437*1=A437,"ادغام با خودش","OK"))),IF(Q437="","سطح شناور خالی است",IF(AND(FALSE,OR(Q437=1,Q437=2)),"سطح ۱ و ۲ این معین مال فعالیت و مرکز هزینه است","OK")))))</x:f>
      </x:c>
      <x:c r="T437" s="28"/>
    </x:row>
    <x:row r="438" spans="1:20">
      <x:c r="A438" s="21">
        <x:v>3115</x:v>
      </x:c>
      <x:c r="B438" s="22" t="s">
        <x:v>138</x:v>
      </x:c>
      <x:c r="C438" s="22" t="s">
        <x:v>207</x:v>
      </x:c>
      <x:c r="D438" s="22" t="s">
        <x:v>1067</x:v>
      </x:c>
      <x:c r="E438" s="22" t="s">
        <x:v>1068</x:v>
      </x:c>
      <x:c r="F438" s="22" t="s">
        <x:v>297</x:v>
      </x:c>
      <x:c r="G438" s="22">
        <x:v>4</x:v>
      </x:c>
      <x:c r="H438" s="23">
        <x:v>1915184</x:v>
      </x:c>
      <x:c r="I438" s="23">
        <x:v>4596440</x:v>
      </x:c>
      <x:c r="J438" s="23">
        <x:f>H438-I438</x:f>
      </x:c>
      <x:c r="K438" s="22">
        <x:v>1</x:v>
      </x:c>
      <x:c r="L438" s="24" t="s">
        <x:v>548</x:v>
      </x:c>
      <x:c r="M438" s="24"/>
      <x:c r="N438" s="27" t="s">
        <x:v>548</x:v>
      </x:c>
      <x:c r="O438" s="27"/>
      <x:c r="P438" s="26"/>
      <x:c r="Q438" s="27">
        <x:v>1</x:v>
      </x:c>
      <x:c r="R438" s="27"/>
      <x:c r="S438" s="22">
        <x:f>IF(N438="","تکمیل نشده",IF(N438="بدون تفصیلی (ثبت روی خود معین)","OK",IF(N438="ادغام با تفصیلی دیگر",IF(O438="","کلید مقصد خالی است",IF(IFERROR(MATCH(O438*1,$A:$A,0),0)=0,"کلید مقصد در این فهرست نیست",IF(O438*1=A438,"ادغام با خودش","OK"))),IF(Q438="","سطح شناور خالی است",IF(AND(FALSE,OR(Q438=1,Q438=2)),"سطح ۱ و ۲ این معین مال فعالیت و مرکز هزینه است","OK")))))</x:f>
      </x:c>
      <x:c r="T438" s="28"/>
    </x:row>
    <x:row r="439" spans="1:20">
      <x:c r="A439" s="21">
        <x:v>3119</x:v>
      </x:c>
      <x:c r="B439" s="22" t="s">
        <x:v>138</x:v>
      </x:c>
      <x:c r="C439" s="22" t="s">
        <x:v>207</x:v>
      </x:c>
      <x:c r="D439" s="22" t="s">
        <x:v>1069</x:v>
      </x:c>
      <x:c r="E439" s="22" t="s">
        <x:v>1070</x:v>
      </x:c>
      <x:c r="F439" s="22" t="s">
        <x:v>297</x:v>
      </x:c>
      <x:c r="G439" s="22">
        <x:v>4</x:v>
      </x:c>
      <x:c r="H439" s="23">
        <x:v>78008580</x:v>
      </x:c>
      <x:c r="I439" s="23">
        <x:v>78008580</x:v>
      </x:c>
      <x:c r="J439" s="23">
        <x:f>H439-I439</x:f>
      </x:c>
      <x:c r="K439" s="22">
        <x:v>1</x:v>
      </x:c>
      <x:c r="L439" s="24" t="s">
        <x:v>548</x:v>
      </x:c>
      <x:c r="M439" s="24"/>
      <x:c r="N439" s="27" t="s">
        <x:v>548</x:v>
      </x:c>
      <x:c r="O439" s="27"/>
      <x:c r="P439" s="26"/>
      <x:c r="Q439" s="27">
        <x:v>1</x:v>
      </x:c>
      <x:c r="R439" s="27"/>
      <x:c r="S439" s="22">
        <x:f>IF(N439="","تکمیل نشده",IF(N439="بدون تفصیلی (ثبت روی خود معین)","OK",IF(N439="ادغام با تفصیلی دیگر",IF(O439="","کلید مقصد خالی است",IF(IFERROR(MATCH(O439*1,$A:$A,0),0)=0,"کلید مقصد در این فهرست نیست",IF(O439*1=A439,"ادغام با خودش","OK"))),IF(Q439="","سطح شناور خالی است",IF(AND(FALSE,OR(Q439=1,Q439=2)),"سطح ۱ و ۲ این معین مال فعالیت و مرکز هزینه است","OK")))))</x:f>
      </x:c>
      <x:c r="T439" s="28"/>
    </x:row>
    <x:row r="440" spans="1:20">
      <x:c r="A440" s="21">
        <x:v>3120</x:v>
      </x:c>
      <x:c r="B440" s="22" t="s">
        <x:v>138</x:v>
      </x:c>
      <x:c r="C440" s="22" t="s">
        <x:v>207</x:v>
      </x:c>
      <x:c r="D440" s="22" t="s">
        <x:v>1071</x:v>
      </x:c>
      <x:c r="E440" s="22" t="s">
        <x:v>1072</x:v>
      </x:c>
      <x:c r="F440" s="22" t="s">
        <x:v>297</x:v>
      </x:c>
      <x:c r="G440" s="22">
        <x:v>2</x:v>
      </x:c>
      <x:c r="H440" s="23">
        <x:v>1375356</x:v>
      </x:c>
      <x:c r="I440" s="23">
        <x:v>1375356</x:v>
      </x:c>
      <x:c r="J440" s="23">
        <x:f>H440-I440</x:f>
      </x:c>
      <x:c r="K440" s="22">
        <x:v>1</x:v>
      </x:c>
      <x:c r="L440" s="24" t="s">
        <x:v>548</x:v>
      </x:c>
      <x:c r="M440" s="24"/>
      <x:c r="N440" s="27" t="s">
        <x:v>548</x:v>
      </x:c>
      <x:c r="O440" s="27"/>
      <x:c r="P440" s="26"/>
      <x:c r="Q440" s="27">
        <x:v>1</x:v>
      </x:c>
      <x:c r="R440" s="27"/>
      <x:c r="S440" s="22">
        <x:f>IF(N440="","تکمیل نشده",IF(N440="بدون تفصیلی (ثبت روی خود معین)","OK",IF(N440="ادغام با تفصیلی دیگر",IF(O440="","کلید مقصد خالی است",IF(IFERROR(MATCH(O440*1,$A:$A,0),0)=0,"کلید مقصد در این فهرست نیست",IF(O440*1=A440,"ادغام با خودش","OK"))),IF(Q440="","سطح شناور خالی است",IF(AND(FALSE,OR(Q440=1,Q440=2)),"سطح ۱ و ۲ این معین مال فعالیت و مرکز هزینه است","OK")))))</x:f>
      </x:c>
      <x:c r="T440" s="28"/>
    </x:row>
    <x:row r="441" spans="1:20">
      <x:c r="A441" s="21">
        <x:v>3669</x:v>
      </x:c>
      <x:c r="B441" s="22" t="s">
        <x:v>138</x:v>
      </x:c>
      <x:c r="C441" s="22" t="s">
        <x:v>207</x:v>
      </x:c>
      <x:c r="D441" s="22" t="s">
        <x:v>1073</x:v>
      </x:c>
      <x:c r="E441" s="22" t="s">
        <x:v>1074</x:v>
      </x:c>
      <x:c r="F441" s="22" t="s">
        <x:v>297</x:v>
      </x:c>
      <x:c r="G441" s="22">
        <x:v>8</x:v>
      </x:c>
      <x:c r="H441" s="23">
        <x:v>2290963578</x:v>
      </x:c>
      <x:c r="I441" s="23">
        <x:v>2290963578</x:v>
      </x:c>
      <x:c r="J441" s="23">
        <x:f>H441-I441</x:f>
      </x:c>
      <x:c r="K441" s="22">
        <x:v>2</x:v>
      </x:c>
      <x:c r="L441" s="24" t="s">
        <x:v>550</x:v>
      </x:c>
      <x:c r="M441" s="24">
        <x:v>2898</x:v>
      </x:c>
      <x:c r="N441" s="27" t="s">
        <x:v>550</x:v>
      </x:c>
      <x:c r="O441" s="27">
        <x:v>2898</x:v>
      </x:c>
      <x:c r="P441" s="26"/>
      <x:c r="Q441" s="27">
        <x:v>1</x:v>
      </x:c>
      <x:c r="R441" s="27"/>
      <x:c r="S441" s="22">
        <x:f>IF(N441="","تکمیل نشده",IF(N441="بدون تفصیلی (ثبت روی خود معین)","OK",IF(N441="ادغام با تفصیلی دیگر",IF(O441="","کلید مقصد خالی است",IF(IFERROR(MATCH(O441*1,$A:$A,0),0)=0,"کلید مقصد در این فهرست نیست",IF(O441*1=A441,"ادغام با خودش","OK"))),IF(Q441="","سطح شناور خالی است",IF(AND(FALSE,OR(Q441=1,Q441=2)),"سطح ۱ و ۲ این معین مال فعالیت و مرکز هزینه است","OK")))))</x:f>
      </x:c>
      <x:c r="T441" s="28"/>
    </x:row>
    <x:row r="442" spans="1:20">
      <x:c r="A442" s="21">
        <x:v>3650</x:v>
      </x:c>
      <x:c r="B442" s="22" t="s">
        <x:v>138</x:v>
      </x:c>
      <x:c r="C442" s="22" t="s">
        <x:v>207</x:v>
      </x:c>
      <x:c r="D442" s="22" t="s">
        <x:v>1075</x:v>
      </x:c>
      <x:c r="E442" s="22" t="s">
        <x:v>1076</x:v>
      </x:c>
      <x:c r="F442" s="22" t="s">
        <x:v>297</x:v>
      </x:c>
      <x:c r="G442" s="22">
        <x:v>2</x:v>
      </x:c>
      <x:c r="H442" s="23">
        <x:v>151564353</x:v>
      </x:c>
      <x:c r="I442" s="23">
        <x:v>151564353</x:v>
      </x:c>
      <x:c r="J442" s="23">
        <x:f>H442-I442</x:f>
      </x:c>
      <x:c r="K442" s="22">
        <x:v>1</x:v>
      </x:c>
      <x:c r="L442" s="24" t="s">
        <x:v>548</x:v>
      </x:c>
      <x:c r="M442" s="24"/>
      <x:c r="N442" s="27" t="s">
        <x:v>548</x:v>
      </x:c>
      <x:c r="O442" s="27"/>
      <x:c r="P442" s="26"/>
      <x:c r="Q442" s="27">
        <x:v>1</x:v>
      </x:c>
      <x:c r="R442" s="27"/>
      <x:c r="S442" s="22">
        <x:f>IF(N442="","تکمیل نشده",IF(N442="بدون تفصیلی (ثبت روی خود معین)","OK",IF(N442="ادغام با تفصیلی دیگر",IF(O442="","کلید مقصد خالی است",IF(IFERROR(MATCH(O442*1,$A:$A,0),0)=0,"کلید مقصد در این فهرست نیست",IF(O442*1=A442,"ادغام با خودش","OK"))),IF(Q442="","سطح شناور خالی است",IF(AND(FALSE,OR(Q442=1,Q442=2)),"سطح ۱ و ۲ این معین مال فعالیت و مرکز هزینه است","OK")))))</x:f>
      </x:c>
      <x:c r="T442" s="28"/>
    </x:row>
    <x:row r="443" spans="1:20">
      <x:c r="A443" s="21">
        <x:v>3680</x:v>
      </x:c>
      <x:c r="B443" s="22" t="s">
        <x:v>138</x:v>
      </x:c>
      <x:c r="C443" s="22" t="s">
        <x:v>207</x:v>
      </x:c>
      <x:c r="D443" s="22" t="s">
        <x:v>1077</x:v>
      </x:c>
      <x:c r="E443" s="22" t="s">
        <x:v>1078</x:v>
      </x:c>
      <x:c r="F443" s="22" t="s">
        <x:v>297</x:v>
      </x:c>
      <x:c r="G443" s="22">
        <x:v>3</x:v>
      </x:c>
      <x:c r="H443" s="23">
        <x:v>15862452</x:v>
      </x:c>
      <x:c r="I443" s="23">
        <x:v>15862452</x:v>
      </x:c>
      <x:c r="J443" s="23">
        <x:f>H443-I443</x:f>
      </x:c>
      <x:c r="K443" s="22">
        <x:v>1</x:v>
      </x:c>
      <x:c r="L443" s="24" t="s">
        <x:v>548</x:v>
      </x:c>
      <x:c r="M443" s="24"/>
      <x:c r="N443" s="27" t="s">
        <x:v>548</x:v>
      </x:c>
      <x:c r="O443" s="27"/>
      <x:c r="P443" s="26"/>
      <x:c r="Q443" s="27">
        <x:v>1</x:v>
      </x:c>
      <x:c r="R443" s="27"/>
      <x:c r="S443" s="22">
        <x:f>IF(N443="","تکمیل نشده",IF(N443="بدون تفصیلی (ثبت روی خود معین)","OK",IF(N443="ادغام با تفصیلی دیگر",IF(O443="","کلید مقصد خالی است",IF(IFERROR(MATCH(O443*1,$A:$A,0),0)=0,"کلید مقصد در این فهرست نیست",IF(O443*1=A443,"ادغام با خودش","OK"))),IF(Q443="","سطح شناور خالی است",IF(AND(FALSE,OR(Q443=1,Q443=2)),"سطح ۱ و ۲ این معین مال فعالیت و مرکز هزینه است","OK")))))</x:f>
      </x:c>
      <x:c r="T443" s="28"/>
    </x:row>
    <x:row r="444" spans="1:20">
      <x:c r="A444" s="21">
        <x:v>3670</x:v>
      </x:c>
      <x:c r="B444" s="22" t="s">
        <x:v>138</x:v>
      </x:c>
      <x:c r="C444" s="22" t="s">
        <x:v>207</x:v>
      </x:c>
      <x:c r="D444" s="22" t="s">
        <x:v>1079</x:v>
      </x:c>
      <x:c r="E444" s="22" t="s">
        <x:v>1080</x:v>
      </x:c>
      <x:c r="F444" s="22" t="s">
        <x:v>297</x:v>
      </x:c>
      <x:c r="G444" s="22">
        <x:v>7</x:v>
      </x:c>
      <x:c r="H444" s="23">
        <x:v>222157682</x:v>
      </x:c>
      <x:c r="I444" s="23">
        <x:v>222157682</x:v>
      </x:c>
      <x:c r="J444" s="23">
        <x:f>H444-I444</x:f>
      </x:c>
      <x:c r="K444" s="22">
        <x:v>1</x:v>
      </x:c>
      <x:c r="L444" s="24" t="s">
        <x:v>548</x:v>
      </x:c>
      <x:c r="M444" s="24"/>
      <x:c r="N444" s="27" t="s">
        <x:v>548</x:v>
      </x:c>
      <x:c r="O444" s="27"/>
      <x:c r="P444" s="26"/>
      <x:c r="Q444" s="27">
        <x:v>1</x:v>
      </x:c>
      <x:c r="R444" s="27"/>
      <x:c r="S444" s="22">
        <x:f>IF(N444="","تکمیل نشده",IF(N444="بدون تفصیلی (ثبت روی خود معین)","OK",IF(N444="ادغام با تفصیلی دیگر",IF(O444="","کلید مقصد خالی است",IF(IFERROR(MATCH(O444*1,$A:$A,0),0)=0,"کلید مقصد در این فهرست نیست",IF(O444*1=A444,"ادغام با خودش","OK"))),IF(Q444="","سطح شناور خالی است",IF(AND(FALSE,OR(Q444=1,Q444=2)),"سطح ۱ و ۲ این معین مال فعالیت و مرکز هزینه است","OK")))))</x:f>
      </x:c>
      <x:c r="T444" s="28"/>
    </x:row>
    <x:row r="445" spans="1:20">
      <x:c r="A445" s="21">
        <x:v>3672</x:v>
      </x:c>
      <x:c r="B445" s="22" t="s">
        <x:v>138</x:v>
      </x:c>
      <x:c r="C445" s="22" t="s">
        <x:v>207</x:v>
      </x:c>
      <x:c r="D445" s="22" t="s">
        <x:v>1081</x:v>
      </x:c>
      <x:c r="E445" s="22" t="s">
        <x:v>1082</x:v>
      </x:c>
      <x:c r="F445" s="22" t="s">
        <x:v>297</x:v>
      </x:c>
      <x:c r="G445" s="22">
        <x:v>2</x:v>
      </x:c>
      <x:c r="H445" s="23">
        <x:v>5226357</x:v>
      </x:c>
      <x:c r="I445" s="23">
        <x:v>5226357</x:v>
      </x:c>
      <x:c r="J445" s="23">
        <x:f>H445-I445</x:f>
      </x:c>
      <x:c r="K445" s="22">
        <x:v>1</x:v>
      </x:c>
      <x:c r="L445" s="24" t="s">
        <x:v>548</x:v>
      </x:c>
      <x:c r="M445" s="24"/>
      <x:c r="N445" s="27" t="s">
        <x:v>548</x:v>
      </x:c>
      <x:c r="O445" s="27"/>
      <x:c r="P445" s="26"/>
      <x:c r="Q445" s="27">
        <x:v>1</x:v>
      </x:c>
      <x:c r="R445" s="27"/>
      <x:c r="S445" s="22">
        <x:f>IF(N445="","تکمیل نشده",IF(N445="بدون تفصیلی (ثبت روی خود معین)","OK",IF(N445="ادغام با تفصیلی دیگر",IF(O445="","کلید مقصد خالی است",IF(IFERROR(MATCH(O445*1,$A:$A,0),0)=0,"کلید مقصد در این فهرست نیست",IF(O445*1=A445,"ادغام با خودش","OK"))),IF(Q445="","سطح شناور خالی است",IF(AND(FALSE,OR(Q445=1,Q445=2)),"سطح ۱ و ۲ این معین مال فعالیت و مرکز هزینه است","OK")))))</x:f>
      </x:c>
      <x:c r="T445" s="28"/>
    </x:row>
    <x:row r="446" spans="1:20">
      <x:c r="A446" s="21">
        <x:v>3196</x:v>
      </x:c>
      <x:c r="B446" s="22" t="s">
        <x:v>142</x:v>
      </x:c>
      <x:c r="C446" s="22" t="s">
        <x:v>237</x:v>
      </x:c>
      <x:c r="D446" s="22" t="s">
        <x:v>553</x:v>
      </x:c>
      <x:c r="E446" s="22" t="s">
        <x:v>1083</x:v>
      </x:c>
      <x:c r="F446" s="22" t="s">
        <x:v>298</x:v>
      </x:c>
      <x:c r="G446" s="22">
        <x:v>5</x:v>
      </x:c>
      <x:c r="H446" s="23">
        <x:v>6950000</x:v>
      </x:c>
      <x:c r="I446" s="23">
        <x:v>6950000</x:v>
      </x:c>
      <x:c r="J446" s="23">
        <x:f>H446-I446</x:f>
      </x:c>
      <x:c r="K446" s="22">
        <x:v>1</x:v>
      </x:c>
      <x:c r="L446" s="24" t="s">
        <x:v>548</x:v>
      </x:c>
      <x:c r="M446" s="24"/>
      <x:c r="N446" s="27" t="s">
        <x:v>548</x:v>
      </x:c>
      <x:c r="O446" s="27"/>
      <x:c r="P446" s="26"/>
      <x:c r="Q446" s="27">
        <x:v>1</x:v>
      </x:c>
      <x:c r="R446" s="27"/>
      <x:c r="S446" s="22">
        <x:f>IF(N446="","تکمیل نشده",IF(N446="بدون تفصیلی (ثبت روی خود معین)","OK",IF(N446="ادغام با تفصیلی دیگر",IF(O446="","کلید مقصد خالی است",IF(IFERROR(MATCH(O446*1,$A:$A,0),0)=0,"کلید مقصد در این فهرست نیست",IF(O446*1=A446,"ادغام با خودش","OK"))),IF(Q446="","سطح شناور خالی است",IF(AND(FALSE,OR(Q446=1,Q446=2)),"سطح ۱ و ۲ این معین مال فعالیت و مرکز هزینه است","OK")))))</x:f>
      </x:c>
      <x:c r="T446" s="28"/>
    </x:row>
    <x:row r="447" spans="1:20">
      <x:c r="A447" s="21">
        <x:v>3200</x:v>
      </x:c>
      <x:c r="B447" s="22" t="s">
        <x:v>142</x:v>
      </x:c>
      <x:c r="C447" s="22" t="s">
        <x:v>237</x:v>
      </x:c>
      <x:c r="D447" s="22" t="s">
        <x:v>927</x:v>
      </x:c>
      <x:c r="E447" s="22" t="s">
        <x:v>1084</x:v>
      </x:c>
      <x:c r="F447" s="22" t="s">
        <x:v>298</x:v>
      </x:c>
      <x:c r="G447" s="22">
        <x:v>5</x:v>
      </x:c>
      <x:c r="H447" s="23">
        <x:v>0</x:v>
      </x:c>
      <x:c r="I447" s="23">
        <x:v>2630000</x:v>
      </x:c>
      <x:c r="J447" s="23">
        <x:f>H447-I447</x:f>
      </x:c>
      <x:c r="K447" s="22">
        <x:v>1</x:v>
      </x:c>
      <x:c r="L447" s="24" t="s">
        <x:v>548</x:v>
      </x:c>
      <x:c r="M447" s="24"/>
      <x:c r="N447" s="27" t="s">
        <x:v>548</x:v>
      </x:c>
      <x:c r="O447" s="27"/>
      <x:c r="P447" s="26"/>
      <x:c r="Q447" s="27">
        <x:v>1</x:v>
      </x:c>
      <x:c r="R447" s="27"/>
      <x:c r="S447" s="22">
        <x:f>IF(N447="","تکمیل نشده",IF(N447="بدون تفصیلی (ثبت روی خود معین)","OK",IF(N447="ادغام با تفصیلی دیگر",IF(O447="","کلید مقصد خالی است",IF(IFERROR(MATCH(O447*1,$A:$A,0),0)=0,"کلید مقصد در این فهرست نیست",IF(O447*1=A447,"ادغام با خودش","OK"))),IF(Q447="","سطح شناور خالی است",IF(AND(FALSE,OR(Q447=1,Q447=2)),"سطح ۱ و ۲ این معین مال فعالیت و مرکز هزینه است","OK")))))</x:f>
      </x:c>
      <x:c r="T447" s="28"/>
    </x:row>
    <x:row r="448" spans="1:20">
      <x:c r="A448" s="21">
        <x:v>3206</x:v>
      </x:c>
      <x:c r="B448" s="22" t="s">
        <x:v>142</x:v>
      </x:c>
      <x:c r="C448" s="22" t="s">
        <x:v>268</x:v>
      </x:c>
      <x:c r="D448" s="22" t="s">
        <x:v>644</x:v>
      </x:c>
      <x:c r="E448" s="22" t="s">
        <x:v>1085</x:v>
      </x:c>
      <x:c r="F448" s="22" t="s">
        <x:v>299</x:v>
      </x:c>
      <x:c r="G448" s="22">
        <x:v>24</x:v>
      </x:c>
      <x:c r="H448" s="23">
        <x:v>653090000</x:v>
      </x:c>
      <x:c r="I448" s="23">
        <x:v>737090000</x:v>
      </x:c>
      <x:c r="J448" s="23">
        <x:f>H448-I448</x:f>
      </x:c>
      <x:c r="K448" s="22">
        <x:v>1</x:v>
      </x:c>
      <x:c r="L448" s="24" t="s">
        <x:v>548</x:v>
      </x:c>
      <x:c r="M448" s="24"/>
      <x:c r="N448" s="27" t="s">
        <x:v>548</x:v>
      </x:c>
      <x:c r="O448" s="27"/>
      <x:c r="P448" s="26"/>
      <x:c r="Q448" s="27">
        <x:v>1</x:v>
      </x:c>
      <x:c r="R448" s="27"/>
      <x:c r="S448" s="22">
        <x:f>IF(N448="","تکمیل نشده",IF(N448="بدون تفصیلی (ثبت روی خود معین)","OK",IF(N448="ادغام با تفصیلی دیگر",IF(O448="","کلید مقصد خالی است",IF(IFERROR(MATCH(O448*1,$A:$A,0),0)=0,"کلید مقصد در این فهرست نیست",IF(O448*1=A448,"ادغام با خودش","OK"))),IF(Q448="","سطح شناور خالی است",IF(AND(FALSE,OR(Q448=1,Q448=2)),"سطح ۱ و ۲ این معین مال فعالیت و مرکز هزینه است","OK")))))</x:f>
      </x:c>
      <x:c r="T448" s="28"/>
    </x:row>
    <x:row r="449" spans="1:20">
      <x:c r="A449" s="21">
        <x:v>3211</x:v>
      </x:c>
      <x:c r="B449" s="22" t="s">
        <x:v>142</x:v>
      </x:c>
      <x:c r="C449" s="22" t="s">
        <x:v>300</x:v>
      </x:c>
      <x:c r="D449" s="22" t="s">
        <x:v>644</x:v>
      </x:c>
      <x:c r="E449" s="22" t="s">
        <x:v>1086</x:v>
      </x:c>
      <x:c r="F449" s="22" t="s">
        <x:v>301</x:v>
      </x:c>
      <x:c r="G449" s="22">
        <x:v>3</x:v>
      </x:c>
      <x:c r="H449" s="23">
        <x:v>226785</x:v>
      </x:c>
      <x:c r="I449" s="23">
        <x:v>226785</x:v>
      </x:c>
      <x:c r="J449" s="23">
        <x:f>H449-I449</x:f>
      </x:c>
      <x:c r="K449" s="22">
        <x:v>1</x:v>
      </x:c>
      <x:c r="L449" s="24" t="s">
        <x:v>548</x:v>
      </x:c>
      <x:c r="M449" s="24"/>
      <x:c r="N449" s="27" t="s">
        <x:v>548</x:v>
      </x:c>
      <x:c r="O449" s="27"/>
      <x:c r="P449" s="26"/>
      <x:c r="Q449" s="27">
        <x:v>1</x:v>
      </x:c>
      <x:c r="R449" s="27"/>
      <x:c r="S449" s="22">
        <x:f>IF(N449="","تکمیل نشده",IF(N449="بدون تفصیلی (ثبت روی خود معین)","OK",IF(N449="ادغام با تفصیلی دیگر",IF(O449="","کلید مقصد خالی است",IF(IFERROR(MATCH(O449*1,$A:$A,0),0)=0,"کلید مقصد در این فهرست نیست",IF(O449*1=A449,"ادغام با خودش","OK"))),IF(Q449="","سطح شناور خالی است",IF(AND(FALSE,OR(Q449=1,Q449=2)),"سطح ۱ و ۲ این معین مال فعالیت و مرکز هزینه است","OK")))))</x:f>
      </x:c>
      <x:c r="T449" s="28"/>
    </x:row>
    <x:row r="450" spans="1:20">
      <x:c r="A450" s="21">
        <x:v>3212</x:v>
      </x:c>
      <x:c r="B450" s="22" t="s">
        <x:v>142</x:v>
      </x:c>
      <x:c r="C450" s="22" t="s">
        <x:v>300</x:v>
      </x:c>
      <x:c r="D450" s="22" t="s">
        <x:v>705</x:v>
      </x:c>
      <x:c r="E450" s="22" t="s">
        <x:v>1087</x:v>
      </x:c>
      <x:c r="F450" s="22" t="s">
        <x:v>301</x:v>
      </x:c>
      <x:c r="G450" s="22">
        <x:v>22</x:v>
      </x:c>
      <x:c r="H450" s="23">
        <x:v>254447480</x:v>
      </x:c>
      <x:c r="I450" s="23">
        <x:v>290301080</x:v>
      </x:c>
      <x:c r="J450" s="23">
        <x:f>H450-I450</x:f>
      </x:c>
      <x:c r="K450" s="22">
        <x:v>1</x:v>
      </x:c>
      <x:c r="L450" s="24" t="s">
        <x:v>548</x:v>
      </x:c>
      <x:c r="M450" s="24"/>
      <x:c r="N450" s="27" t="s">
        <x:v>548</x:v>
      </x:c>
      <x:c r="O450" s="27"/>
      <x:c r="P450" s="26"/>
      <x:c r="Q450" s="27">
        <x:v>1</x:v>
      </x:c>
      <x:c r="R450" s="27"/>
      <x:c r="S450" s="22">
        <x:f>IF(N450="","تکمیل نشده",IF(N450="بدون تفصیلی (ثبت روی خود معین)","OK",IF(N450="ادغام با تفصیلی دیگر",IF(O450="","کلید مقصد خالی است",IF(IFERROR(MATCH(O450*1,$A:$A,0),0)=0,"کلید مقصد در این فهرست نیست",IF(O450*1=A450,"ادغام با خودش","OK"))),IF(Q450="","سطح شناور خالی است",IF(AND(FALSE,OR(Q450=1,Q450=2)),"سطح ۱ و ۲ این معین مال فعالیت و مرکز هزینه است","OK")))))</x:f>
      </x:c>
      <x:c r="T450" s="28"/>
    </x:row>
    <x:row r="451" spans="1:20">
      <x:c r="A451" s="21">
        <x:v>3213</x:v>
      </x:c>
      <x:c r="B451" s="22" t="s">
        <x:v>142</x:v>
      </x:c>
      <x:c r="C451" s="22" t="s">
        <x:v>300</x:v>
      </x:c>
      <x:c r="D451" s="22" t="s">
        <x:v>646</x:v>
      </x:c>
      <x:c r="E451" s="22" t="s">
        <x:v>1088</x:v>
      </x:c>
      <x:c r="F451" s="22" t="s">
        <x:v>301</x:v>
      </x:c>
      <x:c r="G451" s="22">
        <x:v>2</x:v>
      </x:c>
      <x:c r="H451" s="23">
        <x:v>2386000</x:v>
      </x:c>
      <x:c r="I451" s="23">
        <x:v>2386000</x:v>
      </x:c>
      <x:c r="J451" s="23">
        <x:f>H451-I451</x:f>
      </x:c>
      <x:c r="K451" s="22">
        <x:v>1</x:v>
      </x:c>
      <x:c r="L451" s="24" t="s">
        <x:v>548</x:v>
      </x:c>
      <x:c r="M451" s="24"/>
      <x:c r="N451" s="27" t="s">
        <x:v>548</x:v>
      </x:c>
      <x:c r="O451" s="27"/>
      <x:c r="P451" s="26"/>
      <x:c r="Q451" s="27">
        <x:v>1</x:v>
      </x:c>
      <x:c r="R451" s="27"/>
      <x:c r="S451" s="22">
        <x:f>IF(N451="","تکمیل نشده",IF(N451="بدون تفصیلی (ثبت روی خود معین)","OK",IF(N451="ادغام با تفصیلی دیگر",IF(O451="","کلید مقصد خالی است",IF(IFERROR(MATCH(O451*1,$A:$A,0),0)=0,"کلید مقصد در این فهرست نیست",IF(O451*1=A451,"ادغام با خودش","OK"))),IF(Q451="","سطح شناور خالی است",IF(AND(FALSE,OR(Q451=1,Q451=2)),"سطح ۱ و ۲ این معین مال فعالیت و مرکز هزینه است","OK")))))</x:f>
      </x:c>
      <x:c r="T451" s="28"/>
    </x:row>
    <x:row r="452" spans="1:20">
      <x:c r="A452" s="21">
        <x:v>3215</x:v>
      </x:c>
      <x:c r="B452" s="22" t="s">
        <x:v>142</x:v>
      </x:c>
      <x:c r="C452" s="22" t="s">
        <x:v>239</x:v>
      </x:c>
      <x:c r="D452" s="22" t="s">
        <x:v>644</x:v>
      </x:c>
      <x:c r="E452" s="22" t="s">
        <x:v>302</x:v>
      </x:c>
      <x:c r="F452" s="22" t="s">
        <x:v>302</x:v>
      </x:c>
      <x:c r="G452" s="22">
        <x:v>15</x:v>
      </x:c>
      <x:c r="H452" s="23">
        <x:v>32454108</x:v>
      </x:c>
      <x:c r="I452" s="23">
        <x:v>32454108</x:v>
      </x:c>
      <x:c r="J452" s="23">
        <x:f>H452-I452</x:f>
      </x:c>
      <x:c r="K452" s="22">
        <x:v>3</x:v>
      </x:c>
      <x:c r="L452" s="24" t="s">
        <x:v>550</x:v>
      </x:c>
      <x:c r="M452" s="24">
        <x:v>2326</x:v>
      </x:c>
      <x:c r="N452" s="27" t="s">
        <x:v>550</x:v>
      </x:c>
      <x:c r="O452" s="27">
        <x:v>2326</x:v>
      </x:c>
      <x:c r="P452" s="26"/>
      <x:c r="Q452" s="27">
        <x:v>3</x:v>
      </x:c>
      <x:c r="R452" s="27"/>
      <x:c r="S452" s="22">
        <x:f>IF(N452="","تکمیل نشده",IF(N452="بدون تفصیلی (ثبت روی خود معین)","OK",IF(N452="ادغام با تفصیلی دیگر",IF(O452="","کلید مقصد خالی است",IF(IFERROR(MATCH(O452*1,$A:$A,0),0)=0,"کلید مقصد در این فهرست نیست",IF(O452*1=A452,"ادغام با خودش","OK"))),IF(Q452="","سطح شناور خالی است",IF(AND(TRUE,OR(Q452=1,Q452=2)),"سطح ۱ و ۲ این معین مال فعالیت و مرکز هزینه است","OK")))))</x:f>
      </x:c>
      <x:c r="T452" s="28"/>
    </x:row>
    <x:row r="453" spans="1:20">
      <x:c r="A453" s="21">
        <x:v>3222</x:v>
      </x:c>
      <x:c r="B453" s="22" t="s">
        <x:v>142</x:v>
      </x:c>
      <x:c r="C453" s="22" t="s">
        <x:v>270</x:v>
      </x:c>
      <x:c r="D453" s="22" t="s">
        <x:v>644</x:v>
      </x:c>
      <x:c r="E453" s="22" t="s">
        <x:v>1089</x:v>
      </x:c>
      <x:c r="F453" s="22" t="s">
        <x:v>303</x:v>
      </x:c>
      <x:c r="G453" s="22">
        <x:v>129</x:v>
      </x:c>
      <x:c r="H453" s="23">
        <x:v>8221957919</x:v>
      </x:c>
      <x:c r="I453" s="23">
        <x:v>8183741409</x:v>
      </x:c>
      <x:c r="J453" s="23">
        <x:f>H453-I453</x:f>
      </x:c>
      <x:c r="K453" s="22">
        <x:v>1</x:v>
      </x:c>
      <x:c r="L453" s="24" t="s">
        <x:v>548</x:v>
      </x:c>
      <x:c r="M453" s="24"/>
      <x:c r="N453" s="27" t="s">
        <x:v>548</x:v>
      </x:c>
      <x:c r="O453" s="27"/>
      <x:c r="P453" s="26"/>
      <x:c r="Q453" s="27">
        <x:v>3</x:v>
      </x:c>
      <x:c r="R453" s="27"/>
      <x:c r="S453" s="22">
        <x:f>IF(N453="","تکمیل نشده",IF(N453="بدون تفصیلی (ثبت روی خود معین)","OK",IF(N453="ادغام با تفصیلی دیگر",IF(O453="","کلید مقصد خالی است",IF(IFERROR(MATCH(O453*1,$A:$A,0),0)=0,"کلید مقصد در این فهرست نیست",IF(O453*1=A453,"ادغام با خودش","OK"))),IF(Q453="","سطح شناور خالی است",IF(AND(TRUE,OR(Q453=1,Q453=2)),"سطح ۱ و ۲ این معین مال فعالیت و مرکز هزینه است","OK")))))</x:f>
      </x:c>
      <x:c r="T453" s="28"/>
    </x:row>
    <x:row r="454" spans="1:20">
      <x:c r="A454" s="21">
        <x:v>3223</x:v>
      </x:c>
      <x:c r="B454" s="22" t="s">
        <x:v>142</x:v>
      </x:c>
      <x:c r="C454" s="22" t="s">
        <x:v>270</x:v>
      </x:c>
      <x:c r="D454" s="22" t="s">
        <x:v>553</x:v>
      </x:c>
      <x:c r="E454" s="22" t="s">
        <x:v>1090</x:v>
      </x:c>
      <x:c r="F454" s="22" t="s">
        <x:v>303</x:v>
      </x:c>
      <x:c r="G454" s="22">
        <x:v>2</x:v>
      </x:c>
      <x:c r="H454" s="23">
        <x:v>400000</x:v>
      </x:c>
      <x:c r="I454" s="23">
        <x:v>400000</x:v>
      </x:c>
      <x:c r="J454" s="23">
        <x:f>H454-I454</x:f>
      </x:c>
      <x:c r="K454" s="22">
        <x:v>1</x:v>
      </x:c>
      <x:c r="L454" s="24" t="s">
        <x:v>548</x:v>
      </x:c>
      <x:c r="M454" s="24"/>
      <x:c r="N454" s="27" t="s">
        <x:v>548</x:v>
      </x:c>
      <x:c r="O454" s="27"/>
      <x:c r="P454" s="26"/>
      <x:c r="Q454" s="27">
        <x:v>3</x:v>
      </x:c>
      <x:c r="R454" s="27"/>
      <x:c r="S454" s="22">
        <x:f>IF(N454="","تکمیل نشده",IF(N454="بدون تفصیلی (ثبت روی خود معین)","OK",IF(N454="ادغام با تفصیلی دیگر",IF(O454="","کلید مقصد خالی است",IF(IFERROR(MATCH(O454*1,$A:$A,0),0)=0,"کلید مقصد در این فهرست نیست",IF(O454*1=A454,"ادغام با خودش","OK"))),IF(Q454="","سطح شناور خالی است",IF(AND(TRUE,OR(Q454=1,Q454=2)),"سطح ۱ و ۲ این معین مال فعالیت و مرکز هزینه است","OK")))))</x:f>
      </x:c>
      <x:c r="T454" s="28"/>
    </x:row>
    <x:row r="455" spans="1:20">
      <x:c r="A455" s="21">
        <x:v>3224</x:v>
      </x:c>
      <x:c r="B455" s="22" t="s">
        <x:v>142</x:v>
      </x:c>
      <x:c r="C455" s="22" t="s">
        <x:v>270</x:v>
      </x:c>
      <x:c r="D455" s="22" t="s">
        <x:v>705</x:v>
      </x:c>
      <x:c r="E455" s="22" t="s">
        <x:v>1091</x:v>
      </x:c>
      <x:c r="F455" s="22" t="s">
        <x:v>303</x:v>
      </x:c>
      <x:c r="G455" s="22">
        <x:v>13</x:v>
      </x:c>
      <x:c r="H455" s="23">
        <x:v>101258754</x:v>
      </x:c>
      <x:c r="I455" s="23">
        <x:v>184034936</x:v>
      </x:c>
      <x:c r="J455" s="23">
        <x:f>H455-I455</x:f>
      </x:c>
      <x:c r="K455" s="22">
        <x:v>1</x:v>
      </x:c>
      <x:c r="L455" s="24" t="s">
        <x:v>548</x:v>
      </x:c>
      <x:c r="M455" s="24"/>
      <x:c r="N455" s="27" t="s">
        <x:v>548</x:v>
      </x:c>
      <x:c r="O455" s="27"/>
      <x:c r="P455" s="26"/>
      <x:c r="Q455" s="27">
        <x:v>3</x:v>
      </x:c>
      <x:c r="R455" s="27"/>
      <x:c r="S455" s="22">
        <x:f>IF(N455="","تکمیل نشده",IF(N455="بدون تفصیلی (ثبت روی خود معین)","OK",IF(N455="ادغام با تفصیلی دیگر",IF(O455="","کلید مقصد خالی است",IF(IFERROR(MATCH(O455*1,$A:$A,0),0)=0,"کلید مقصد در این فهرست نیست",IF(O455*1=A455,"ادغام با خودش","OK"))),IF(Q455="","سطح شناور خالی است",IF(AND(TRUE,OR(Q455=1,Q455=2)),"سطح ۱ و ۲ این معین مال فعالیت و مرکز هزینه است","OK")))))</x:f>
      </x:c>
      <x:c r="T455" s="28"/>
    </x:row>
    <x:row r="456" spans="1:20">
      <x:c r="A456" s="21">
        <x:v>3225</x:v>
      </x:c>
      <x:c r="B456" s="22" t="s">
        <x:v>142</x:v>
      </x:c>
      <x:c r="C456" s="22" t="s">
        <x:v>270</x:v>
      </x:c>
      <x:c r="D456" s="22" t="s">
        <x:v>646</x:v>
      </x:c>
      <x:c r="E456" s="22" t="s">
        <x:v>1092</x:v>
      </x:c>
      <x:c r="F456" s="22" t="s">
        <x:v>303</x:v>
      </x:c>
      <x:c r="G456" s="22">
        <x:v>1</x:v>
      </x:c>
      <x:c r="H456" s="23">
        <x:v>10000</x:v>
      </x:c>
      <x:c r="I456" s="23">
        <x:v>0</x:v>
      </x:c>
      <x:c r="J456" s="23">
        <x:f>H456-I456</x:f>
      </x:c>
      <x:c r="K456" s="22">
        <x:v>1</x:v>
      </x:c>
      <x:c r="L456" s="24" t="s">
        <x:v>548</x:v>
      </x:c>
      <x:c r="M456" s="24"/>
      <x:c r="N456" s="27" t="s">
        <x:v>548</x:v>
      </x:c>
      <x:c r="O456" s="27"/>
      <x:c r="P456" s="26"/>
      <x:c r="Q456" s="27">
        <x:v>3</x:v>
      </x:c>
      <x:c r="R456" s="27"/>
      <x:c r="S456" s="22">
        <x:f>IF(N456="","تکمیل نشده",IF(N456="بدون تفصیلی (ثبت روی خود معین)","OK",IF(N456="ادغام با تفصیلی دیگر",IF(O456="","کلید مقصد خالی است",IF(IFERROR(MATCH(O456*1,$A:$A,0),0)=0,"کلید مقصد در این فهرست نیست",IF(O456*1=A456,"ادغام با خودش","OK"))),IF(Q456="","سطح شناور خالی است",IF(AND(TRUE,OR(Q456=1,Q456=2)),"سطح ۱ و ۲ این معین مال فعالیت و مرکز هزینه است","OK")))))</x:f>
      </x:c>
      <x:c r="T456" s="28"/>
    </x:row>
    <x:row r="457" spans="1:20">
      <x:c r="A457" s="21">
        <x:v>3226</x:v>
      </x:c>
      <x:c r="B457" s="22" t="s">
        <x:v>142</x:v>
      </x:c>
      <x:c r="C457" s="22" t="s">
        <x:v>270</x:v>
      </x:c>
      <x:c r="D457" s="22" t="s">
        <x:v>648</x:v>
      </x:c>
      <x:c r="E457" s="22" t="s">
        <x:v>1093</x:v>
      </x:c>
      <x:c r="F457" s="22" t="s">
        <x:v>303</x:v>
      </x:c>
      <x:c r="G457" s="22">
        <x:v>2</x:v>
      </x:c>
      <x:c r="H457" s="23">
        <x:v>38113000</x:v>
      </x:c>
      <x:c r="I457" s="23">
        <x:v>38113000</x:v>
      </x:c>
      <x:c r="J457" s="23">
        <x:f>H457-I457</x:f>
      </x:c>
      <x:c r="K457" s="22">
        <x:v>1</x:v>
      </x:c>
      <x:c r="L457" s="24" t="s">
        <x:v>548</x:v>
      </x:c>
      <x:c r="M457" s="24"/>
      <x:c r="N457" s="27" t="s">
        <x:v>548</x:v>
      </x:c>
      <x:c r="O457" s="27"/>
      <x:c r="P457" s="26"/>
      <x:c r="Q457" s="27">
        <x:v>3</x:v>
      </x:c>
      <x:c r="R457" s="27"/>
      <x:c r="S457" s="22">
        <x:f>IF(N457="","تکمیل نشده",IF(N457="بدون تفصیلی (ثبت روی خود معین)","OK",IF(N457="ادغام با تفصیلی دیگر",IF(O457="","کلید مقصد خالی است",IF(IFERROR(MATCH(O457*1,$A:$A,0),0)=0,"کلید مقصد در این فهرست نیست",IF(O457*1=A457,"ادغام با خودش","OK"))),IF(Q457="","سطح شناور خالی است",IF(AND(TRUE,OR(Q457=1,Q457=2)),"سطح ۱ و ۲ این معین مال فعالیت و مرکز هزینه است","OK")))))</x:f>
      </x:c>
      <x:c r="T457" s="28"/>
    </x:row>
    <x:row r="458" spans="1:20">
      <x:c r="A458" s="21">
        <x:v>3231</x:v>
      </x:c>
      <x:c r="B458" s="22" t="s">
        <x:v>142</x:v>
      </x:c>
      <x:c r="C458" s="22" t="s">
        <x:v>270</x:v>
      </x:c>
      <x:c r="D458" s="22" t="s">
        <x:v>729</x:v>
      </x:c>
      <x:c r="E458" s="22" t="s">
        <x:v>1094</x:v>
      </x:c>
      <x:c r="F458" s="22" t="s">
        <x:v>303</x:v>
      </x:c>
      <x:c r="G458" s="22">
        <x:v>9</x:v>
      </x:c>
      <x:c r="H458" s="23">
        <x:v>37100000</x:v>
      </x:c>
      <x:c r="I458" s="23">
        <x:v>49450000</x:v>
      </x:c>
      <x:c r="J458" s="23">
        <x:f>H458-I458</x:f>
      </x:c>
      <x:c r="K458" s="22">
        <x:v>1</x:v>
      </x:c>
      <x:c r="L458" s="24" t="s">
        <x:v>548</x:v>
      </x:c>
      <x:c r="M458" s="24"/>
      <x:c r="N458" s="27" t="s">
        <x:v>548</x:v>
      </x:c>
      <x:c r="O458" s="27"/>
      <x:c r="P458" s="26"/>
      <x:c r="Q458" s="27">
        <x:v>3</x:v>
      </x:c>
      <x:c r="R458" s="27"/>
      <x:c r="S458" s="22">
        <x:f>IF(N458="","تکمیل نشده",IF(N458="بدون تفصیلی (ثبت روی خود معین)","OK",IF(N458="ادغام با تفصیلی دیگر",IF(O458="","کلید مقصد خالی است",IF(IFERROR(MATCH(O458*1,$A:$A,0),0)=0,"کلید مقصد در این فهرست نیست",IF(O458*1=A458,"ادغام با خودش","OK"))),IF(Q458="","سطح شناور خالی است",IF(AND(TRUE,OR(Q458=1,Q458=2)),"سطح ۱ و ۲ این معین مال فعالیت و مرکز هزینه است","OK")))))</x:f>
      </x:c>
      <x:c r="T458" s="28"/>
    </x:row>
    <x:row r="459" spans="1:20">
      <x:c r="A459" s="21">
        <x:v>3240</x:v>
      </x:c>
      <x:c r="B459" s="22" t="s">
        <x:v>142</x:v>
      </x:c>
      <x:c r="C459" s="22" t="s">
        <x:v>272</x:v>
      </x:c>
      <x:c r="D459" s="22" t="s">
        <x:v>705</x:v>
      </x:c>
      <x:c r="E459" s="22" t="s">
        <x:v>1095</x:v>
      </x:c>
      <x:c r="F459" s="22" t="s">
        <x:v>304</x:v>
      </x:c>
      <x:c r="G459" s="22">
        <x:v>2</x:v>
      </x:c>
      <x:c r="H459" s="23">
        <x:v>21749000</x:v>
      </x:c>
      <x:c r="I459" s="23">
        <x:v>21749000</x:v>
      </x:c>
      <x:c r="J459" s="23">
        <x:f>H459-I459</x:f>
      </x:c>
      <x:c r="K459" s="22">
        <x:v>1</x:v>
      </x:c>
      <x:c r="L459" s="24" t="s">
        <x:v>548</x:v>
      </x:c>
      <x:c r="M459" s="24"/>
      <x:c r="N459" s="27" t="s">
        <x:v>548</x:v>
      </x:c>
      <x:c r="O459" s="27"/>
      <x:c r="P459" s="26"/>
      <x:c r="Q459" s="27">
        <x:v>1</x:v>
      </x:c>
      <x:c r="R459" s="27"/>
      <x:c r="S459" s="22">
        <x:f>IF(N459="","تکمیل نشده",IF(N459="بدون تفصیلی (ثبت روی خود معین)","OK",IF(N459="ادغام با تفصیلی دیگر",IF(O459="","کلید مقصد خالی است",IF(IFERROR(MATCH(O459*1,$A:$A,0),0)=0,"کلید مقصد در این فهرست نیست",IF(O459*1=A459,"ادغام با خودش","OK"))),IF(Q459="","سطح شناور خالی است",IF(AND(FALSE,OR(Q459=1,Q459=2)),"سطح ۱ و ۲ این معین مال فعالیت و مرکز هزینه است","OK")))))</x:f>
      </x:c>
      <x:c r="T459" s="28"/>
    </x:row>
    <x:row r="460" spans="1:20">
      <x:c r="A460" s="21">
        <x:v>3241</x:v>
      </x:c>
      <x:c r="B460" s="22" t="s">
        <x:v>142</x:v>
      </x:c>
      <x:c r="C460" s="22" t="s">
        <x:v>272</x:v>
      </x:c>
      <x:c r="D460" s="22" t="s">
        <x:v>646</x:v>
      </x:c>
      <x:c r="E460" s="22" t="s">
        <x:v>1096</x:v>
      </x:c>
      <x:c r="F460" s="22" t="s">
        <x:v>304</x:v>
      </x:c>
      <x:c r="G460" s="22">
        <x:v>6</x:v>
      </x:c>
      <x:c r="H460" s="23">
        <x:v>52815413</x:v>
      </x:c>
      <x:c r="I460" s="23">
        <x:v>52815413</x:v>
      </x:c>
      <x:c r="J460" s="23">
        <x:f>H460-I460</x:f>
      </x:c>
      <x:c r="K460" s="22">
        <x:v>1</x:v>
      </x:c>
      <x:c r="L460" s="24" t="s">
        <x:v>548</x:v>
      </x:c>
      <x:c r="M460" s="24"/>
      <x:c r="N460" s="27" t="s">
        <x:v>548</x:v>
      </x:c>
      <x:c r="O460" s="27"/>
      <x:c r="P460" s="26"/>
      <x:c r="Q460" s="27">
        <x:v>1</x:v>
      </x:c>
      <x:c r="R460" s="27"/>
      <x:c r="S460" s="22">
        <x:f>IF(N460="","تکمیل نشده",IF(N460="بدون تفصیلی (ثبت روی خود معین)","OK",IF(N460="ادغام با تفصیلی دیگر",IF(O460="","کلید مقصد خالی است",IF(IFERROR(MATCH(O460*1,$A:$A,0),0)=0,"کلید مقصد در این فهرست نیست",IF(O460*1=A460,"ادغام با خودش","OK"))),IF(Q460="","سطح شناور خالی است",IF(AND(FALSE,OR(Q460=1,Q460=2)),"سطح ۱ و ۲ این معین مال فعالیت و مرکز هزینه است","OK")))))</x:f>
      </x:c>
      <x:c r="T460" s="28"/>
    </x:row>
    <x:row r="461" spans="1:20">
      <x:c r="A461" s="21">
        <x:v>3243</x:v>
      </x:c>
      <x:c r="B461" s="22" t="s">
        <x:v>142</x:v>
      </x:c>
      <x:c r="C461" s="22" t="s">
        <x:v>305</x:v>
      </x:c>
      <x:c r="D461" s="22" t="s">
        <x:v>553</x:v>
      </x:c>
      <x:c r="E461" s="22" t="s">
        <x:v>1097</x:v>
      </x:c>
      <x:c r="F461" s="22" t="s">
        <x:v>306</x:v>
      </x:c>
      <x:c r="G461" s="22">
        <x:v>5</x:v>
      </x:c>
      <x:c r="H461" s="23">
        <x:v>25650000</x:v>
      </x:c>
      <x:c r="I461" s="23">
        <x:v>25650000</x:v>
      </x:c>
      <x:c r="J461" s="23">
        <x:f>H461-I461</x:f>
      </x:c>
      <x:c r="K461" s="22">
        <x:v>1</x:v>
      </x:c>
      <x:c r="L461" s="24" t="s">
        <x:v>548</x:v>
      </x:c>
      <x:c r="M461" s="24"/>
      <x:c r="N461" s="27" t="s">
        <x:v>548</x:v>
      </x:c>
      <x:c r="O461" s="27"/>
      <x:c r="P461" s="26"/>
      <x:c r="Q461" s="27">
        <x:v>1</x:v>
      </x:c>
      <x:c r="R461" s="27"/>
      <x:c r="S461" s="22">
        <x:f>IF(N461="","تکمیل نشده",IF(N461="بدون تفصیلی (ثبت روی خود معین)","OK",IF(N461="ادغام با تفصیلی دیگر",IF(O461="","کلید مقصد خالی است",IF(IFERROR(MATCH(O461*1,$A:$A,0),0)=0,"کلید مقصد در این فهرست نیست",IF(O461*1=A461,"ادغام با خودش","OK"))),IF(Q461="","سطح شناور خالی است",IF(AND(FALSE,OR(Q461=1,Q461=2)),"سطح ۱ و ۲ این معین مال فعالیت و مرکز هزینه است","OK")))))</x:f>
      </x:c>
      <x:c r="T461" s="28"/>
    </x:row>
    <x:row r="462" spans="1:20">
      <x:c r="A462" s="21">
        <x:v>3249</x:v>
      </x:c>
      <x:c r="B462" s="22" t="s">
        <x:v>142</x:v>
      </x:c>
      <x:c r="C462" s="22" t="s">
        <x:v>192</x:v>
      </x:c>
      <x:c r="D462" s="22" t="s">
        <x:v>646</x:v>
      </x:c>
      <x:c r="E462" s="22" t="s">
        <x:v>1098</x:v>
      </x:c>
      <x:c r="F462" s="22" t="s">
        <x:v>307</x:v>
      </x:c>
      <x:c r="G462" s="22">
        <x:v>23</x:v>
      </x:c>
      <x:c r="H462" s="23">
        <x:v>54171180</x:v>
      </x:c>
      <x:c r="I462" s="23">
        <x:v>55021180</x:v>
      </x:c>
      <x:c r="J462" s="23">
        <x:f>H462-I462</x:f>
      </x:c>
      <x:c r="K462" s="22">
        <x:v>1</x:v>
      </x:c>
      <x:c r="L462" s="24" t="s">
        <x:v>548</x:v>
      </x:c>
      <x:c r="M462" s="24"/>
      <x:c r="N462" s="27" t="s">
        <x:v>548</x:v>
      </x:c>
      <x:c r="O462" s="27"/>
      <x:c r="P462" s="26"/>
      <x:c r="Q462" s="27">
        <x:v>1</x:v>
      </x:c>
      <x:c r="R462" s="27"/>
      <x:c r="S462" s="22">
        <x:f>IF(N462="","تکمیل نشده",IF(N462="بدون تفصیلی (ثبت روی خود معین)","OK",IF(N462="ادغام با تفصیلی دیگر",IF(O462="","کلید مقصد خالی است",IF(IFERROR(MATCH(O462*1,$A:$A,0),0)=0,"کلید مقصد در این فهرست نیست",IF(O462*1=A462,"ادغام با خودش","OK"))),IF(Q462="","سطح شناور خالی است",IF(AND(FALSE,OR(Q462=1,Q462=2)),"سطح ۱ و ۲ این معین مال فعالیت و مرکز هزینه است","OK")))))</x:f>
      </x:c>
      <x:c r="T462" s="28"/>
    </x:row>
    <x:row r="463" spans="1:20">
      <x:c r="A463" s="21">
        <x:v>3250</x:v>
      </x:c>
      <x:c r="B463" s="22" t="s">
        <x:v>142</x:v>
      </x:c>
      <x:c r="C463" s="22" t="s">
        <x:v>192</x:v>
      </x:c>
      <x:c r="D463" s="22" t="s">
        <x:v>648</x:v>
      </x:c>
      <x:c r="E463" s="22" t="s">
        <x:v>1099</x:v>
      </x:c>
      <x:c r="F463" s="22" t="s">
        <x:v>307</x:v>
      </x:c>
      <x:c r="G463" s="22">
        <x:v>12</x:v>
      </x:c>
      <x:c r="H463" s="23">
        <x:v>144820000</x:v>
      </x:c>
      <x:c r="I463" s="23">
        <x:v>178240000</x:v>
      </x:c>
      <x:c r="J463" s="23">
        <x:f>H463-I463</x:f>
      </x:c>
      <x:c r="K463" s="22">
        <x:v>1</x:v>
      </x:c>
      <x:c r="L463" s="24" t="s">
        <x:v>548</x:v>
      </x:c>
      <x:c r="M463" s="24"/>
      <x:c r="N463" s="27" t="s">
        <x:v>548</x:v>
      </x:c>
      <x:c r="O463" s="27"/>
      <x:c r="P463" s="26"/>
      <x:c r="Q463" s="27">
        <x:v>1</x:v>
      </x:c>
      <x:c r="R463" s="27"/>
      <x:c r="S463" s="22">
        <x:f>IF(N463="","تکمیل نشده",IF(N463="بدون تفصیلی (ثبت روی خود معین)","OK",IF(N463="ادغام با تفصیلی دیگر",IF(O463="","کلید مقصد خالی است",IF(IFERROR(MATCH(O463*1,$A:$A,0),0)=0,"کلید مقصد در این فهرست نیست",IF(O463*1=A463,"ادغام با خودش","OK"))),IF(Q463="","سطح شناور خالی است",IF(AND(FALSE,OR(Q463=1,Q463=2)),"سطح ۱ و ۲ این معین مال فعالیت و مرکز هزینه است","OK")))))</x:f>
      </x:c>
      <x:c r="T463" s="28"/>
    </x:row>
    <x:row r="464" spans="1:20">
      <x:c r="A464" s="21">
        <x:v>3252</x:v>
      </x:c>
      <x:c r="B464" s="22" t="s">
        <x:v>142</x:v>
      </x:c>
      <x:c r="C464" s="22" t="s">
        <x:v>202</x:v>
      </x:c>
      <x:c r="D464" s="22" t="s">
        <x:v>644</x:v>
      </x:c>
      <x:c r="E464" s="22" t="s">
        <x:v>1100</x:v>
      </x:c>
      <x:c r="F464" s="22" t="s">
        <x:v>308</x:v>
      </x:c>
      <x:c r="G464" s="22">
        <x:v>2</x:v>
      </x:c>
      <x:c r="H464" s="23">
        <x:v>2400000</x:v>
      </x:c>
      <x:c r="I464" s="23">
        <x:v>2400000</x:v>
      </x:c>
      <x:c r="J464" s="23">
        <x:f>H464-I464</x:f>
      </x:c>
      <x:c r="K464" s="22">
        <x:v>1</x:v>
      </x:c>
      <x:c r="L464" s="24" t="s">
        <x:v>548</x:v>
      </x:c>
      <x:c r="M464" s="24"/>
      <x:c r="N464" s="27" t="s">
        <x:v>548</x:v>
      </x:c>
      <x:c r="O464" s="27"/>
      <x:c r="P464" s="26"/>
      <x:c r="Q464" s="27">
        <x:v>3</x:v>
      </x:c>
      <x:c r="R464" s="27"/>
      <x:c r="S464" s="22">
        <x:f>IF(N464="","تکمیل نشده",IF(N464="بدون تفصیلی (ثبت روی خود معین)","OK",IF(N464="ادغام با تفصیلی دیگر",IF(O464="","کلید مقصد خالی است",IF(IFERROR(MATCH(O464*1,$A:$A,0),0)=0,"کلید مقصد در این فهرست نیست",IF(O464*1=A464,"ادغام با خودش","OK"))),IF(Q464="","سطح شناور خالی است",IF(AND(TRUE,OR(Q464=1,Q464=2)),"سطح ۱ و ۲ این معین مال فعالیت و مرکز هزینه است","OK")))))</x:f>
      </x:c>
      <x:c r="T464" s="28"/>
    </x:row>
    <x:row r="465" spans="1:20">
      <x:c r="A465" s="21">
        <x:v>3254</x:v>
      </x:c>
      <x:c r="B465" s="22" t="s">
        <x:v>142</x:v>
      </x:c>
      <x:c r="C465" s="22" t="s">
        <x:v>202</x:v>
      </x:c>
      <x:c r="D465" s="22" t="s">
        <x:v>705</x:v>
      </x:c>
      <x:c r="E465" s="22" t="s">
        <x:v>1101</x:v>
      </x:c>
      <x:c r="F465" s="22" t="s">
        <x:v>308</x:v>
      </x:c>
      <x:c r="G465" s="22">
        <x:v>2</x:v>
      </x:c>
      <x:c r="H465" s="23">
        <x:v>950000</x:v>
      </x:c>
      <x:c r="I465" s="23">
        <x:v>950000</x:v>
      </x:c>
      <x:c r="J465" s="23">
        <x:f>H465-I465</x:f>
      </x:c>
      <x:c r="K465" s="22">
        <x:v>1</x:v>
      </x:c>
      <x:c r="L465" s="24" t="s">
        <x:v>548</x:v>
      </x:c>
      <x:c r="M465" s="24"/>
      <x:c r="N465" s="27" t="s">
        <x:v>548</x:v>
      </x:c>
      <x:c r="O465" s="27"/>
      <x:c r="P465" s="26"/>
      <x:c r="Q465" s="27">
        <x:v>3</x:v>
      </x:c>
      <x:c r="R465" s="27"/>
      <x:c r="S465" s="22">
        <x:f>IF(N465="","تکمیل نشده",IF(N465="بدون تفصیلی (ثبت روی خود معین)","OK",IF(N465="ادغام با تفصیلی دیگر",IF(O465="","کلید مقصد خالی است",IF(IFERROR(MATCH(O465*1,$A:$A,0),0)=0,"کلید مقصد در این فهرست نیست",IF(O465*1=A465,"ادغام با خودش","OK"))),IF(Q465="","سطح شناور خالی است",IF(AND(TRUE,OR(Q465=1,Q465=2)),"سطح ۱ و ۲ این معین مال فعالیت و مرکز هزینه است","OK")))))</x:f>
      </x:c>
      <x:c r="T465" s="28"/>
    </x:row>
    <x:row r="466" spans="1:20">
      <x:c r="A466" s="21">
        <x:v>3260</x:v>
      </x:c>
      <x:c r="B466" s="22" t="s">
        <x:v>142</x:v>
      </x:c>
      <x:c r="C466" s="22" t="s">
        <x:v>14</x:v>
      </x:c>
      <x:c r="D466" s="22" t="s">
        <x:v>648</x:v>
      </x:c>
      <x:c r="E466" s="22" t="s">
        <x:v>1102</x:v>
      </x:c>
      <x:c r="F466" s="22" t="s">
        <x:v>309</x:v>
      </x:c>
      <x:c r="G466" s="22">
        <x:v>5</x:v>
      </x:c>
      <x:c r="H466" s="23">
        <x:v>104640477</x:v>
      </x:c>
      <x:c r="I466" s="23">
        <x:v>104640477</x:v>
      </x:c>
      <x:c r="J466" s="23">
        <x:f>H466-I466</x:f>
      </x:c>
      <x:c r="K466" s="22">
        <x:v>1</x:v>
      </x:c>
      <x:c r="L466" s="24" t="s">
        <x:v>548</x:v>
      </x:c>
      <x:c r="M466" s="24"/>
      <x:c r="N466" s="27" t="s">
        <x:v>548</x:v>
      </x:c>
      <x:c r="O466" s="27"/>
      <x:c r="P466" s="26"/>
      <x:c r="Q466" s="27">
        <x:v>3</x:v>
      </x:c>
      <x:c r="R466" s="27"/>
      <x:c r="S466" s="22">
        <x:f>IF(N466="","تکمیل نشده",IF(N466="بدون تفصیلی (ثبت روی خود معین)","OK",IF(N466="ادغام با تفصیلی دیگر",IF(O466="","کلید مقصد خالی است",IF(IFERROR(MATCH(O466*1,$A:$A,0),0)=0,"کلید مقصد در این فهرست نیست",IF(O466*1=A466,"ادغام با خودش","OK"))),IF(Q466="","سطح شناور خالی است",IF(AND(TRUE,OR(Q466=1,Q466=2)),"سطح ۱ و ۲ این معین مال فعالیت و مرکز هزینه است","OK")))))</x:f>
      </x:c>
      <x:c r="T466" s="28"/>
    </x:row>
    <x:row r="467" spans="1:20">
      <x:c r="A467" s="21">
        <x:v>3261</x:v>
      </x:c>
      <x:c r="B467" s="22" t="s">
        <x:v>142</x:v>
      </x:c>
      <x:c r="C467" s="22" t="s">
        <x:v>14</x:v>
      </x:c>
      <x:c r="D467" s="22" t="s">
        <x:v>650</x:v>
      </x:c>
      <x:c r="E467" s="22" t="s">
        <x:v>1103</x:v>
      </x:c>
      <x:c r="F467" s="22" t="s">
        <x:v>309</x:v>
      </x:c>
      <x:c r="G467" s="22">
        <x:v>3</x:v>
      </x:c>
      <x:c r="H467" s="23">
        <x:v>2808500</x:v>
      </x:c>
      <x:c r="I467" s="23">
        <x:v>2808500</x:v>
      </x:c>
      <x:c r="J467" s="23">
        <x:f>H467-I467</x:f>
      </x:c>
      <x:c r="K467" s="22">
        <x:v>1</x:v>
      </x:c>
      <x:c r="L467" s="24" t="s">
        <x:v>548</x:v>
      </x:c>
      <x:c r="M467" s="24"/>
      <x:c r="N467" s="27" t="s">
        <x:v>548</x:v>
      </x:c>
      <x:c r="O467" s="27"/>
      <x:c r="P467" s="26"/>
      <x:c r="Q467" s="27">
        <x:v>3</x:v>
      </x:c>
      <x:c r="R467" s="27"/>
      <x:c r="S467" s="22">
        <x:f>IF(N467="","تکمیل نشده",IF(N467="بدون تفصیلی (ثبت روی خود معین)","OK",IF(N467="ادغام با تفصیلی دیگر",IF(O467="","کلید مقصد خالی است",IF(IFERROR(MATCH(O467*1,$A:$A,0),0)=0,"کلید مقصد در این فهرست نیست",IF(O467*1=A467,"ادغام با خودش","OK"))),IF(Q467="","سطح شناور خالی است",IF(AND(TRUE,OR(Q467=1,Q467=2)),"سطح ۱ و ۲ این معین مال فعالیت و مرکز هزینه است","OK")))))</x:f>
      </x:c>
      <x:c r="T467" s="28"/>
    </x:row>
    <x:row r="468" spans="1:20">
      <x:c r="A468" s="21">
        <x:v>3271</x:v>
      </x:c>
      <x:c r="B468" s="22" t="s">
        <x:v>142</x:v>
      </x:c>
      <x:c r="C468" s="22" t="s">
        <x:v>18</x:v>
      </x:c>
      <x:c r="D468" s="22" t="s">
        <x:v>644</x:v>
      </x:c>
      <x:c r="E468" s="22" t="s">
        <x:v>1104</x:v>
      </x:c>
      <x:c r="F468" s="22" t="s">
        <x:v>310</x:v>
      </x:c>
      <x:c r="G468" s="22">
        <x:v>13</x:v>
      </x:c>
      <x:c r="H468" s="23">
        <x:v>6518626</x:v>
      </x:c>
      <x:c r="I468" s="23">
        <x:v>6861319</x:v>
      </x:c>
      <x:c r="J468" s="23">
        <x:f>H468-I468</x:f>
      </x:c>
      <x:c r="K468" s="22">
        <x:v>1</x:v>
      </x:c>
      <x:c r="L468" s="24" t="s">
        <x:v>548</x:v>
      </x:c>
      <x:c r="M468" s="24"/>
      <x:c r="N468" s="27" t="s">
        <x:v>548</x:v>
      </x:c>
      <x:c r="O468" s="27"/>
      <x:c r="P468" s="26"/>
      <x:c r="Q468" s="27">
        <x:v>3</x:v>
      </x:c>
      <x:c r="R468" s="27"/>
      <x:c r="S468" s="22">
        <x:f>IF(N468="","تکمیل نشده",IF(N468="بدون تفصیلی (ثبت روی خود معین)","OK",IF(N468="ادغام با تفصیلی دیگر",IF(O468="","کلید مقصد خالی است",IF(IFERROR(MATCH(O468*1,$A:$A,0),0)=0,"کلید مقصد در این فهرست نیست",IF(O468*1=A468,"ادغام با خودش","OK"))),IF(Q468="","سطح شناور خالی است",IF(AND(TRUE,OR(Q468=1,Q468=2)),"سطح ۱ و ۲ این معین مال فعالیت و مرکز هزینه است","OK")))))</x:f>
      </x:c>
      <x:c r="T468" s="28"/>
    </x:row>
    <x:row r="469" spans="1:20">
      <x:c r="A469" s="21">
        <x:v>3275</x:v>
      </x:c>
      <x:c r="B469" s="22" t="s">
        <x:v>142</x:v>
      </x:c>
      <x:c r="C469" s="22" t="s">
        <x:v>21</x:v>
      </x:c>
      <x:c r="D469" s="22" t="s">
        <x:v>644</x:v>
      </x:c>
      <x:c r="E469" s="22" t="s">
        <x:v>1105</x:v>
      </x:c>
      <x:c r="F469" s="22" t="s">
        <x:v>311</x:v>
      </x:c>
      <x:c r="G469" s="22">
        <x:v>10</x:v>
      </x:c>
      <x:c r="H469" s="23">
        <x:v>2465491500</x:v>
      </x:c>
      <x:c r="I469" s="23">
        <x:v>3287322000</x:v>
      </x:c>
      <x:c r="J469" s="23">
        <x:f>H469-I469</x:f>
      </x:c>
      <x:c r="K469" s="22">
        <x:v>1</x:v>
      </x:c>
      <x:c r="L469" s="24" t="s">
        <x:v>548</x:v>
      </x:c>
      <x:c r="M469" s="24"/>
      <x:c r="N469" s="27" t="s">
        <x:v>548</x:v>
      </x:c>
      <x:c r="O469" s="27"/>
      <x:c r="P469" s="26"/>
      <x:c r="Q469" s="27">
        <x:v>1</x:v>
      </x:c>
      <x:c r="R469" s="27"/>
      <x:c r="S469" s="22">
        <x:f>IF(N469="","تکمیل نشده",IF(N469="بدون تفصیلی (ثبت روی خود معین)","OK",IF(N469="ادغام با تفصیلی دیگر",IF(O469="","کلید مقصد خالی است",IF(IFERROR(MATCH(O469*1,$A:$A,0),0)=0,"کلید مقصد در این فهرست نیست",IF(O469*1=A469,"ادغام با خودش","OK"))),IF(Q469="","سطح شناور خالی است",IF(AND(FALSE,OR(Q469=1,Q469=2)),"سطح ۱ و ۲ این معین مال فعالیت و مرکز هزینه است","OK")))))</x:f>
      </x:c>
      <x:c r="T469" s="28"/>
    </x:row>
    <x:row r="470" spans="1:20">
      <x:c r="A470" s="21">
        <x:v>3767</x:v>
      </x:c>
      <x:c r="B470" s="22" t="s">
        <x:v>142</x:v>
      </x:c>
      <x:c r="C470" s="22" t="s">
        <x:v>21</x:v>
      </x:c>
      <x:c r="D470" s="22" t="s">
        <x:v>705</x:v>
      </x:c>
      <x:c r="E470" s="22" t="s">
        <x:v>1106</x:v>
      </x:c>
      <x:c r="F470" s="22" t="s">
        <x:v>311</x:v>
      </x:c>
      <x:c r="G470" s="22">
        <x:v>4</x:v>
      </x:c>
      <x:c r="H470" s="23">
        <x:v>388617250</x:v>
      </x:c>
      <x:c r="I470" s="23">
        <x:v>388617250</x:v>
      </x:c>
      <x:c r="J470" s="23">
        <x:f>H470-I470</x:f>
      </x:c>
      <x:c r="K470" s="22">
        <x:v>1</x:v>
      </x:c>
      <x:c r="L470" s="24" t="s">
        <x:v>548</x:v>
      </x:c>
      <x:c r="M470" s="24"/>
      <x:c r="N470" s="27" t="s">
        <x:v>548</x:v>
      </x:c>
      <x:c r="O470" s="27"/>
      <x:c r="P470" s="26"/>
      <x:c r="Q470" s="27">
        <x:v>1</x:v>
      </x:c>
      <x:c r="R470" s="27"/>
      <x:c r="S470" s="22">
        <x:f>IF(N470="","تکمیل نشده",IF(N470="بدون تفصیلی (ثبت روی خود معین)","OK",IF(N470="ادغام با تفصیلی دیگر",IF(O470="","کلید مقصد خالی است",IF(IFERROR(MATCH(O470*1,$A:$A,0),0)=0,"کلید مقصد در این فهرست نیست",IF(O470*1=A470,"ادغام با خودش","OK"))),IF(Q470="","سطح شناور خالی است",IF(AND(FALSE,OR(Q470=1,Q470=2)),"سطح ۱ و ۲ این معین مال فعالیت و مرکز هزینه است","OK")))))</x:f>
      </x:c>
      <x:c r="T470" s="28"/>
    </x:row>
    <x:row r="471" spans="1:20">
      <x:c r="A471" s="21">
        <x:v>3870</x:v>
      </x:c>
      <x:c r="B471" s="22" t="s">
        <x:v>142</x:v>
      </x:c>
      <x:c r="C471" s="22" t="s">
        <x:v>21</x:v>
      </x:c>
      <x:c r="D471" s="22" t="s">
        <x:v>646</x:v>
      </x:c>
      <x:c r="E471" s="22" t="s">
        <x:v>1107</x:v>
      </x:c>
      <x:c r="F471" s="22" t="s">
        <x:v>311</x:v>
      </x:c>
      <x:c r="G471" s="22">
        <x:v>2</x:v>
      </x:c>
      <x:c r="H471" s="23">
        <x:v>175000000</x:v>
      </x:c>
      <x:c r="I471" s="23">
        <x:v>175000000</x:v>
      </x:c>
      <x:c r="J471" s="23">
        <x:f>H471-I471</x:f>
      </x:c>
      <x:c r="K471" s="22">
        <x:v>2</x:v>
      </x:c>
      <x:c r="L471" s="24" t="s">
        <x:v>548</x:v>
      </x:c>
      <x:c r="M471" s="24"/>
      <x:c r="N471" s="27" t="s">
        <x:v>548</x:v>
      </x:c>
      <x:c r="O471" s="27"/>
      <x:c r="P471" s="26"/>
      <x:c r="Q471" s="27">
        <x:v>1</x:v>
      </x:c>
      <x:c r="R471" s="27"/>
      <x:c r="S471" s="22">
        <x:f>IF(N471="","تکمیل نشده",IF(N471="بدون تفصیلی (ثبت روی خود معین)","OK",IF(N471="ادغام با تفصیلی دیگر",IF(O471="","کلید مقصد خالی است",IF(IFERROR(MATCH(O471*1,$A:$A,0),0)=0,"کلید مقصد در این فهرست نیست",IF(O471*1=A471,"ادغام با خودش","OK"))),IF(Q471="","سطح شناور خالی است",IF(AND(FALSE,OR(Q471=1,Q471=2)),"سطح ۱ و ۲ این معین مال فعالیت و مرکز هزینه است","OK")))))</x:f>
      </x:c>
      <x:c r="T471" s="28"/>
    </x:row>
    <x:row r="472" spans="1:20">
      <x:c r="A472" s="21">
        <x:v>3874</x:v>
      </x:c>
      <x:c r="B472" s="22" t="s">
        <x:v>142</x:v>
      </x:c>
      <x:c r="C472" s="22" t="s">
        <x:v>21</x:v>
      </x:c>
      <x:c r="D472" s="22" t="s">
        <x:v>1108</x:v>
      </x:c>
      <x:c r="E472" s="22" t="s">
        <x:v>1107</x:v>
      </x:c>
      <x:c r="F472" s="22" t="s">
        <x:v>311</x:v>
      </x:c>
      <x:c r="G472" s="22">
        <x:v>4</x:v>
      </x:c>
      <x:c r="H472" s="23">
        <x:v>105803812</x:v>
      </x:c>
      <x:c r="I472" s="23">
        <x:v>105803812</x:v>
      </x:c>
      <x:c r="J472" s="23">
        <x:f>H472-I472</x:f>
      </x:c>
      <x:c r="K472" s="22">
        <x:v>2</x:v>
      </x:c>
      <x:c r="L472" s="24" t="s">
        <x:v>550</x:v>
      </x:c>
      <x:c r="M472" s="24">
        <x:v>3870</x:v>
      </x:c>
      <x:c r="N472" s="27" t="s">
        <x:v>550</x:v>
      </x:c>
      <x:c r="O472" s="27">
        <x:v>3870</x:v>
      </x:c>
      <x:c r="P472" s="26"/>
      <x:c r="Q472" s="27">
        <x:v>1</x:v>
      </x:c>
      <x:c r="R472" s="27"/>
      <x:c r="S472" s="22">
        <x:f>IF(N472="","تکمیل نشده",IF(N472="بدون تفصیلی (ثبت روی خود معین)","OK",IF(N472="ادغام با تفصیلی دیگر",IF(O472="","کلید مقصد خالی است",IF(IFERROR(MATCH(O472*1,$A:$A,0),0)=0,"کلید مقصد در این فهرست نیست",IF(O472*1=A472,"ادغام با خودش","OK"))),IF(Q472="","سطح شناور خالی است",IF(AND(FALSE,OR(Q472=1,Q472=2)),"سطح ۱ و ۲ این معین مال فعالیت و مرکز هزینه است","OK")))))</x:f>
      </x:c>
      <x:c r="T472" s="28"/>
    </x:row>
    <x:row r="473" spans="1:20">
      <x:c r="A473" s="21">
        <x:v>3278</x:v>
      </x:c>
      <x:c r="B473" s="22" t="s">
        <x:v>142</x:v>
      </x:c>
      <x:c r="C473" s="22" t="s">
        <x:v>24</x:v>
      </x:c>
      <x:c r="D473" s="22" t="s">
        <x:v>644</x:v>
      </x:c>
      <x:c r="E473" s="22" t="s">
        <x:v>762</x:v>
      </x:c>
      <x:c r="F473" s="22" t="s">
        <x:v>312</x:v>
      </x:c>
      <x:c r="G473" s="22">
        <x:v>7</x:v>
      </x:c>
      <x:c r="H473" s="23">
        <x:v>31683776</x:v>
      </x:c>
      <x:c r="I473" s="23">
        <x:v>31683776</x:v>
      </x:c>
      <x:c r="J473" s="23">
        <x:f>H473-I473</x:f>
      </x:c>
      <x:c r="K473" s="22">
        <x:v>3</x:v>
      </x:c>
      <x:c r="L473" s="24" t="s">
        <x:v>550</x:v>
      </x:c>
      <x:c r="M473" s="24">
        <x:v>2327</x:v>
      </x:c>
      <x:c r="N473" s="27" t="s">
        <x:v>550</x:v>
      </x:c>
      <x:c r="O473" s="27">
        <x:v>2327</x:v>
      </x:c>
      <x:c r="P473" s="26"/>
      <x:c r="Q473" s="27">
        <x:v>3</x:v>
      </x:c>
      <x:c r="R473" s="27"/>
      <x:c r="S473" s="22">
        <x:f>IF(N473="","تکمیل نشده",IF(N473="بدون تفصیلی (ثبت روی خود معین)","OK",IF(N473="ادغام با تفصیلی دیگر",IF(O473="","کلید مقصد خالی است",IF(IFERROR(MATCH(O473*1,$A:$A,0),0)=0,"کلید مقصد در این فهرست نیست",IF(O473*1=A473,"ادغام با خودش","OK"))),IF(Q473="","سطح شناور خالی است",IF(AND(TRUE,OR(Q473=1,Q473=2)),"سطح ۱ و ۲ این معین مال فعالیت و مرکز هزینه است","OK")))))</x:f>
      </x:c>
      <x:c r="T473" s="28"/>
    </x:row>
    <x:row r="474" spans="1:20">
      <x:c r="A474" s="21">
        <x:v>3283</x:v>
      </x:c>
      <x:c r="B474" s="22" t="s">
        <x:v>142</x:v>
      </x:c>
      <x:c r="C474" s="22" t="s">
        <x:v>27</x:v>
      </x:c>
      <x:c r="D474" s="22" t="s">
        <x:v>644</x:v>
      </x:c>
      <x:c r="E474" s="22" t="s">
        <x:v>1109</x:v>
      </x:c>
      <x:c r="F474" s="22" t="s">
        <x:v>313</x:v>
      </x:c>
      <x:c r="G474" s="22">
        <x:v>13</x:v>
      </x:c>
      <x:c r="H474" s="23">
        <x:v>346901945</x:v>
      </x:c>
      <x:c r="I474" s="23">
        <x:v>433004145</x:v>
      </x:c>
      <x:c r="J474" s="23">
        <x:f>H474-I474</x:f>
      </x:c>
      <x:c r="K474" s="22">
        <x:v>1</x:v>
      </x:c>
      <x:c r="L474" s="24" t="s">
        <x:v>548</x:v>
      </x:c>
      <x:c r="M474" s="24"/>
      <x:c r="N474" s="27" t="s">
        <x:v>548</x:v>
      </x:c>
      <x:c r="O474" s="27"/>
      <x:c r="P474" s="26"/>
      <x:c r="Q474" s="27">
        <x:v>3</x:v>
      </x:c>
      <x:c r="R474" s="27"/>
      <x:c r="S474" s="22">
        <x:f>IF(N474="","تکمیل نشده",IF(N474="بدون تفصیلی (ثبت روی خود معین)","OK",IF(N474="ادغام با تفصیلی دیگر",IF(O474="","کلید مقصد خالی است",IF(IFERROR(MATCH(O474*1,$A:$A,0),0)=0,"کلید مقصد در این فهرست نیست",IF(O474*1=A474,"ادغام با خودش","OK"))),IF(Q474="","سطح شناور خالی است",IF(AND(TRUE,OR(Q474=1,Q474=2)),"سطح ۱ و ۲ این معین مال فعالیت و مرکز هزینه است","OK")))))</x:f>
      </x:c>
      <x:c r="T474" s="28"/>
    </x:row>
    <x:row r="475" spans="1:20">
      <x:c r="A475" s="21">
        <x:v>3285</x:v>
      </x:c>
      <x:c r="B475" s="22" t="s">
        <x:v>142</x:v>
      </x:c>
      <x:c r="C475" s="22" t="s">
        <x:v>245</x:v>
      </x:c>
      <x:c r="D475" s="22" t="s">
        <x:v>644</x:v>
      </x:c>
      <x:c r="E475" s="22" t="s">
        <x:v>1110</x:v>
      </x:c>
      <x:c r="F475" s="22" t="s">
        <x:v>314</x:v>
      </x:c>
      <x:c r="G475" s="22">
        <x:v>9</x:v>
      </x:c>
      <x:c r="H475" s="23">
        <x:v>974733769</x:v>
      </x:c>
      <x:c r="I475" s="23">
        <x:v>1541779345</x:v>
      </x:c>
      <x:c r="J475" s="23">
        <x:f>H475-I475</x:f>
      </x:c>
      <x:c r="K475" s="22">
        <x:v>1</x:v>
      </x:c>
      <x:c r="L475" s="24" t="s">
        <x:v>548</x:v>
      </x:c>
      <x:c r="M475" s="24"/>
      <x:c r="N475" s="27" t="s">
        <x:v>548</x:v>
      </x:c>
      <x:c r="O475" s="27"/>
      <x:c r="P475" s="26"/>
      <x:c r="Q475" s="27">
        <x:v>3</x:v>
      </x:c>
      <x:c r="R475" s="27"/>
      <x:c r="S475" s="22">
        <x:f>IF(N475="","تکمیل نشده",IF(N475="بدون تفصیلی (ثبت روی خود معین)","OK",IF(N475="ادغام با تفصیلی دیگر",IF(O475="","کلید مقصد خالی است",IF(IFERROR(MATCH(O475*1,$A:$A,0),0)=0,"کلید مقصد در این فهرست نیست",IF(O475*1=A475,"ادغام با خودش","OK"))),IF(Q475="","سطح شناور خالی است",IF(AND(TRUE,OR(Q475=1,Q475=2)),"سطح ۱ و ۲ این معین مال فعالیت و مرکز هزینه است","OK")))))</x:f>
      </x:c>
      <x:c r="T475" s="28"/>
    </x:row>
    <x:row r="476" spans="1:20">
      <x:c r="A476" s="21">
        <x:v>3287</x:v>
      </x:c>
      <x:c r="B476" s="22" t="s">
        <x:v>142</x:v>
      </x:c>
      <x:c r="C476" s="22" t="s">
        <x:v>315</x:v>
      </x:c>
      <x:c r="D476" s="22" t="s">
        <x:v>644</x:v>
      </x:c>
      <x:c r="E476" s="22" t="s">
        <x:v>316</x:v>
      </x:c>
      <x:c r="F476" s="22" t="s">
        <x:v>316</x:v>
      </x:c>
      <x:c r="G476" s="22">
        <x:v>12</x:v>
      </x:c>
      <x:c r="H476" s="23">
        <x:v>12708000</x:v>
      </x:c>
      <x:c r="I476" s="23">
        <x:v>12708000</x:v>
      </x:c>
      <x:c r="J476" s="23">
        <x:f>H476-I476</x:f>
      </x:c>
      <x:c r="K476" s="22">
        <x:v>1</x:v>
      </x:c>
      <x:c r="L476" s="24" t="s">
        <x:v>548</x:v>
      </x:c>
      <x:c r="M476" s="24"/>
      <x:c r="N476" s="27" t="s">
        <x:v>548</x:v>
      </x:c>
      <x:c r="O476" s="27"/>
      <x:c r="P476" s="26"/>
      <x:c r="Q476" s="27">
        <x:v>3</x:v>
      </x:c>
      <x:c r="R476" s="27"/>
      <x:c r="S476" s="22">
        <x:f>IF(N476="","تکمیل نشده",IF(N476="بدون تفصیلی (ثبت روی خود معین)","OK",IF(N476="ادغام با تفصیلی دیگر",IF(O476="","کلید مقصد خالی است",IF(IFERROR(MATCH(O476*1,$A:$A,0),0)=0,"کلید مقصد در این فهرست نیست",IF(O476*1=A476,"ادغام با خودش","OK"))),IF(Q476="","سطح شناور خالی است",IF(AND(TRUE,OR(Q476=1,Q476=2)),"سطح ۱ و ۲ این معین مال فعالیت و مرکز هزینه است","OK")))))</x:f>
      </x:c>
      <x:c r="T476" s="28"/>
    </x:row>
    <x:row r="477" spans="1:20">
      <x:c r="A477" s="21">
        <x:v>3288</x:v>
      </x:c>
      <x:c r="B477" s="22" t="s">
        <x:v>142</x:v>
      </x:c>
      <x:c r="C477" s="22" t="s">
        <x:v>315</x:v>
      </x:c>
      <x:c r="D477" s="22" t="s">
        <x:v>553</x:v>
      </x:c>
      <x:c r="E477" s="22" t="s">
        <x:v>1111</x:v>
      </x:c>
      <x:c r="F477" s="22" t="s">
        <x:v>316</x:v>
      </x:c>
      <x:c r="G477" s="22">
        <x:v>2</x:v>
      </x:c>
      <x:c r="H477" s="23">
        <x:v>4800000</x:v>
      </x:c>
      <x:c r="I477" s="23">
        <x:v>4800000</x:v>
      </x:c>
      <x:c r="J477" s="23">
        <x:f>H477-I477</x:f>
      </x:c>
      <x:c r="K477" s="22">
        <x:v>1</x:v>
      </x:c>
      <x:c r="L477" s="24" t="s">
        <x:v>548</x:v>
      </x:c>
      <x:c r="M477" s="24"/>
      <x:c r="N477" s="27" t="s">
        <x:v>548</x:v>
      </x:c>
      <x:c r="O477" s="27"/>
      <x:c r="P477" s="26"/>
      <x:c r="Q477" s="27">
        <x:v>3</x:v>
      </x:c>
      <x:c r="R477" s="27"/>
      <x:c r="S477" s="22">
        <x:f>IF(N477="","تکمیل نشده",IF(N477="بدون تفصیلی (ثبت روی خود معین)","OK",IF(N477="ادغام با تفصیلی دیگر",IF(O477="","کلید مقصد خالی است",IF(IFERROR(MATCH(O477*1,$A:$A,0),0)=0,"کلید مقصد در این فهرست نیست",IF(O477*1=A477,"ادغام با خودش","OK"))),IF(Q477="","سطح شناور خالی است",IF(AND(TRUE,OR(Q477=1,Q477=2)),"سطح ۱ و ۲ این معین مال فعالیت و مرکز هزینه است","OK")))))</x:f>
      </x:c>
      <x:c r="T477" s="28"/>
    </x:row>
    <x:row r="478" spans="1:20">
      <x:c r="A478" s="21">
        <x:v>3291</x:v>
      </x:c>
      <x:c r="B478" s="22" t="s">
        <x:v>142</x:v>
      </x:c>
      <x:c r="C478" s="22" t="s">
        <x:v>247</x:v>
      </x:c>
      <x:c r="D478" s="22" t="s">
        <x:v>985</x:v>
      </x:c>
      <x:c r="E478" s="22" t="s">
        <x:v>1112</x:v>
      </x:c>
      <x:c r="F478" s="22" t="s">
        <x:v>317</x:v>
      </x:c>
      <x:c r="G478" s="22">
        <x:v>4</x:v>
      </x:c>
      <x:c r="H478" s="23">
        <x:v>440335530</x:v>
      </x:c>
      <x:c r="I478" s="23">
        <x:v>440335530</x:v>
      </x:c>
      <x:c r="J478" s="23">
        <x:f>H478-I478</x:f>
      </x:c>
      <x:c r="K478" s="22">
        <x:v>2</x:v>
      </x:c>
      <x:c r="L478" s="24" t="s">
        <x:v>548</x:v>
      </x:c>
      <x:c r="M478" s="24"/>
      <x:c r="N478" s="27" t="s">
        <x:v>548</x:v>
      </x:c>
      <x:c r="O478" s="27"/>
      <x:c r="P478" s="26"/>
      <x:c r="Q478" s="27">
        <x:v>1</x:v>
      </x:c>
      <x:c r="R478" s="27"/>
      <x:c r="S478" s="22">
        <x:f>IF(N478="","تکمیل نشده",IF(N478="بدون تفصیلی (ثبت روی خود معین)","OK",IF(N478="ادغام با تفصیلی دیگر",IF(O478="","کلید مقصد خالی است",IF(IFERROR(MATCH(O478*1,$A:$A,0),0)=0,"کلید مقصد در این فهرست نیست",IF(O478*1=A478,"ادغام با خودش","OK"))),IF(Q478="","سطح شناور خالی است",IF(AND(FALSE,OR(Q478=1,Q478=2)),"سطح ۱ و ۲ این معین مال فعالیت و مرکز هزینه است","OK")))))</x:f>
      </x:c>
      <x:c r="T478" s="28"/>
    </x:row>
    <x:row r="479" spans="1:20">
      <x:c r="A479" s="21">
        <x:v>3292</x:v>
      </x:c>
      <x:c r="B479" s="22" t="s">
        <x:v>142</x:v>
      </x:c>
      <x:c r="C479" s="22" t="s">
        <x:v>247</x:v>
      </x:c>
      <x:c r="D479" s="22" t="s">
        <x:v>987</x:v>
      </x:c>
      <x:c r="E479" s="22" t="s">
        <x:v>1112</x:v>
      </x:c>
      <x:c r="F479" s="22" t="s">
        <x:v>317</x:v>
      </x:c>
      <x:c r="G479" s="22">
        <x:v>3</x:v>
      </x:c>
      <x:c r="H479" s="23">
        <x:v>33443952</x:v>
      </x:c>
      <x:c r="I479" s="23">
        <x:v>33443952</x:v>
      </x:c>
      <x:c r="J479" s="23">
        <x:f>H479-I479</x:f>
      </x:c>
      <x:c r="K479" s="22">
        <x:v>2</x:v>
      </x:c>
      <x:c r="L479" s="24" t="s">
        <x:v>550</x:v>
      </x:c>
      <x:c r="M479" s="24">
        <x:v>3291</x:v>
      </x:c>
      <x:c r="N479" s="27" t="s">
        <x:v>550</x:v>
      </x:c>
      <x:c r="O479" s="27">
        <x:v>3291</x:v>
      </x:c>
      <x:c r="P479" s="26"/>
      <x:c r="Q479" s="27">
        <x:v>1</x:v>
      </x:c>
      <x:c r="R479" s="27"/>
      <x:c r="S479" s="22">
        <x:f>IF(N479="","تکمیل نشده",IF(N479="بدون تفصیلی (ثبت روی خود معین)","OK",IF(N479="ادغام با تفصیلی دیگر",IF(O479="","کلید مقصد خالی است",IF(IFERROR(MATCH(O479*1,$A:$A,0),0)=0,"کلید مقصد در این فهرست نیست",IF(O479*1=A479,"ادغام با خودش","OK"))),IF(Q479="","سطح شناور خالی است",IF(AND(FALSE,OR(Q479=1,Q479=2)),"سطح ۱ و ۲ این معین مال فعالیت و مرکز هزینه است","OK")))))</x:f>
      </x:c>
      <x:c r="T479" s="28"/>
    </x:row>
    <x:row r="480" spans="1:20">
      <x:c r="A480" s="21">
        <x:v>3296</x:v>
      </x:c>
      <x:c r="B480" s="22" t="s">
        <x:v>142</x:v>
      </x:c>
      <x:c r="C480" s="22" t="s">
        <x:v>34</x:v>
      </x:c>
      <x:c r="D480" s="22" t="s">
        <x:v>775</x:v>
      </x:c>
      <x:c r="E480" s="22" t="s">
        <x:v>1113</x:v>
      </x:c>
      <x:c r="F480" s="22" t="s">
        <x:v>318</x:v>
      </x:c>
      <x:c r="G480" s="22">
        <x:v>127</x:v>
      </x:c>
      <x:c r="H480" s="23">
        <x:v>1395344795</x:v>
      </x:c>
      <x:c r="I480" s="23">
        <x:v>1749559935</x:v>
      </x:c>
      <x:c r="J480" s="23">
        <x:f>H480-I480</x:f>
      </x:c>
      <x:c r="K480" s="22">
        <x:v>1</x:v>
      </x:c>
      <x:c r="L480" s="24" t="s">
        <x:v>548</x:v>
      </x:c>
      <x:c r="M480" s="24"/>
      <x:c r="N480" s="27" t="s">
        <x:v>548</x:v>
      </x:c>
      <x:c r="O480" s="27"/>
      <x:c r="P480" s="26"/>
      <x:c r="Q480" s="27">
        <x:v>1</x:v>
      </x:c>
      <x:c r="R480" s="27"/>
      <x:c r="S480" s="22">
        <x:f>IF(N480="","تکمیل نشده",IF(N480="بدون تفصیلی (ثبت روی خود معین)","OK",IF(N480="ادغام با تفصیلی دیگر",IF(O480="","کلید مقصد خالی است",IF(IFERROR(MATCH(O480*1,$A:$A,0),0)=0,"کلید مقصد در این فهرست نیست",IF(O480*1=A480,"ادغام با خودش","OK"))),IF(Q480="","سطح شناور خالی است",IF(AND(FALSE,OR(Q480=1,Q480=2)),"سطح ۱ و ۲ این معین مال فعالیت و مرکز هزینه است","OK")))))</x:f>
      </x:c>
      <x:c r="T480" s="28"/>
    </x:row>
    <x:row r="481" spans="1:20">
      <x:c r="A481" s="21">
        <x:v>3314</x:v>
      </x:c>
      <x:c r="B481" s="22" t="s">
        <x:v>142</x:v>
      </x:c>
      <x:c r="C481" s="22" t="s">
        <x:v>41</x:v>
      </x:c>
      <x:c r="D481" s="22" t="s">
        <x:v>644</x:v>
      </x:c>
      <x:c r="E481" s="22" t="s">
        <x:v>1114</x:v>
      </x:c>
      <x:c r="F481" s="22" t="s">
        <x:v>319</x:v>
      </x:c>
      <x:c r="G481" s="22">
        <x:v>2</x:v>
      </x:c>
      <x:c r="H481" s="23">
        <x:v>10300500</x:v>
      </x:c>
      <x:c r="I481" s="23">
        <x:v>10300500</x:v>
      </x:c>
      <x:c r="J481" s="23">
        <x:f>H481-I481</x:f>
      </x:c>
      <x:c r="K481" s="22">
        <x:v>1</x:v>
      </x:c>
      <x:c r="L481" s="24" t="s">
        <x:v>548</x:v>
      </x:c>
      <x:c r="M481" s="24"/>
      <x:c r="N481" s="27" t="s">
        <x:v>548</x:v>
      </x:c>
      <x:c r="O481" s="27"/>
      <x:c r="P481" s="26"/>
      <x:c r="Q481" s="27">
        <x:v>1</x:v>
      </x:c>
      <x:c r="R481" s="27"/>
      <x:c r="S481" s="22">
        <x:f>IF(N481="","تکمیل نشده",IF(N481="بدون تفصیلی (ثبت روی خود معین)","OK",IF(N481="ادغام با تفصیلی دیگر",IF(O481="","کلید مقصد خالی است",IF(IFERROR(MATCH(O481*1,$A:$A,0),0)=0,"کلید مقصد در این فهرست نیست",IF(O481*1=A481,"ادغام با خودش","OK"))),IF(Q481="","سطح شناور خالی است",IF(AND(FALSE,OR(Q481=1,Q481=2)),"سطح ۱ و ۲ این معین مال فعالیت و مرکز هزینه است","OK")))))</x:f>
      </x:c>
      <x:c r="T481" s="28"/>
    </x:row>
    <x:row r="482" spans="1:20">
      <x:c r="A482" s="21">
        <x:v>3319</x:v>
      </x:c>
      <x:c r="B482" s="22" t="s">
        <x:v>142</x:v>
      </x:c>
      <x:c r="C482" s="22" t="s">
        <x:v>262</x:v>
      </x:c>
      <x:c r="D482" s="22" t="s">
        <x:v>553</x:v>
      </x:c>
      <x:c r="E482" s="22" t="s">
        <x:v>1115</x:v>
      </x:c>
      <x:c r="F482" s="22" t="s">
        <x:v>320</x:v>
      </x:c>
      <x:c r="G482" s="22">
        <x:v>2</x:v>
      </x:c>
      <x:c r="H482" s="23">
        <x:v>37800000</x:v>
      </x:c>
      <x:c r="I482" s="23">
        <x:v>37800000</x:v>
      </x:c>
      <x:c r="J482" s="23">
        <x:f>H482-I482</x:f>
      </x:c>
      <x:c r="K482" s="22">
        <x:v>1</x:v>
      </x:c>
      <x:c r="L482" s="24" t="s">
        <x:v>548</x:v>
      </x:c>
      <x:c r="M482" s="24"/>
      <x:c r="N482" s="27" t="s">
        <x:v>548</x:v>
      </x:c>
      <x:c r="O482" s="27"/>
      <x:c r="P482" s="26"/>
      <x:c r="Q482" s="27">
        <x:v>1</x:v>
      </x:c>
      <x:c r="R482" s="27"/>
      <x:c r="S482" s="22">
        <x:f>IF(N482="","تکمیل نشده",IF(N482="بدون تفصیلی (ثبت روی خود معین)","OK",IF(N482="ادغام با تفصیلی دیگر",IF(O482="","کلید مقصد خالی است",IF(IFERROR(MATCH(O482*1,$A:$A,0),0)=0,"کلید مقصد در این فهرست نیست",IF(O482*1=A482,"ادغام با خودش","OK"))),IF(Q482="","سطح شناور خالی است",IF(AND(FALSE,OR(Q482=1,Q482=2)),"سطح ۱ و ۲ این معین مال فعالیت و مرکز هزینه است","OK")))))</x:f>
      </x:c>
      <x:c r="T482" s="28"/>
    </x:row>
    <x:row r="483" spans="1:20">
      <x:c r="A483" s="21">
        <x:v>3322</x:v>
      </x:c>
      <x:c r="B483" s="22" t="s">
        <x:v>142</x:v>
      </x:c>
      <x:c r="C483" s="22" t="s">
        <x:v>321</x:v>
      </x:c>
      <x:c r="D483" s="22" t="s">
        <x:v>646</x:v>
      </x:c>
      <x:c r="E483" s="22" t="s">
        <x:v>1116</x:v>
      </x:c>
      <x:c r="F483" s="22" t="s">
        <x:v>322</x:v>
      </x:c>
      <x:c r="G483" s="22">
        <x:v>7</x:v>
      </x:c>
      <x:c r="H483" s="23">
        <x:v>61246500</x:v>
      </x:c>
      <x:c r="I483" s="23">
        <x:v>61246500</x:v>
      </x:c>
      <x:c r="J483" s="23">
        <x:f>H483-I483</x:f>
      </x:c>
      <x:c r="K483" s="22">
        <x:v>1</x:v>
      </x:c>
      <x:c r="L483" s="24" t="s">
        <x:v>548</x:v>
      </x:c>
      <x:c r="M483" s="24"/>
      <x:c r="N483" s="27" t="s">
        <x:v>548</x:v>
      </x:c>
      <x:c r="O483" s="27"/>
      <x:c r="P483" s="26"/>
      <x:c r="Q483" s="27">
        <x:v>1</x:v>
      </x:c>
      <x:c r="R483" s="27"/>
      <x:c r="S483" s="22">
        <x:f>IF(N483="","تکمیل نشده",IF(N483="بدون تفصیلی (ثبت روی خود معین)","OK",IF(N483="ادغام با تفصیلی دیگر",IF(O483="","کلید مقصد خالی است",IF(IFERROR(MATCH(O483*1,$A:$A,0),0)=0,"کلید مقصد در این فهرست نیست",IF(O483*1=A483,"ادغام با خودش","OK"))),IF(Q483="","سطح شناور خالی است",IF(AND(FALSE,OR(Q483=1,Q483=2)),"سطح ۱ و ۲ این معین مال فعالیت و مرکز هزینه است","OK")))))</x:f>
      </x:c>
      <x:c r="T483" s="28"/>
    </x:row>
    <x:row r="484" spans="1:20">
      <x:c r="A484" s="21">
        <x:v>3323</x:v>
      </x:c>
      <x:c r="B484" s="22" t="s">
        <x:v>142</x:v>
      </x:c>
      <x:c r="C484" s="22" t="s">
        <x:v>321</x:v>
      </x:c>
      <x:c r="D484" s="22" t="s">
        <x:v>648</x:v>
      </x:c>
      <x:c r="E484" s="22" t="s">
        <x:v>1117</x:v>
      </x:c>
      <x:c r="F484" s="22" t="s">
        <x:v>322</x:v>
      </x:c>
      <x:c r="G484" s="22">
        <x:v>7</x:v>
      </x:c>
      <x:c r="H484" s="23">
        <x:v>6089580</x:v>
      </x:c>
      <x:c r="I484" s="23">
        <x:v>10738980</x:v>
      </x:c>
      <x:c r="J484" s="23">
        <x:f>H484-I484</x:f>
      </x:c>
      <x:c r="K484" s="22">
        <x:v>1</x:v>
      </x:c>
      <x:c r="L484" s="24" t="s">
        <x:v>548</x:v>
      </x:c>
      <x:c r="M484" s="24"/>
      <x:c r="N484" s="27" t="s">
        <x:v>548</x:v>
      </x:c>
      <x:c r="O484" s="27"/>
      <x:c r="P484" s="26"/>
      <x:c r="Q484" s="27">
        <x:v>1</x:v>
      </x:c>
      <x:c r="R484" s="27"/>
      <x:c r="S484" s="22">
        <x:f>IF(N484="","تکمیل نشده",IF(N484="بدون تفصیلی (ثبت روی خود معین)","OK",IF(N484="ادغام با تفصیلی دیگر",IF(O484="","کلید مقصد خالی است",IF(IFERROR(MATCH(O484*1,$A:$A,0),0)=0,"کلید مقصد در این فهرست نیست",IF(O484*1=A484,"ادغام با خودش","OK"))),IF(Q484="","سطح شناور خالی است",IF(AND(FALSE,OR(Q484=1,Q484=2)),"سطح ۱ و ۲ این معین مال فعالیت و مرکز هزینه است","OK")))))</x:f>
      </x:c>
      <x:c r="T484" s="28"/>
    </x:row>
    <x:row r="485" spans="1:20">
      <x:c r="A485" s="21">
        <x:v>3324</x:v>
      </x:c>
      <x:c r="B485" s="22" t="s">
        <x:v>142</x:v>
      </x:c>
      <x:c r="C485" s="22" t="s">
        <x:v>321</x:v>
      </x:c>
      <x:c r="D485" s="22" t="s">
        <x:v>650</x:v>
      </x:c>
      <x:c r="E485" s="22" t="s">
        <x:v>1118</x:v>
      </x:c>
      <x:c r="F485" s="22" t="s">
        <x:v>322</x:v>
      </x:c>
      <x:c r="G485" s="22">
        <x:v>12</x:v>
      </x:c>
      <x:c r="H485" s="23">
        <x:v>3300000</x:v>
      </x:c>
      <x:c r="I485" s="23">
        <x:v>3300000</x:v>
      </x:c>
      <x:c r="J485" s="23">
        <x:f>H485-I485</x:f>
      </x:c>
      <x:c r="K485" s="22">
        <x:v>1</x:v>
      </x:c>
      <x:c r="L485" s="24" t="s">
        <x:v>548</x:v>
      </x:c>
      <x:c r="M485" s="24"/>
      <x:c r="N485" s="27" t="s">
        <x:v>548</x:v>
      </x:c>
      <x:c r="O485" s="27"/>
      <x:c r="P485" s="26"/>
      <x:c r="Q485" s="27">
        <x:v>1</x:v>
      </x:c>
      <x:c r="R485" s="27"/>
      <x:c r="S485" s="22">
        <x:f>IF(N485="","تکمیل نشده",IF(N485="بدون تفصیلی (ثبت روی خود معین)","OK",IF(N485="ادغام با تفصیلی دیگر",IF(O485="","کلید مقصد خالی است",IF(IFERROR(MATCH(O485*1,$A:$A,0),0)=0,"کلید مقصد در این فهرست نیست",IF(O485*1=A485,"ادغام با خودش","OK"))),IF(Q485="","سطح شناور خالی است",IF(AND(FALSE,OR(Q485=1,Q485=2)),"سطح ۱ و ۲ این معین مال فعالیت و مرکز هزینه است","OK")))))</x:f>
      </x:c>
      <x:c r="T485" s="28"/>
    </x:row>
    <x:row r="486" spans="1:20">
      <x:c r="A486" s="21">
        <x:v>3329</x:v>
      </x:c>
      <x:c r="B486" s="22" t="s">
        <x:v>142</x:v>
      </x:c>
      <x:c r="C486" s="22" t="s">
        <x:v>323</x:v>
      </x:c>
      <x:c r="D486" s="22" t="s">
        <x:v>544</x:v>
      </x:c>
      <x:c r="E486" s="22" t="s">
        <x:v>324</x:v>
      </x:c>
      <x:c r="F486" s="22" t="s">
        <x:v>324</x:v>
      </x:c>
      <x:c r="G486" s="22">
        <x:v>17</x:v>
      </x:c>
      <x:c r="H486" s="23">
        <x:v>50603562</x:v>
      </x:c>
      <x:c r="I486" s="23">
        <x:v>50603562</x:v>
      </x:c>
      <x:c r="J486" s="23">
        <x:f>H486-I486</x:f>
      </x:c>
      <x:c r="K486" s="22">
        <x:v>1</x:v>
      </x:c>
      <x:c r="L486" s="24" t="s">
        <x:v>545</x:v>
      </x:c>
      <x:c r="M486" s="24"/>
      <x:c r="N486" s="27" t="s">
        <x:v>545</x:v>
      </x:c>
      <x:c r="O486" s="27"/>
      <x:c r="P486" s="26"/>
      <x:c r="Q486" s="27"/>
      <x:c r="R486" s="27"/>
      <x:c r="S486" s="22">
        <x:f>IF(N486="","تکمیل نشده",IF(N486="بدون تفصیلی (ثبت روی خود معین)","OK",IF(N486="ادغام با تفصیلی دیگر",IF(O486="","کلید مقصد خالی است",IF(IFERROR(MATCH(O486*1,$A:$A,0),0)=0,"کلید مقصد در این فهرست نیست",IF(O486*1=A486,"ادغام با خودش","OK"))),IF(Q486="","سطح شناور خالی است",IF(AND(FALSE,OR(Q486=1,Q486=2)),"سطح ۱ و ۲ این معین مال فعالیت و مرکز هزینه است","OK")))))</x:f>
      </x:c>
      <x:c r="T486" s="28"/>
    </x:row>
    <x:row r="487" spans="1:20">
      <x:c r="A487" s="21">
        <x:v>3331</x:v>
      </x:c>
      <x:c r="B487" s="22" t="s">
        <x:v>142</x:v>
      </x:c>
      <x:c r="C487" s="22" t="s">
        <x:v>292</x:v>
      </x:c>
      <x:c r="D487" s="22" t="s">
        <x:v>544</x:v>
      </x:c>
      <x:c r="E487" s="22" t="s">
        <x:v>325</x:v>
      </x:c>
      <x:c r="F487" s="22" t="s">
        <x:v>325</x:v>
      </x:c>
      <x:c r="G487" s="22">
        <x:v>2</x:v>
      </x:c>
      <x:c r="H487" s="23">
        <x:v>100500</x:v>
      </x:c>
      <x:c r="I487" s="23">
        <x:v>0</x:v>
      </x:c>
      <x:c r="J487" s="23">
        <x:f>H487-I487</x:f>
      </x:c>
      <x:c r="K487" s="22">
        <x:v>1</x:v>
      </x:c>
      <x:c r="L487" s="24" t="s">
        <x:v>545</x:v>
      </x:c>
      <x:c r="M487" s="24"/>
      <x:c r="N487" s="27" t="s">
        <x:v>545</x:v>
      </x:c>
      <x:c r="O487" s="27"/>
      <x:c r="P487" s="26"/>
      <x:c r="Q487" s="27"/>
      <x:c r="R487" s="27"/>
      <x:c r="S487" s="22">
        <x:f>IF(N487="","تکمیل نشده",IF(N487="بدون تفصیلی (ثبت روی خود معین)","OK",IF(N487="ادغام با تفصیلی دیگر",IF(O487="","کلید مقصد خالی است",IF(IFERROR(MATCH(O487*1,$A:$A,0),0)=0,"کلید مقصد در این فهرست نیست",IF(O487*1=A487,"ادغام با خودش","OK"))),IF(Q487="","سطح شناور خالی است",IF(AND(FALSE,OR(Q487=1,Q487=2)),"سطح ۱ و ۲ این معین مال فعالیت و مرکز هزینه است","OK")))))</x:f>
      </x:c>
      <x:c r="T487" s="28"/>
    </x:row>
    <x:row r="488" spans="1:20">
      <x:c r="A488" s="21">
        <x:v>3334</x:v>
      </x:c>
      <x:c r="B488" s="22" t="s">
        <x:v>142</x:v>
      </x:c>
      <x:c r="C488" s="22" t="s">
        <x:v>205</x:v>
      </x:c>
      <x:c r="D488" s="22" t="s">
        <x:v>985</x:v>
      </x:c>
      <x:c r="E488" s="22" t="s">
        <x:v>1119</x:v>
      </x:c>
      <x:c r="F488" s="22" t="s">
        <x:v>326</x:v>
      </x:c>
      <x:c r="G488" s="22">
        <x:v>14</x:v>
      </x:c>
      <x:c r="H488" s="23">
        <x:v>154727898</x:v>
      </x:c>
      <x:c r="I488" s="23">
        <x:v>183754893</x:v>
      </x:c>
      <x:c r="J488" s="23">
        <x:f>H488-I488</x:f>
      </x:c>
      <x:c r="K488" s="22">
        <x:v>1</x:v>
      </x:c>
      <x:c r="L488" s="24" t="s">
        <x:v>548</x:v>
      </x:c>
      <x:c r="M488" s="24"/>
      <x:c r="N488" s="27" t="s">
        <x:v>548</x:v>
      </x:c>
      <x:c r="O488" s="27"/>
      <x:c r="P488" s="26"/>
      <x:c r="Q488" s="27">
        <x:v>1</x:v>
      </x:c>
      <x:c r="R488" s="27"/>
      <x:c r="S488" s="22">
        <x:f>IF(N488="","تکمیل نشده",IF(N488="بدون تفصیلی (ثبت روی خود معین)","OK",IF(N488="ادغام با تفصیلی دیگر",IF(O488="","کلید مقصد خالی است",IF(IFERROR(MATCH(O488*1,$A:$A,0),0)=0,"کلید مقصد در این فهرست نیست",IF(O488*1=A488,"ادغام با خودش","OK"))),IF(Q488="","سطح شناور خالی است",IF(AND(FALSE,OR(Q488=1,Q488=2)),"سطح ۱ و ۲ این معین مال فعالیت و مرکز هزینه است","OK")))))</x:f>
      </x:c>
      <x:c r="T488" s="28"/>
    </x:row>
    <x:row r="489" spans="1:20">
      <x:c r="A489" s="21">
        <x:v>3345</x:v>
      </x:c>
      <x:c r="B489" s="22" t="s">
        <x:v>142</x:v>
      </x:c>
      <x:c r="C489" s="22" t="s">
        <x:v>327</x:v>
      </x:c>
      <x:c r="D489" s="22" t="s">
        <x:v>544</x:v>
      </x:c>
      <x:c r="E489" s="22" t="s">
        <x:v>328</x:v>
      </x:c>
      <x:c r="F489" s="22" t="s">
        <x:v>328</x:v>
      </x:c>
      <x:c r="G489" s="22">
        <x:v>40</x:v>
      </x:c>
      <x:c r="H489" s="23">
        <x:v>1341107738</x:v>
      </x:c>
      <x:c r="I489" s="23">
        <x:v>1342307638</x:v>
      </x:c>
      <x:c r="J489" s="23">
        <x:f>H489-I489</x:f>
      </x:c>
      <x:c r="K489" s="22">
        <x:v>1</x:v>
      </x:c>
      <x:c r="L489" s="24" t="s">
        <x:v>545</x:v>
      </x:c>
      <x:c r="M489" s="24"/>
      <x:c r="N489" s="27" t="s">
        <x:v>545</x:v>
      </x:c>
      <x:c r="O489" s="27"/>
      <x:c r="P489" s="26"/>
      <x:c r="Q489" s="27"/>
      <x:c r="R489" s="27"/>
      <x:c r="S489" s="22">
        <x:f>IF(N489="","تکمیل نشده",IF(N489="بدون تفصیلی (ثبت روی خود معین)","OK",IF(N489="ادغام با تفصیلی دیگر",IF(O489="","کلید مقصد خالی است",IF(IFERROR(MATCH(O489*1,$A:$A,0),0)=0,"کلید مقصد در این فهرست نیست",IF(O489*1=A489,"ادغام با خودش","OK"))),IF(Q489="","سطح شناور خالی است",IF(AND(FALSE,OR(Q489=1,Q489=2)),"سطح ۱ و ۲ این معین مال فعالیت و مرکز هزینه است","OK")))))</x:f>
      </x:c>
      <x:c r="T489" s="28"/>
    </x:row>
    <x:row r="490" spans="1:20">
      <x:c r="A490" s="21">
        <x:v>3350</x:v>
      </x:c>
      <x:c r="B490" s="22" t="s">
        <x:v>142</x:v>
      </x:c>
      <x:c r="C490" s="22" t="s">
        <x:v>70</x:v>
      </x:c>
      <x:c r="D490" s="22" t="s">
        <x:v>652</x:v>
      </x:c>
      <x:c r="E490" s="22" t="s">
        <x:v>1120</x:v>
      </x:c>
      <x:c r="F490" s="22" t="s">
        <x:v>329</x:v>
      </x:c>
      <x:c r="G490" s="22">
        <x:v>48</x:v>
      </x:c>
      <x:c r="H490" s="23">
        <x:v>922888593</x:v>
      </x:c>
      <x:c r="I490" s="23">
        <x:v>1215201492</x:v>
      </x:c>
      <x:c r="J490" s="23">
        <x:f>H490-I490</x:f>
      </x:c>
      <x:c r="K490" s="22">
        <x:v>1</x:v>
      </x:c>
      <x:c r="L490" s="24" t="s">
        <x:v>548</x:v>
      </x:c>
      <x:c r="M490" s="24"/>
      <x:c r="N490" s="27" t="s">
        <x:v>548</x:v>
      </x:c>
      <x:c r="O490" s="27"/>
      <x:c r="P490" s="26"/>
      <x:c r="Q490" s="27">
        <x:v>1</x:v>
      </x:c>
      <x:c r="R490" s="27"/>
      <x:c r="S490" s="22">
        <x:f>IF(N490="","تکمیل نشده",IF(N490="بدون تفصیلی (ثبت روی خود معین)","OK",IF(N490="ادغام با تفصیلی دیگر",IF(O490="","کلید مقصد خالی است",IF(IFERROR(MATCH(O490*1,$A:$A,0),0)=0,"کلید مقصد در این فهرست نیست",IF(O490*1=A490,"ادغام با خودش","OK"))),IF(Q490="","سطح شناور خالی است",IF(AND(FALSE,OR(Q490=1,Q490=2)),"سطح ۱ و ۲ این معین مال فعالیت و مرکز هزینه است","OK")))))</x:f>
      </x:c>
      <x:c r="T490" s="28"/>
    </x:row>
    <x:row r="491" spans="1:20">
      <x:c r="A491" s="21">
        <x:v>3351</x:v>
      </x:c>
      <x:c r="B491" s="22" t="s">
        <x:v>142</x:v>
      </x:c>
      <x:c r="C491" s="22" t="s">
        <x:v>70</x:v>
      </x:c>
      <x:c r="D491" s="22" t="s">
        <x:v>654</x:v>
      </x:c>
      <x:c r="E491" s="22" t="s">
        <x:v>1121</x:v>
      </x:c>
      <x:c r="F491" s="22" t="s">
        <x:v>329</x:v>
      </x:c>
      <x:c r="G491" s="22">
        <x:v>12</x:v>
      </x:c>
      <x:c r="H491" s="23">
        <x:v>95602024</x:v>
      </x:c>
      <x:c r="I491" s="23">
        <x:v>164854180</x:v>
      </x:c>
      <x:c r="J491" s="23">
        <x:f>H491-I491</x:f>
      </x:c>
      <x:c r="K491" s="22">
        <x:v>1</x:v>
      </x:c>
      <x:c r="L491" s="24" t="s">
        <x:v>548</x:v>
      </x:c>
      <x:c r="M491" s="24"/>
      <x:c r="N491" s="27" t="s">
        <x:v>548</x:v>
      </x:c>
      <x:c r="O491" s="27"/>
      <x:c r="P491" s="26"/>
      <x:c r="Q491" s="27">
        <x:v>1</x:v>
      </x:c>
      <x:c r="R491" s="27"/>
      <x:c r="S491" s="22">
        <x:f>IF(N491="","تکمیل نشده",IF(N491="بدون تفصیلی (ثبت روی خود معین)","OK",IF(N491="ادغام با تفصیلی دیگر",IF(O491="","کلید مقصد خالی است",IF(IFERROR(MATCH(O491*1,$A:$A,0),0)=0,"کلید مقصد در این فهرست نیست",IF(O491*1=A491,"ادغام با خودش","OK"))),IF(Q491="","سطح شناور خالی است",IF(AND(FALSE,OR(Q491=1,Q491=2)),"سطح ۱ و ۲ این معین مال فعالیت و مرکز هزینه است","OK")))))</x:f>
      </x:c>
      <x:c r="T491" s="28"/>
    </x:row>
    <x:row r="492" spans="1:20">
      <x:c r="A492" s="21">
        <x:v>11465</x:v>
      </x:c>
      <x:c r="B492" s="22" t="s">
        <x:v>142</x:v>
      </x:c>
      <x:c r="C492" s="22" t="s">
        <x:v>330</x:v>
      </x:c>
      <x:c r="D492" s="22" t="s">
        <x:v>644</x:v>
      </x:c>
      <x:c r="E492" s="22" t="s">
        <x:v>260</x:v>
      </x:c>
      <x:c r="F492" s="22" t="s">
        <x:v>260</x:v>
      </x:c>
      <x:c r="G492" s="22">
        <x:v>4</x:v>
      </x:c>
      <x:c r="H492" s="23">
        <x:v>2000010</x:v>
      </x:c>
      <x:c r="I492" s="23">
        <x:v>1000</x:v>
      </x:c>
      <x:c r="J492" s="23">
        <x:f>H492-I492</x:f>
      </x:c>
      <x:c r="K492" s="22">
        <x:v>3</x:v>
      </x:c>
      <x:c r="L492" s="24" t="s">
        <x:v>550</x:v>
      </x:c>
      <x:c r="M492" s="24">
        <x:v>11201</x:v>
      </x:c>
      <x:c r="N492" s="27" t="s">
        <x:v>550</x:v>
      </x:c>
      <x:c r="O492" s="27">
        <x:v>11201</x:v>
      </x:c>
      <x:c r="P492" s="26"/>
      <x:c r="Q492" s="27">
        <x:v>1</x:v>
      </x:c>
      <x:c r="R492" s="27"/>
      <x:c r="S492" s="22">
        <x:f>IF(N492="","تکمیل نشده",IF(N492="بدون تفصیلی (ثبت روی خود معین)","OK",IF(N492="ادغام با تفصیلی دیگر",IF(O492="","کلید مقصد خالی است",IF(IFERROR(MATCH(O492*1,$A:$A,0),0)=0,"کلید مقصد در این فهرست نیست",IF(O492*1=A492,"ادغام با خودش","OK"))),IF(Q492="","سطح شناور خالی است",IF(AND(FALSE,OR(Q492=1,Q492=2)),"سطح ۱ و ۲ این معین مال فعالیت و مرکز هزینه است","OK")))))</x:f>
      </x:c>
      <x:c r="T492" s="28"/>
    </x:row>
    <x:row r="493" spans="1:20">
      <x:c r="A493" s="21">
        <x:v>3875</x:v>
      </x:c>
      <x:c r="B493" s="22" t="s">
        <x:v>142</x:v>
      </x:c>
      <x:c r="C493" s="22" t="s">
        <x:v>331</x:v>
      </x:c>
      <x:c r="D493" s="22" t="s">
        <x:v>1108</x:v>
      </x:c>
      <x:c r="E493" s="22" t="s">
        <x:v>1122</x:v>
      </x:c>
      <x:c r="F493" s="22" t="s">
        <x:v>332</x:v>
      </x:c>
      <x:c r="G493" s="22">
        <x:v>2</x:v>
      </x:c>
      <x:c r="H493" s="23">
        <x:v>43408387</x:v>
      </x:c>
      <x:c r="I493" s="23">
        <x:v>43408387</x:v>
      </x:c>
      <x:c r="J493" s="23">
        <x:f>H493-I493</x:f>
      </x:c>
      <x:c r="K493" s="22">
        <x:v>1</x:v>
      </x:c>
      <x:c r="L493" s="24" t="s">
        <x:v>548</x:v>
      </x:c>
      <x:c r="M493" s="24"/>
      <x:c r="N493" s="27" t="s">
        <x:v>548</x:v>
      </x:c>
      <x:c r="O493" s="27"/>
      <x:c r="P493" s="26"/>
      <x:c r="Q493" s="27">
        <x:v>1</x:v>
      </x:c>
      <x:c r="R493" s="27"/>
      <x:c r="S493" s="22">
        <x:f>IF(N493="","تکمیل نشده",IF(N493="بدون تفصیلی (ثبت روی خود معین)","OK",IF(N493="ادغام با تفصیلی دیگر",IF(O493="","کلید مقصد خالی است",IF(IFERROR(MATCH(O493*1,$A:$A,0),0)=0,"کلید مقصد در این فهرست نیست",IF(O493*1=A493,"ادغام با خودش","OK"))),IF(Q493="","سطح شناور خالی است",IF(AND(FALSE,OR(Q493=1,Q493=2)),"سطح ۱ و ۲ این معین مال فعالیت و مرکز هزینه است","OK")))))</x:f>
      </x:c>
      <x:c r="T493" s="28"/>
    </x:row>
    <x:row r="494" spans="1:20">
      <x:c r="A494" s="21">
        <x:v>3873</x:v>
      </x:c>
      <x:c r="B494" s="22" t="s">
        <x:v>142</x:v>
      </x:c>
      <x:c r="C494" s="22" t="s">
        <x:v>331</x:v>
      </x:c>
      <x:c r="D494" s="22" t="s">
        <x:v>618</x:v>
      </x:c>
      <x:c r="E494" s="22" t="s">
        <x:v>332</x:v>
      </x:c>
      <x:c r="F494" s="22" t="s">
        <x:v>332</x:v>
      </x:c>
      <x:c r="G494" s="22">
        <x:v>2</x:v>
      </x:c>
      <x:c r="H494" s="23">
        <x:v>35000000</x:v>
      </x:c>
      <x:c r="I494" s="23">
        <x:v>35000000</x:v>
      </x:c>
      <x:c r="J494" s="23">
        <x:f>H494-I494</x:f>
      </x:c>
      <x:c r="K494" s="22">
        <x:v>1</x:v>
      </x:c>
      <x:c r="L494" s="24" t="s">
        <x:v>548</x:v>
      </x:c>
      <x:c r="M494" s="24"/>
      <x:c r="N494" s="27" t="s">
        <x:v>548</x:v>
      </x:c>
      <x:c r="O494" s="27"/>
      <x:c r="P494" s="26"/>
      <x:c r="Q494" s="27">
        <x:v>1</x:v>
      </x:c>
      <x:c r="R494" s="27"/>
      <x:c r="S494" s="22">
        <x:f>IF(N494="","تکمیل نشده",IF(N494="بدون تفصیلی (ثبت روی خود معین)","OK",IF(N494="ادغام با تفصیلی دیگر",IF(O494="","کلید مقصد خالی است",IF(IFERROR(MATCH(O494*1,$A:$A,0),0)=0,"کلید مقصد در این فهرست نیست",IF(O494*1=A494,"ادغام با خودش","OK"))),IF(Q494="","سطح شناور خالی است",IF(AND(FALSE,OR(Q494=1,Q494=2)),"سطح ۱ و ۲ این معین مال فعالیت و مرکز هزینه است","OK")))))</x:f>
      </x:c>
      <x:c r="T494" s="28"/>
    </x:row>
    <x:row r="495" spans="1:20">
      <x:c r="A495" s="21">
        <x:v>3407</x:v>
      </x:c>
      <x:c r="B495" s="22" t="s">
        <x:v>149</x:v>
      </x:c>
      <x:c r="C495" s="22" t="s">
        <x:v>202</x:v>
      </x:c>
      <x:c r="D495" s="22" t="s">
        <x:v>544</x:v>
      </x:c>
      <x:c r="E495" s="22" t="s">
        <x:v>333</x:v>
      </x:c>
      <x:c r="F495" s="22" t="s">
        <x:v>333</x:v>
      </x:c>
      <x:c r="G495" s="22">
        <x:v>228</x:v>
      </x:c>
      <x:c r="H495" s="23">
        <x:v>204299612859</x:v>
      </x:c>
      <x:c r="I495" s="23">
        <x:v>430218235810</x:v>
      </x:c>
      <x:c r="J495" s="23">
        <x:f>H495-I495</x:f>
      </x:c>
      <x:c r="K495" s="22">
        <x:v>1</x:v>
      </x:c>
      <x:c r="L495" s="24" t="s">
        <x:v>545</x:v>
      </x:c>
      <x:c r="M495" s="24"/>
      <x:c r="N495" s="27" t="s">
        <x:v>545</x:v>
      </x:c>
      <x:c r="O495" s="27"/>
      <x:c r="P495" s="26"/>
      <x:c r="Q495" s="27"/>
      <x:c r="R495" s="27"/>
      <x:c r="S495" s="22">
        <x:f>IF(N495="","تکمیل نشده",IF(N495="بدون تفصیلی (ثبت روی خود معین)","OK",IF(N495="ادغام با تفصیلی دیگر",IF(O495="","کلید مقصد خالی است",IF(IFERROR(MATCH(O495*1,$A:$A,0),0)=0,"کلید مقصد در این فهرست نیست",IF(O495*1=A495,"ادغام با خودش","OK"))),IF(Q495="","سطح شناور خالی است",IF(AND(FALSE,OR(Q495=1,Q495=2)),"سطح ۱ و ۲ این معین مال فعالیت و مرکز هزینه است","OK")))))</x:f>
      </x:c>
      <x:c r="T495" s="28"/>
    </x:row>
    <x:row r="496" spans="1:20">
      <x:c r="A496" s="21">
        <x:v>3410</x:v>
      </x:c>
      <x:c r="B496" s="22" t="s">
        <x:v>152</x:v>
      </x:c>
      <x:c r="C496" s="22" t="s">
        <x:v>202</x:v>
      </x:c>
      <x:c r="D496" s="22" t="s">
        <x:v>544</x:v>
      </x:c>
      <x:c r="E496" s="22" t="s">
        <x:v>335</x:v>
      </x:c>
      <x:c r="F496" s="22" t="s">
        <x:v>335</x:v>
      </x:c>
      <x:c r="G496" s="22">
        <x:v>96</x:v>
      </x:c>
      <x:c r="H496" s="23">
        <x:v>3000</x:v>
      </x:c>
      <x:c r="I496" s="23">
        <x:v>34070287307</x:v>
      </x:c>
      <x:c r="J496" s="23">
        <x:f>H496-I496</x:f>
      </x:c>
      <x:c r="K496" s="22">
        <x:v>1</x:v>
      </x:c>
      <x:c r="L496" s="24" t="s">
        <x:v>545</x:v>
      </x:c>
      <x:c r="M496" s="24"/>
      <x:c r="N496" s="27" t="s">
        <x:v>545</x:v>
      </x:c>
      <x:c r="O496" s="27"/>
      <x:c r="P496" s="26"/>
      <x:c r="Q496" s="27"/>
      <x:c r="R496" s="27"/>
      <x:c r="S496" s="22">
        <x:f>IF(N496="","تکمیل نشده",IF(N496="بدون تفصیلی (ثبت روی خود معین)","OK",IF(N496="ادغام با تفصیلی دیگر",IF(O496="","کلید مقصد خالی است",IF(IFERROR(MATCH(O496*1,$A:$A,0),0)=0,"کلید مقصد در این فهرست نیست",IF(O496*1=A496,"ادغام با خودش","OK"))),IF(Q496="","سطح شناور خالی است",IF(AND(FALSE,OR(Q496=1,Q496=2)),"سطح ۱ و ۲ این معین مال فعالیت و مرکز هزینه است","OK")))))</x:f>
      </x:c>
      <x:c r="T496" s="28"/>
    </x:row>
    <x:row r="497" spans="1:20">
      <x:c r="A497" s="21">
        <x:v>11172</x:v>
      </x:c>
      <x:c r="B497" s="22" t="s">
        <x:v>152</x:v>
      </x:c>
      <x:c r="C497" s="22" t="s">
        <x:v>14</x:v>
      </x:c>
      <x:c r="D497" s="22" t="s">
        <x:v>544</x:v>
      </x:c>
      <x:c r="E497" s="22" t="s">
        <x:v>336</x:v>
      </x:c>
      <x:c r="F497" s="22" t="s">
        <x:v>336</x:v>
      </x:c>
      <x:c r="G497" s="22">
        <x:v>6</x:v>
      </x:c>
      <x:c r="H497" s="23">
        <x:v>67630000</x:v>
      </x:c>
      <x:c r="I497" s="23">
        <x:v>0</x:v>
      </x:c>
      <x:c r="J497" s="23">
        <x:f>H497-I497</x:f>
      </x:c>
      <x:c r="K497" s="22">
        <x:v>1</x:v>
      </x:c>
      <x:c r="L497" s="24" t="s">
        <x:v>545</x:v>
      </x:c>
      <x:c r="M497" s="24"/>
      <x:c r="N497" s="27" t="s">
        <x:v>545</x:v>
      </x:c>
      <x:c r="O497" s="27"/>
      <x:c r="P497" s="26"/>
      <x:c r="Q497" s="27"/>
      <x:c r="R497" s="27"/>
      <x:c r="S497" s="22">
        <x:f>IF(N497="","تکمیل نشده",IF(N497="بدون تفصیلی (ثبت روی خود معین)","OK",IF(N497="ادغام با تفصیلی دیگر",IF(O497="","کلید مقصد خالی است",IF(IFERROR(MATCH(O497*1,$A:$A,0),0)=0,"کلید مقصد در این فهرست نیست",IF(O497*1=A497,"ادغام با خودش","OK"))),IF(Q497="","سطح شناور خالی است",IF(AND(FALSE,OR(Q497=1,Q497=2)),"سطح ۱ و ۲ این معین مال فعالیت و مرکز هزینه است","OK")))))</x:f>
      </x:c>
      <x:c r="T497" s="28"/>
    </x:row>
    <x:row r="498" spans="1:20">
      <x:c r="A498" s="21">
        <x:v>3414</x:v>
      </x:c>
      <x:c r="B498" s="22" t="s">
        <x:v>152</x:v>
      </x:c>
      <x:c r="C498" s="22" t="s">
        <x:v>205</x:v>
      </x:c>
      <x:c r="D498" s="22" t="s">
        <x:v>544</x:v>
      </x:c>
      <x:c r="E498" s="22" t="s">
        <x:v>337</x:v>
      </x:c>
      <x:c r="F498" s="22" t="s">
        <x:v>337</x:v>
      </x:c>
      <x:c r="G498" s="22">
        <x:v>179</x:v>
      </x:c>
      <x:c r="H498" s="23">
        <x:v>2174409068</x:v>
      </x:c>
      <x:c r="I498" s="23">
        <x:v>27495362256</x:v>
      </x:c>
      <x:c r="J498" s="23">
        <x:f>H498-I498</x:f>
      </x:c>
      <x:c r="K498" s="22">
        <x:v>1</x:v>
      </x:c>
      <x:c r="L498" s="24" t="s">
        <x:v>545</x:v>
      </x:c>
      <x:c r="M498" s="24"/>
      <x:c r="N498" s="27" t="s">
        <x:v>545</x:v>
      </x:c>
      <x:c r="O498" s="27"/>
      <x:c r="P498" s="26"/>
      <x:c r="Q498" s="27"/>
      <x:c r="R498" s="27"/>
      <x:c r="S498" s="22">
        <x:f>IF(N498="","تکمیل نشده",IF(N498="بدون تفصیلی (ثبت روی خود معین)","OK",IF(N498="ادغام با تفصیلی دیگر",IF(O498="","کلید مقصد خالی است",IF(IFERROR(MATCH(O498*1,$A:$A,0),0)=0,"کلید مقصد در این فهرست نیست",IF(O498*1=A498,"ادغام با خودش","OK"))),IF(Q498="","سطح شناور خالی است",IF(AND(FALSE,OR(Q498=1,Q498=2)),"سطح ۱ و ۲ این معین مال فعالیت و مرکز هزینه است","OK")))))</x:f>
      </x:c>
      <x:c r="T498" s="28"/>
    </x:row>
    <x:row r="499" spans="1:20">
      <x:c r="A499" s="21">
        <x:v>3416</x:v>
      </x:c>
      <x:c r="B499" s="22" t="s">
        <x:v>152</x:v>
      </x:c>
      <x:c r="C499" s="22" t="s">
        <x:v>200</x:v>
      </x:c>
      <x:c r="D499" s="22" t="s">
        <x:v>544</x:v>
      </x:c>
      <x:c r="E499" s="22" t="s">
        <x:v>338</x:v>
      </x:c>
      <x:c r="F499" s="22" t="s">
        <x:v>338</x:v>
      </x:c>
      <x:c r="G499" s="22">
        <x:v>94</x:v>
      </x:c>
      <x:c r="H499" s="23">
        <x:v>47343614809</x:v>
      </x:c>
      <x:c r="I499" s="23">
        <x:v>104780856</x:v>
      </x:c>
      <x:c r="J499" s="23">
        <x:f>H499-I499</x:f>
      </x:c>
      <x:c r="K499" s="22">
        <x:v>1</x:v>
      </x:c>
      <x:c r="L499" s="24" t="s">
        <x:v>545</x:v>
      </x:c>
      <x:c r="M499" s="24"/>
      <x:c r="N499" s="27" t="s">
        <x:v>545</x:v>
      </x:c>
      <x:c r="O499" s="27"/>
      <x:c r="P499" s="26"/>
      <x:c r="Q499" s="27"/>
      <x:c r="R499" s="27"/>
      <x:c r="S499" s="22">
        <x:f>IF(N499="","تکمیل نشده",IF(N499="بدون تفصیلی (ثبت روی خود معین)","OK",IF(N499="ادغام با تفصیلی دیگر",IF(O499="","کلید مقصد خالی است",IF(IFERROR(MATCH(O499*1,$A:$A,0),0)=0,"کلید مقصد در این فهرست نیست",IF(O499*1=A499,"ادغام با خودش","OK"))),IF(Q499="","سطح شناور خالی است",IF(AND(FALSE,OR(Q499=1,Q499=2)),"سطح ۱ و ۲ این معین مال فعالیت و مرکز هزینه است","OK")))))</x:f>
      </x:c>
      <x:c r="T499" s="28"/>
    </x:row>
    <x:row r="500" spans="1:20">
      <x:c r="A500" s="21">
        <x:v>3418</x:v>
      </x:c>
      <x:c r="B500" s="22" t="s">
        <x:v>152</x:v>
      </x:c>
      <x:c r="C500" s="22" t="s">
        <x:v>207</x:v>
      </x:c>
      <x:c r="D500" s="22" t="s">
        <x:v>544</x:v>
      </x:c>
      <x:c r="E500" s="22" t="s">
        <x:v>339</x:v>
      </x:c>
      <x:c r="F500" s="22" t="s">
        <x:v>339</x:v>
      </x:c>
      <x:c r="G500" s="22">
        <x:v>1</x:v>
      </x:c>
      <x:c r="H500" s="23">
        <x:v>107548583</x:v>
      </x:c>
      <x:c r="I500" s="23">
        <x:v>0</x:v>
      </x:c>
      <x:c r="J500" s="23">
        <x:f>H500-I500</x:f>
      </x:c>
      <x:c r="K500" s="22">
        <x:v>1</x:v>
      </x:c>
      <x:c r="L500" s="24" t="s">
        <x:v>545</x:v>
      </x:c>
      <x:c r="M500" s="24"/>
      <x:c r="N500" s="27" t="s">
        <x:v>545</x:v>
      </x:c>
      <x:c r="O500" s="27"/>
      <x:c r="P500" s="26"/>
      <x:c r="Q500" s="27"/>
      <x:c r="R500" s="27"/>
      <x:c r="S500" s="22">
        <x:f>IF(N500="","تکمیل نشده",IF(N500="بدون تفصیلی (ثبت روی خود معین)","OK",IF(N500="ادغام با تفصیلی دیگر",IF(O500="","کلید مقصد خالی است",IF(IFERROR(MATCH(O500*1,$A:$A,0),0)=0,"کلید مقصد در این فهرست نیست",IF(O500*1=A500,"ادغام با خودش","OK"))),IF(Q500="","سطح شناور خالی است",IF(AND(FALSE,OR(Q500=1,Q500=2)),"سطح ۱ و ۲ این معین مال فعالیت و مرکز هزینه است","OK")))))</x:f>
      </x:c>
      <x:c r="T500" s="28"/>
    </x:row>
    <x:row r="501" spans="1:20">
      <x:c r="A501" s="21">
        <x:v>3877</x:v>
      </x:c>
      <x:c r="B501" s="22" t="s">
        <x:v>152</x:v>
      </x:c>
      <x:c r="C501" s="22" t="s">
        <x:v>207</x:v>
      </x:c>
      <x:c r="D501" s="22" t="s">
        <x:v>1123</x:v>
      </x:c>
      <x:c r="E501" s="22" t="s">
        <x:v>1124</x:v>
      </x:c>
      <x:c r="F501" s="22" t="s">
        <x:v>339</x:v>
      </x:c>
      <x:c r="G501" s="22">
        <x:v>1</x:v>
      </x:c>
      <x:c r="H501" s="23">
        <x:v>76649376</x:v>
      </x:c>
      <x:c r="I501" s="23">
        <x:v>0</x:v>
      </x:c>
      <x:c r="J501" s="23">
        <x:f>H501-I501</x:f>
      </x:c>
      <x:c r="K501" s="22">
        <x:v>1</x:v>
      </x:c>
      <x:c r="L501" s="24" t="s">
        <x:v>548</x:v>
      </x:c>
      <x:c r="M501" s="24"/>
      <x:c r="N501" s="27" t="s">
        <x:v>548</x:v>
      </x:c>
      <x:c r="O501" s="27"/>
      <x:c r="P501" s="26"/>
      <x:c r="Q501" s="27">
        <x:v>1</x:v>
      </x:c>
      <x:c r="R501" s="27"/>
      <x:c r="S501" s="22">
        <x:f>IF(N501="","تکمیل نشده",IF(N501="بدون تفصیلی (ثبت روی خود معین)","OK",IF(N501="ادغام با تفصیلی دیگر",IF(O501="","کلید مقصد خالی است",IF(IFERROR(MATCH(O501*1,$A:$A,0),0)=0,"کلید مقصد در این فهرست نیست",IF(O501*1=A501,"ادغام با خودش","OK"))),IF(Q501="","سطح شناور خالی است",IF(AND(FALSE,OR(Q501=1,Q501=2)),"سطح ۱ و ۲ این معین مال فعالیت و مرکز هزینه است","OK")))))</x:f>
      </x:c>
      <x:c r="T501" s="28"/>
    </x:row>
    <x:row r="502" spans="1:20">
      <x:c r="A502" s="21">
        <x:v>3878</x:v>
      </x:c>
      <x:c r="B502" s="22" t="s">
        <x:v>152</x:v>
      </x:c>
      <x:c r="C502" s="22" t="s">
        <x:v>207</x:v>
      </x:c>
      <x:c r="D502" s="22" t="s">
        <x:v>1125</x:v>
      </x:c>
      <x:c r="E502" s="22" t="s">
        <x:v>1126</x:v>
      </x:c>
      <x:c r="F502" s="22" t="s">
        <x:v>339</x:v>
      </x:c>
      <x:c r="G502" s="22">
        <x:v>1</x:v>
      </x:c>
      <x:c r="H502" s="23">
        <x:v>218998213</x:v>
      </x:c>
      <x:c r="I502" s="23">
        <x:v>0</x:v>
      </x:c>
      <x:c r="J502" s="23">
        <x:f>H502-I502</x:f>
      </x:c>
      <x:c r="K502" s="22">
        <x:v>1</x:v>
      </x:c>
      <x:c r="L502" s="24" t="s">
        <x:v>548</x:v>
      </x:c>
      <x:c r="M502" s="24"/>
      <x:c r="N502" s="27" t="s">
        <x:v>548</x:v>
      </x:c>
      <x:c r="O502" s="27"/>
      <x:c r="P502" s="26"/>
      <x:c r="Q502" s="27">
        <x:v>1</x:v>
      </x:c>
      <x:c r="R502" s="27"/>
      <x:c r="S502" s="22">
        <x:f>IF(N502="","تکمیل نشده",IF(N502="بدون تفصیلی (ثبت روی خود معین)","OK",IF(N502="ادغام با تفصیلی دیگر",IF(O502="","کلید مقصد خالی است",IF(IFERROR(MATCH(O502*1,$A:$A,0),0)=0,"کلید مقصد در این فهرست نیست",IF(O502*1=A502,"ادغام با خودش","OK"))),IF(Q502="","سطح شناور خالی است",IF(AND(FALSE,OR(Q502=1,Q502=2)),"سطح ۱ و ۲ این معین مال فعالیت و مرکز هزینه است","OK")))))</x:f>
      </x:c>
      <x:c r="T502" s="28"/>
    </x:row>
    <x:row r="503" spans="1:20">
      <x:c r="A503" s="21">
        <x:v>3881</x:v>
      </x:c>
      <x:c r="B503" s="22" t="s">
        <x:v>152</x:v>
      </x:c>
      <x:c r="C503" s="22" t="s">
        <x:v>207</x:v>
      </x:c>
      <x:c r="D503" s="22" t="s">
        <x:v>1127</x:v>
      </x:c>
      <x:c r="E503" s="22" t="s">
        <x:v>1128</x:v>
      </x:c>
      <x:c r="F503" s="22" t="s">
        <x:v>339</x:v>
      </x:c>
      <x:c r="G503" s="22">
        <x:v>1</x:v>
      </x:c>
      <x:c r="H503" s="23">
        <x:v>225455748</x:v>
      </x:c>
      <x:c r="I503" s="23">
        <x:v>0</x:v>
      </x:c>
      <x:c r="J503" s="23">
        <x:f>H503-I503</x:f>
      </x:c>
      <x:c r="K503" s="22">
        <x:v>1</x:v>
      </x:c>
      <x:c r="L503" s="24" t="s">
        <x:v>548</x:v>
      </x:c>
      <x:c r="M503" s="24"/>
      <x:c r="N503" s="27" t="s">
        <x:v>548</x:v>
      </x:c>
      <x:c r="O503" s="27"/>
      <x:c r="P503" s="26"/>
      <x:c r="Q503" s="27">
        <x:v>1</x:v>
      </x:c>
      <x:c r="R503" s="27"/>
      <x:c r="S503" s="22">
        <x:f>IF(N503="","تکمیل نشده",IF(N503="بدون تفصیلی (ثبت روی خود معین)","OK",IF(N503="ادغام با تفصیلی دیگر",IF(O503="","کلید مقصد خالی است",IF(IFERROR(MATCH(O503*1,$A:$A,0),0)=0,"کلید مقصد در این فهرست نیست",IF(O503*1=A503,"ادغام با خودش","OK"))),IF(Q503="","سطح شناور خالی است",IF(AND(FALSE,OR(Q503=1,Q503=2)),"سطح ۱ و ۲ این معین مال فعالیت و مرکز هزینه است","OK")))))</x:f>
      </x:c>
      <x:c r="T503" s="28"/>
    </x:row>
    <x:row r="504" spans="1:20">
      <x:c r="A504" s="21">
        <x:v>3879</x:v>
      </x:c>
      <x:c r="B504" s="22" t="s">
        <x:v>152</x:v>
      </x:c>
      <x:c r="C504" s="22" t="s">
        <x:v>207</x:v>
      </x:c>
      <x:c r="D504" s="22" t="s">
        <x:v>1129</x:v>
      </x:c>
      <x:c r="E504" s="22" t="s">
        <x:v>1130</x:v>
      </x:c>
      <x:c r="F504" s="22" t="s">
        <x:v>339</x:v>
      </x:c>
      <x:c r="G504" s="22">
        <x:v>1</x:v>
      </x:c>
      <x:c r="H504" s="23">
        <x:v>30119206</x:v>
      </x:c>
      <x:c r="I504" s="23">
        <x:v>0</x:v>
      </x:c>
      <x:c r="J504" s="23">
        <x:f>H504-I504</x:f>
      </x:c>
      <x:c r="K504" s="22">
        <x:v>1</x:v>
      </x:c>
      <x:c r="L504" s="24" t="s">
        <x:v>548</x:v>
      </x:c>
      <x:c r="M504" s="24"/>
      <x:c r="N504" s="27" t="s">
        <x:v>548</x:v>
      </x:c>
      <x:c r="O504" s="27"/>
      <x:c r="P504" s="26"/>
      <x:c r="Q504" s="27">
        <x:v>1</x:v>
      </x:c>
      <x:c r="R504" s="27"/>
      <x:c r="S504" s="22">
        <x:f>IF(N504="","تکمیل نشده",IF(N504="بدون تفصیلی (ثبت روی خود معین)","OK",IF(N504="ادغام با تفصیلی دیگر",IF(O504="","کلید مقصد خالی است",IF(IFERROR(MATCH(O504*1,$A:$A,0),0)=0,"کلید مقصد در این فهرست نیست",IF(O504*1=A504,"ادغام با خودش","OK"))),IF(Q504="","سطح شناور خالی است",IF(AND(FALSE,OR(Q504=1,Q504=2)),"سطح ۱ و ۲ این معین مال فعالیت و مرکز هزینه است","OK")))))</x:f>
      </x:c>
      <x:c r="T504" s="28"/>
    </x:row>
    <x:row r="505" spans="1:20">
      <x:c r="A505" s="21">
        <x:v>3880</x:v>
      </x:c>
      <x:c r="B505" s="22" t="s">
        <x:v>152</x:v>
      </x:c>
      <x:c r="C505" s="22" t="s">
        <x:v>207</x:v>
      </x:c>
      <x:c r="D505" s="22" t="s">
        <x:v>1131</x:v>
      </x:c>
      <x:c r="E505" s="22" t="s">
        <x:v>1132</x:v>
      </x:c>
      <x:c r="F505" s="22" t="s">
        <x:v>339</x:v>
      </x:c>
      <x:c r="G505" s="22">
        <x:v>1</x:v>
      </x:c>
      <x:c r="H505" s="23">
        <x:v>86054873</x:v>
      </x:c>
      <x:c r="I505" s="23">
        <x:v>0</x:v>
      </x:c>
      <x:c r="J505" s="23">
        <x:f>H505-I505</x:f>
      </x:c>
      <x:c r="K505" s="22">
        <x:v>1</x:v>
      </x:c>
      <x:c r="L505" s="24" t="s">
        <x:v>548</x:v>
      </x:c>
      <x:c r="M505" s="24"/>
      <x:c r="N505" s="27" t="s">
        <x:v>548</x:v>
      </x:c>
      <x:c r="O505" s="27"/>
      <x:c r="P505" s="26"/>
      <x:c r="Q505" s="27">
        <x:v>1</x:v>
      </x:c>
      <x:c r="R505" s="27"/>
      <x:c r="S505" s="22">
        <x:f>IF(N505="","تکمیل نشده",IF(N505="بدون تفصیلی (ثبت روی خود معین)","OK",IF(N505="ادغام با تفصیلی دیگر",IF(O505="","کلید مقصد خالی است",IF(IFERROR(MATCH(O505*1,$A:$A,0),0)=0,"کلید مقصد در این فهرست نیست",IF(O505*1=A505,"ادغام با خودش","OK"))),IF(Q505="","سطح شناور خالی است",IF(AND(FALSE,OR(Q505=1,Q505=2)),"سطح ۱ و ۲ این معین مال فعالیت و مرکز هزینه است","OK")))))</x:f>
      </x:c>
      <x:c r="T505" s="28"/>
    </x:row>
    <x:row r="506" spans="1:20">
      <x:c r="A506" s="21">
        <x:v>3424</x:v>
      </x:c>
      <x:c r="B506" s="22" t="s">
        <x:v>152</x:v>
      </x:c>
      <x:c r="C506" s="22" t="s">
        <x:v>149</x:v>
      </x:c>
      <x:c r="D506" s="22" t="s">
        <x:v>544</x:v>
      </x:c>
      <x:c r="E506" s="22" t="s">
        <x:v>340</x:v>
      </x:c>
      <x:c r="F506" s="22" t="s">
        <x:v>340</x:v>
      </x:c>
      <x:c r="G506" s="22">
        <x:v>4</x:v>
      </x:c>
      <x:c r="H506" s="23">
        <x:v>2864044</x:v>
      </x:c>
      <x:c r="I506" s="23">
        <x:v>6861000000</x:v>
      </x:c>
      <x:c r="J506" s="23">
        <x:f>H506-I506</x:f>
      </x:c>
      <x:c r="K506" s="22">
        <x:v>1</x:v>
      </x:c>
      <x:c r="L506" s="24" t="s">
        <x:v>545</x:v>
      </x:c>
      <x:c r="M506" s="24"/>
      <x:c r="N506" s="27" t="s">
        <x:v>545</x:v>
      </x:c>
      <x:c r="O506" s="27"/>
      <x:c r="P506" s="26"/>
      <x:c r="Q506" s="27"/>
      <x:c r="R506" s="27"/>
      <x:c r="S506" s="22">
        <x:f>IF(N506="","تکمیل نشده",IF(N506="بدون تفصیلی (ثبت روی خود معین)","OK",IF(N506="ادغام با تفصیلی دیگر",IF(O506="","کلید مقصد خالی است",IF(IFERROR(MATCH(O506*1,$A:$A,0),0)=0,"کلید مقصد در این فهرست نیست",IF(O506*1=A506,"ادغام با خودش","OK"))),IF(Q506="","سطح شناور خالی است",IF(AND(FALSE,OR(Q506=1,Q506=2)),"سطح ۱ و ۲ این معین مال فعالیت و مرکز هزینه است","OK")))))</x:f>
      </x:c>
      <x:c r="T506" s="28"/>
    </x:row>
    <x:row r="507" spans="1:20">
      <x:c r="A507" s="21">
        <x:v>3437</x:v>
      </x:c>
      <x:c r="B507" s="22" t="s">
        <x:v>155</x:v>
      </x:c>
      <x:c r="C507" s="22" t="s">
        <x:v>197</x:v>
      </x:c>
      <x:c r="D507" s="22" t="s">
        <x:v>1133</x:v>
      </x:c>
      <x:c r="E507" s="22" t="s">
        <x:v>341</x:v>
      </x:c>
      <x:c r="F507" s="22" t="s">
        <x:v>341</x:v>
      </x:c>
      <x:c r="G507" s="22">
        <x:v>1</x:v>
      </x:c>
      <x:c r="H507" s="23">
        <x:v>178102618188</x:v>
      </x:c>
      <x:c r="I507" s="23">
        <x:v>0</x:v>
      </x:c>
      <x:c r="J507" s="23">
        <x:f>H507-I507</x:f>
      </x:c>
      <x:c r="K507" s="22">
        <x:v>2</x:v>
      </x:c>
      <x:c r="L507" s="24" t="s">
        <x:v>550</x:v>
      </x:c>
      <x:c r="M507" s="24">
        <x:v>3813</x:v>
      </x:c>
      <x:c r="N507" s="27" t="s">
        <x:v>550</x:v>
      </x:c>
      <x:c r="O507" s="27">
        <x:v>3813</x:v>
      </x:c>
      <x:c r="P507" s="26"/>
      <x:c r="Q507" s="27">
        <x:v>1</x:v>
      </x:c>
      <x:c r="R507" s="27"/>
      <x:c r="S507" s="22">
        <x:f>IF(N507="","تکمیل نشده",IF(N507="بدون تفصیلی (ثبت روی خود معین)","OK",IF(N507="ادغام با تفصیلی دیگر",IF(O507="","کلید مقصد خالی است",IF(IFERROR(MATCH(O507*1,$A:$A,0),0)=0,"کلید مقصد در این فهرست نیست",IF(O507*1=A507,"ادغام با خودش","OK"))),IF(Q507="","سطح شناور خالی است",IF(AND(FALSE,OR(Q507=1,Q507=2)),"سطح ۱ و ۲ این معین مال فعالیت و مرکز هزینه است","OK")))))</x:f>
      </x:c>
      <x:c r="T507" s="28"/>
    </x:row>
    <x:row r="508" spans="1:20">
      <x:c r="A508" s="21">
        <x:v>3461</x:v>
      </x:c>
      <x:c r="B508" s="22" t="s">
        <x:v>158</x:v>
      </x:c>
      <x:c r="C508" s="22" t="s">
        <x:v>63</x:v>
      </x:c>
      <x:c r="D508" s="22" t="s">
        <x:v>544</x:v>
      </x:c>
      <x:c r="E508" s="22" t="s">
        <x:v>342</x:v>
      </x:c>
      <x:c r="F508" s="22" t="s">
        <x:v>342</x:v>
      </x:c>
      <x:c r="G508" s="22">
        <x:v>33</x:v>
      </x:c>
      <x:c r="H508" s="23">
        <x:v>0</x:v>
      </x:c>
      <x:c r="I508" s="23">
        <x:v>150250000000</x:v>
      </x:c>
      <x:c r="J508" s="23">
        <x:f>H508-I508</x:f>
      </x:c>
      <x:c r="K508" s="22">
        <x:v>1</x:v>
      </x:c>
      <x:c r="L508" s="24" t="s">
        <x:v>545</x:v>
      </x:c>
      <x:c r="M508" s="24"/>
      <x:c r="N508" s="27" t="s">
        <x:v>545</x:v>
      </x:c>
      <x:c r="O508" s="27"/>
      <x:c r="P508" s="26"/>
      <x:c r="Q508" s="27"/>
      <x:c r="R508" s="27"/>
      <x:c r="S508" s="22">
        <x:f>IF(N508="","تکمیل نشده",IF(N508="بدون تفصیلی (ثبت روی خود معین)","OK",IF(N508="ادغام با تفصیلی دیگر",IF(O508="","کلید مقصد خالی است",IF(IFERROR(MATCH(O508*1,$A:$A,0),0)=0,"کلید مقصد در این فهرست نیست",IF(O508*1=A508,"ادغام با خودش","OK"))),IF(Q508="","سطح شناور خالی است",IF(AND(FALSE,OR(Q508=1,Q508=2)),"سطح ۱ و ۲ این معین مال فعالیت و مرکز هزینه است","OK")))))</x:f>
      </x:c>
      <x:c r="T508" s="28"/>
    </x:row>
    <x:row r="509" spans="1:20">
      <x:c r="A509" s="21">
        <x:v>3463</x:v>
      </x:c>
      <x:c r="B509" s="22" t="s">
        <x:v>158</x:v>
      </x:c>
      <x:c r="C509" s="22" t="s">
        <x:v>66</x:v>
      </x:c>
      <x:c r="D509" s="22" t="s">
        <x:v>544</x:v>
      </x:c>
      <x:c r="E509" s="22" t="s">
        <x:v>343</x:v>
      </x:c>
      <x:c r="F509" s="22" t="s">
        <x:v>343</x:v>
      </x:c>
      <x:c r="G509" s="22">
        <x:v>11</x:v>
      </x:c>
      <x:c r="H509" s="23">
        <x:v>0</x:v>
      </x:c>
      <x:c r="I509" s="23">
        <x:v>1379553395</x:v>
      </x:c>
      <x:c r="J509" s="23">
        <x:f>H509-I509</x:f>
      </x:c>
      <x:c r="K509" s="22">
        <x:v>1</x:v>
      </x:c>
      <x:c r="L509" s="24" t="s">
        <x:v>545</x:v>
      </x:c>
      <x:c r="M509" s="24"/>
      <x:c r="N509" s="27" t="s">
        <x:v>545</x:v>
      </x:c>
      <x:c r="O509" s="27"/>
      <x:c r="P509" s="26"/>
      <x:c r="Q509" s="27"/>
      <x:c r="R509" s="27"/>
      <x:c r="S509" s="22">
        <x:f>IF(N509="","تکمیل نشده",IF(N509="بدون تفصیلی (ثبت روی خود معین)","OK",IF(N509="ادغام با تفصیلی دیگر",IF(O509="","کلید مقصد خالی است",IF(IFERROR(MATCH(O509*1,$A:$A,0),0)=0,"کلید مقصد در این فهرست نیست",IF(O509*1=A509,"ادغام با خودش","OK"))),IF(Q509="","سطح شناور خالی است",IF(AND(FALSE,OR(Q509=1,Q509=2)),"سطح ۱ و ۲ این معین مال فعالیت و مرکز هزینه است","OK")))))</x:f>
      </x:c>
      <x:c r="T509" s="28"/>
    </x:row>
    <x:row r="510" spans="1:20">
      <x:c r="A510" s="21">
        <x:v>3469</x:v>
      </x:c>
      <x:c r="B510" s="22" t="s">
        <x:v>158</x:v>
      </x:c>
      <x:c r="C510" s="22" t="s">
        <x:v>344</x:v>
      </x:c>
      <x:c r="D510" s="22" t="s">
        <x:v>544</x:v>
      </x:c>
      <x:c r="E510" s="22" t="s">
        <x:v>345</x:v>
      </x:c>
      <x:c r="F510" s="22" t="s">
        <x:v>345</x:v>
      </x:c>
      <x:c r="G510" s="22">
        <x:v>10</x:v>
      </x:c>
      <x:c r="H510" s="23">
        <x:v>1299160000</x:v>
      </x:c>
      <x:c r="I510" s="23">
        <x:v>0</x:v>
      </x:c>
      <x:c r="J510" s="23">
        <x:f>H510-I510</x:f>
      </x:c>
      <x:c r="K510" s="22">
        <x:v>1</x:v>
      </x:c>
      <x:c r="L510" s="24" t="s">
        <x:v>545</x:v>
      </x:c>
      <x:c r="M510" s="24"/>
      <x:c r="N510" s="27" t="s">
        <x:v>545</x:v>
      </x:c>
      <x:c r="O510" s="27"/>
      <x:c r="P510" s="26"/>
      <x:c r="Q510" s="27"/>
      <x:c r="R510" s="27"/>
      <x:c r="S510" s="22">
        <x:f>IF(N510="","تکمیل نشده",IF(N510="بدون تفصیلی (ثبت روی خود معین)","OK",IF(N510="ادغام با تفصیلی دیگر",IF(O510="","کلید مقصد خالی است",IF(IFERROR(MATCH(O510*1,$A:$A,0),0)=0,"کلید مقصد در این فهرست نیست",IF(O510*1=A510,"ادغام با خودش","OK"))),IF(Q510="","سطح شناور خالی است",IF(AND(FALSE,OR(Q510=1,Q510=2)),"سطح ۱ و ۲ این معین مال فعالیت و مرکز هزینه است","OK")))))</x:f>
      </x:c>
      <x:c r="T510" s="28"/>
    </x:row>
    <x:row r="511" spans="1:20">
      <x:c r="A511" s="21">
        <x:v>3500</x:v>
      </x:c>
      <x:c r="B511" s="22" t="s">
        <x:v>162</x:v>
      </x:c>
      <x:c r="C511" s="22" t="s">
        <x:v>30</x:v>
      </x:c>
      <x:c r="D511" s="22" t="s">
        <x:v>831</x:v>
      </x:c>
      <x:c r="E511" s="22" t="s">
        <x:v>832</x:v>
      </x:c>
      <x:c r="F511" s="22" t="s">
        <x:v>346</x:v>
      </x:c>
      <x:c r="G511" s="22">
        <x:v>5</x:v>
      </x:c>
      <x:c r="H511" s="23">
        <x:v>60000000</x:v>
      </x:c>
      <x:c r="I511" s="23">
        <x:v>240000000</x:v>
      </x:c>
      <x:c r="J511" s="23">
        <x:f>H511-I511</x:f>
      </x:c>
      <x:c r="K511" s="22">
        <x:v>3</x:v>
      </x:c>
      <x:c r="L511" s="24" t="s">
        <x:v>550</x:v>
      </x:c>
      <x:c r="M511" s="24">
        <x:v>2473</x:v>
      </x:c>
      <x:c r="N511" s="27" t="s">
        <x:v>550</x:v>
      </x:c>
      <x:c r="O511" s="27">
        <x:v>2473</x:v>
      </x:c>
      <x:c r="P511" s="26"/>
      <x:c r="Q511" s="27">
        <x:v>1</x:v>
      </x:c>
      <x:c r="R511" s="27"/>
      <x:c r="S511" s="22">
        <x:f>IF(N511="","تکمیل نشده",IF(N511="بدون تفصیلی (ثبت روی خود معین)","OK",IF(N511="ادغام با تفصیلی دیگر",IF(O511="","کلید مقصد خالی است",IF(IFERROR(MATCH(O511*1,$A:$A,0),0)=0,"کلید مقصد در این فهرست نیست",IF(O511*1=A511,"ادغام با خودش","OK"))),IF(Q511="","سطح شناور خالی است",IF(AND(FALSE,OR(Q511=1,Q511=2)),"سطح ۱ و ۲ این معین مال فعالیت و مرکز هزینه است","OK")))))</x:f>
      </x:c>
      <x:c r="T511" s="28"/>
    </x:row>
    <x:row r="512" spans="1:20">
      <x:c r="A512" s="21">
        <x:v>3518</x:v>
      </x:c>
      <x:c r="B512" s="22" t="s">
        <x:v>162</x:v>
      </x:c>
      <x:c r="C512" s="22" t="s">
        <x:v>262</x:v>
      </x:c>
      <x:c r="D512" s="22" t="s">
        <x:v>729</x:v>
      </x:c>
      <x:c r="E512" s="22" t="s">
        <x:v>1134</x:v>
      </x:c>
      <x:c r="F512" s="22" t="s">
        <x:v>347</x:v>
      </x:c>
      <x:c r="G512" s="22">
        <x:v>10</x:v>
      </x:c>
      <x:c r="H512" s="23">
        <x:v>83941133</x:v>
      </x:c>
      <x:c r="I512" s="23">
        <x:v>335764532</x:v>
      </x:c>
      <x:c r="J512" s="23">
        <x:f>H512-I512</x:f>
      </x:c>
      <x:c r="K512" s="22">
        <x:v>2</x:v>
      </x:c>
      <x:c r="L512" s="24" t="s">
        <x:v>548</x:v>
      </x:c>
      <x:c r="M512" s="24"/>
      <x:c r="N512" s="27" t="s">
        <x:v>548</x:v>
      </x:c>
      <x:c r="O512" s="27"/>
      <x:c r="P512" s="26"/>
      <x:c r="Q512" s="27">
        <x:v>1</x:v>
      </x:c>
      <x:c r="R512" s="27"/>
      <x:c r="S512" s="22">
        <x:f>IF(N512="","تکمیل نشده",IF(N512="بدون تفصیلی (ثبت روی خود معین)","OK",IF(N512="ادغام با تفصیلی دیگر",IF(O512="","کلید مقصد خالی است",IF(IFERROR(MATCH(O512*1,$A:$A,0),0)=0,"کلید مقصد در این فهرست نیست",IF(O512*1=A512,"ادغام با خودش","OK"))),IF(Q512="","سطح شناور خالی است",IF(AND(FALSE,OR(Q512=1,Q512=2)),"سطح ۱ و ۲ این معین مال فعالیت و مرکز هزینه است","OK")))))</x:f>
      </x:c>
      <x:c r="T512" s="28"/>
    </x:row>
    <x:row r="513" spans="1:20">
      <x:c r="A513" s="21">
        <x:v>3564</x:v>
      </x:c>
      <x:c r="B513" s="22" t="s">
        <x:v>166</x:v>
      </x:c>
      <x:c r="C513" s="22" t="s">
        <x:v>30</x:v>
      </x:c>
      <x:c r="D513" s="22" t="s">
        <x:v>831</x:v>
      </x:c>
      <x:c r="E513" s="22" t="s">
        <x:v>1135</x:v>
      </x:c>
      <x:c r="F513" s="22" t="s">
        <x:v>348</x:v>
      </x:c>
      <x:c r="G513" s="22">
        <x:v>5</x:v>
      </x:c>
      <x:c r="H513" s="23">
        <x:v>240000000</x:v>
      </x:c>
      <x:c r="I513" s="23">
        <x:v>60000000</x:v>
      </x:c>
      <x:c r="J513" s="23">
        <x:f>H513-I513</x:f>
      </x:c>
      <x:c r="K513" s="22">
        <x:v>1</x:v>
      </x:c>
      <x:c r="L513" s="24" t="s">
        <x:v>548</x:v>
      </x:c>
      <x:c r="M513" s="24"/>
      <x:c r="N513" s="27" t="s">
        <x:v>548</x:v>
      </x:c>
      <x:c r="O513" s="27"/>
      <x:c r="P513" s="26"/>
      <x:c r="Q513" s="27">
        <x:v>1</x:v>
      </x:c>
      <x:c r="R513" s="27"/>
      <x:c r="S513" s="22">
        <x:f>IF(N513="","تکمیل نشده",IF(N513="بدون تفصیلی (ثبت روی خود معین)","OK",IF(N513="ادغام با تفصیلی دیگر",IF(O513="","کلید مقصد خالی است",IF(IFERROR(MATCH(O513*1,$A:$A,0),0)=0,"کلید مقصد در این فهرست نیست",IF(O513*1=A513,"ادغام با خودش","OK"))),IF(Q513="","سطح شناور خالی است",IF(AND(FALSE,OR(Q513=1,Q513=2)),"سطح ۱ و ۲ این معین مال فعالیت و مرکز هزینه است","OK")))))</x:f>
      </x:c>
      <x:c r="T513" s="28"/>
    </x:row>
    <x:row r="514" spans="1:20">
      <x:c r="A514" s="29">
        <x:v>3575</x:v>
      </x:c>
      <x:c r="B514" s="30" t="s">
        <x:v>166</x:v>
      </x:c>
      <x:c r="C514" s="30" t="s">
        <x:v>262</x:v>
      </x:c>
      <x:c r="D514" s="30" t="s">
        <x:v>729</x:v>
      </x:c>
      <x:c r="E514" s="30" t="s">
        <x:v>1136</x:v>
      </x:c>
      <x:c r="F514" s="30" t="s">
        <x:v>349</x:v>
      </x:c>
      <x:c r="G514" s="30">
        <x:v>10</x:v>
      </x:c>
      <x:c r="H514" s="31">
        <x:v>335764532</x:v>
      </x:c>
      <x:c r="I514" s="31">
        <x:v>83941133</x:v>
      </x:c>
      <x:c r="J514" s="31">
        <x:f>H514-I514</x:f>
      </x:c>
      <x:c r="K514" s="30">
        <x:v>2</x:v>
      </x:c>
      <x:c r="L514" s="32" t="s">
        <x:v>550</x:v>
      </x:c>
      <x:c r="M514" s="32">
        <x:v>3518</x:v>
      </x:c>
      <x:c r="N514" s="35" t="s">
        <x:v>550</x:v>
      </x:c>
      <x:c r="O514" s="35">
        <x:v>3518</x:v>
      </x:c>
      <x:c r="P514" s="34"/>
      <x:c r="Q514" s="35">
        <x:v>1</x:v>
      </x:c>
      <x:c r="R514" s="35"/>
      <x:c r="S514" s="30">
        <x:f>IF(N514="","تکمیل نشده",IF(N514="بدون تفصیلی (ثبت روی خود معین)","OK",IF(N514="ادغام با تفصیلی دیگر",IF(O514="","کلید مقصد خالی است",IF(IFERROR(MATCH(O514*1,$A:$A,0),0)=0,"کلید مقصد در این فهرست نیست",IF(O514*1=A514,"ادغام با خودش","OK"))),IF(Q514="","سطح شناور خالی است",IF(AND(FALSE,OR(Q514=1,Q514=2)),"سطح ۱ و ۲ این معین مال فعالیت و مرکز هزینه است","OK")))))</x:f>
      </x:c>
      <x:c r="T514" s="36"/>
    </x:row>
  </x:sheetData>
  <x:autoFilter ref="A1:T514"/>
  <x:conditionalFormatting sqref="S2:S514">
    <x:cfRule type="cellIs" dxfId="0" priority="1" operator="equal">
      <x:formula>"OK"</x:formula>
    </x:cfRule>
    <x:cfRule type="notContainsBlanks" dxfId="1" priority="2">
      <x:formula>LEN(TRIM(S2))&gt;0</x:formula>
    </x:cfRule>
  </x:conditionalFormatting>
  <x:dataValidations count="2">
    <x:dataValidation type="list" errorStyle="stop" operator="between" allowBlank="1" showDropDown="0" showInputMessage="1" showErrorMessage="1" errorTitle="" error="" promptTitle="" prompt="" sqref="N2:N514">
      <x:formula1>"ایجاد تفصیلی جدید,ادغام با تفصیلی دیگر,بدون تفصیلی (ثبت روی خود معین)"</x:formula1>
      <x:formula2/>
    </x:dataValidation>
    <x:dataValidation type="list" errorStyle="stop" operator="between" allowBlank="1" showDropDown="0" showInputMessage="1" showErrorMessage="1" errorTitle="" error="" promptTitle="" prompt="" sqref="Q2:Q514">
      <x:formula1>"1,2,3,4,5,6,7"</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O134"/>
  <x:sheetViews>
    <x:sheetView rightToLeft="1" workbookViewId="0">
      <x:pane xSplit="0" ySplit="1" topLeftCell="A2" activePane="bottomLeft" state="frozenSplit"/>
    </x:sheetView>
  </x:sheetViews>
  <x:sheetFormatPr defaultRowHeight="15"/>
  <x:cols>
    <x:col min="16" max="16384" width="9.140625" style="1" customWidth="1"/>
    <x:col min="1" max="1" width="10.710625" style="1" customWidth="1"/>
    <x:col min="2" max="3" width="8.710625" style="1" customWidth="1"/>
    <x:col min="4" max="4" width="11.710625" style="1" customWidth="1"/>
    <x:col min="5" max="5" width="34.710625" style="1" customWidth="1"/>
    <x:col min="6" max="6" width="26.710625" style="1" customWidth="1"/>
    <x:col min="7" max="8" width="8.710625" style="1" customWidth="1"/>
    <x:col min="9" max="9" width="44.710625" style="1" customWidth="1"/>
    <x:col min="10" max="11" width="18.710625" style="1" customWidth="1"/>
    <x:col min="12" max="12" width="14.710625" style="1" customWidth="1"/>
    <x:col min="13" max="13" width="26.710625" style="1" customWidth="1"/>
    <x:col min="14" max="14" width="16.710625" style="1" customWidth="1"/>
    <x:col min="15" max="15" width="30.710625" style="1" customWidth="1"/>
  </x:cols>
  <x:sheetData>
    <x:row r="1" spans="1:15" ht="45" customHeight="1">
      <x:c r="A1" s="11" t="s">
        <x:v>1137</x:v>
      </x:c>
      <x:c r="B1" s="11" t="s">
        <x:v>1138</x:v>
      </x:c>
      <x:c r="C1" s="11" t="s">
        <x:v>1139</x:v>
      </x:c>
      <x:c r="D1" s="11" t="s">
        <x:v>1140</x:v>
      </x:c>
      <x:c r="E1" s="11" t="s">
        <x:v>1141</x:v>
      </x:c>
      <x:c r="F1" s="11" t="s">
        <x:v>1142</x:v>
      </x:c>
      <x:c r="G1" s="11" t="s">
        <x:v>3</x:v>
      </x:c>
      <x:c r="H1" s="11" t="s">
        <x:v>1143</x:v>
      </x:c>
      <x:c r="I1" s="11" t="s">
        <x:v>1144</x:v>
      </x:c>
      <x:c r="J1" s="11" t="s">
        <x:v>537</x:v>
      </x:c>
      <x:c r="K1" s="12" t="s">
        <x:v>539</x:v>
      </x:c>
      <x:c r="L1" s="12" t="s">
        <x:v>541</x:v>
      </x:c>
      <x:c r="M1" s="12" t="s">
        <x:v>1145</x:v>
      </x:c>
      <x:c r="N1" s="11" t="s">
        <x:v>11</x:v>
      </x:c>
      <x:c r="O1" s="12" t="s">
        <x:v>13</x:v>
      </x:c>
    </x:row>
    <x:row r="2" spans="1:15">
      <x:c r="A2" s="13" t="s">
        <x:v>1146</x:v>
      </x:c>
      <x:c r="B2" s="14">
        <x:v>1</x:v>
      </x:c>
      <x:c r="C2" s="14" t="s">
        <x:v>1147</x:v>
      </x:c>
      <x:c r="D2" s="14" t="s">
        <x:v>497</x:v>
      </x:c>
      <x:c r="E2" s="14" t="s">
        <x:v>1148</x:v>
      </x:c>
      <x:c r="F2" s="14"/>
      <x:c r="G2" s="14">
        <x:v>0</x:v>
      </x:c>
      <x:c r="H2" s="14">
        <x:v>11</x:v>
      </x:c>
      <x:c r="I2" s="14" t="s">
        <x:v>1149</x:v>
      </x:c>
      <x:c r="J2" s="16" t="s">
        <x:v>1150</x:v>
      </x:c>
      <x:c r="K2" s="19" t="s">
        <x:v>1150</x:v>
      </x:c>
      <x:c r="L2" s="18"/>
      <x:c r="M2" s="19"/>
      <x:c r="N2" s="14">
        <x:f>IF(K2="","تکمیل نشده",IF(AND(K2="منتقل نشود",G2&gt;0),"در سند استفاده شده","OK"))</x:f>
      </x:c>
      <x:c r="O2" s="20"/>
    </x:row>
    <x:row r="3" spans="1:15">
      <x:c r="A3" s="21" t="s">
        <x:v>1146</x:v>
      </x:c>
      <x:c r="B3" s="22">
        <x:v>1</x:v>
      </x:c>
      <x:c r="C3" s="22" t="s">
        <x:v>1151</x:v>
      </x:c>
      <x:c r="D3" s="22" t="s">
        <x:v>497</x:v>
      </x:c>
      <x:c r="E3" s="22" t="s">
        <x:v>1152</x:v>
      </x:c>
      <x:c r="F3" s="22"/>
      <x:c r="G3" s="22">
        <x:v>0</x:v>
      </x:c>
      <x:c r="H3" s="22">
        <x:v>11</x:v>
      </x:c>
      <x:c r="I3" s="22" t="s">
        <x:v>1149</x:v>
      </x:c>
      <x:c r="J3" s="24" t="s">
        <x:v>1150</x:v>
      </x:c>
      <x:c r="K3" s="27" t="s">
        <x:v>1150</x:v>
      </x:c>
      <x:c r="L3" s="26"/>
      <x:c r="M3" s="27"/>
      <x:c r="N3" s="22">
        <x:f>IF(K3="","تکمیل نشده",IF(AND(K3="منتقل نشود",G3&gt;0),"در سند استفاده شده","OK"))</x:f>
      </x:c>
      <x:c r="O3" s="28"/>
    </x:row>
    <x:row r="4" spans="1:15">
      <x:c r="A4" s="21" t="s">
        <x:v>1146</x:v>
      </x:c>
      <x:c r="B4" s="22">
        <x:v>1</x:v>
      </x:c>
      <x:c r="C4" s="22" t="s">
        <x:v>1153</x:v>
      </x:c>
      <x:c r="D4" s="22" t="s">
        <x:v>497</x:v>
      </x:c>
      <x:c r="E4" s="22" t="s">
        <x:v>1154</x:v>
      </x:c>
      <x:c r="F4" s="22"/>
      <x:c r="G4" s="22">
        <x:v>0</x:v>
      </x:c>
      <x:c r="H4" s="22">
        <x:v>11</x:v>
      </x:c>
      <x:c r="I4" s="22" t="s">
        <x:v>1149</x:v>
      </x:c>
      <x:c r="J4" s="24" t="s">
        <x:v>1150</x:v>
      </x:c>
      <x:c r="K4" s="27" t="s">
        <x:v>1150</x:v>
      </x:c>
      <x:c r="L4" s="26"/>
      <x:c r="M4" s="27"/>
      <x:c r="N4" s="22">
        <x:f>IF(K4="","تکمیل نشده",IF(AND(K4="منتقل نشود",G4&gt;0),"در سند استفاده شده","OK"))</x:f>
      </x:c>
      <x:c r="O4" s="28"/>
    </x:row>
    <x:row r="5" spans="1:15">
      <x:c r="A5" s="21" t="s">
        <x:v>1146</x:v>
      </x:c>
      <x:c r="B5" s="22">
        <x:v>1</x:v>
      </x:c>
      <x:c r="C5" s="22" t="s">
        <x:v>1155</x:v>
      </x:c>
      <x:c r="D5" s="22" t="s">
        <x:v>497</x:v>
      </x:c>
      <x:c r="E5" s="22" t="s">
        <x:v>1156</x:v>
      </x:c>
      <x:c r="F5" s="22"/>
      <x:c r="G5" s="22">
        <x:v>0</x:v>
      </x:c>
      <x:c r="H5" s="22">
        <x:v>11</x:v>
      </x:c>
      <x:c r="I5" s="22" t="s">
        <x:v>1149</x:v>
      </x:c>
      <x:c r="J5" s="24" t="s">
        <x:v>1150</x:v>
      </x:c>
      <x:c r="K5" s="27" t="s">
        <x:v>1150</x:v>
      </x:c>
      <x:c r="L5" s="26"/>
      <x:c r="M5" s="27"/>
      <x:c r="N5" s="22">
        <x:f>IF(K5="","تکمیل نشده",IF(AND(K5="منتقل نشود",G5&gt;0),"در سند استفاده شده","OK"))</x:f>
      </x:c>
      <x:c r="O5" s="28"/>
    </x:row>
    <x:row r="6" spans="1:15">
      <x:c r="A6" s="21" t="s">
        <x:v>1146</x:v>
      </x:c>
      <x:c r="B6" s="22">
        <x:v>1</x:v>
      </x:c>
      <x:c r="C6" s="22" t="s">
        <x:v>1157</x:v>
      </x:c>
      <x:c r="D6" s="22" t="s">
        <x:v>497</x:v>
      </x:c>
      <x:c r="E6" s="22" t="s">
        <x:v>1158</x:v>
      </x:c>
      <x:c r="F6" s="22"/>
      <x:c r="G6" s="22">
        <x:v>0</x:v>
      </x:c>
      <x:c r="H6" s="22">
        <x:v>11</x:v>
      </x:c>
      <x:c r="I6" s="22" t="s">
        <x:v>1149</x:v>
      </x:c>
      <x:c r="J6" s="24" t="s">
        <x:v>1150</x:v>
      </x:c>
      <x:c r="K6" s="27" t="s">
        <x:v>1150</x:v>
      </x:c>
      <x:c r="L6" s="26"/>
      <x:c r="M6" s="27"/>
      <x:c r="N6" s="22">
        <x:f>IF(K6="","تکمیل نشده",IF(AND(K6="منتقل نشود",G6&gt;0),"در سند استفاده شده","OK"))</x:f>
      </x:c>
      <x:c r="O6" s="28"/>
    </x:row>
    <x:row r="7" spans="1:15">
      <x:c r="A7" s="21" t="s">
        <x:v>1146</x:v>
      </x:c>
      <x:c r="B7" s="22">
        <x:v>1</x:v>
      </x:c>
      <x:c r="C7" s="22" t="s">
        <x:v>1159</x:v>
      </x:c>
      <x:c r="D7" s="22" t="s">
        <x:v>497</x:v>
      </x:c>
      <x:c r="E7" s="22" t="s">
        <x:v>1160</x:v>
      </x:c>
      <x:c r="F7" s="22"/>
      <x:c r="G7" s="22">
        <x:v>0</x:v>
      </x:c>
      <x:c r="H7" s="22">
        <x:v>9</x:v>
      </x:c>
      <x:c r="I7" s="22" t="s">
        <x:v>1161</x:v>
      </x:c>
      <x:c r="J7" s="24" t="s">
        <x:v>1150</x:v>
      </x:c>
      <x:c r="K7" s="27" t="s">
        <x:v>1150</x:v>
      </x:c>
      <x:c r="L7" s="26"/>
      <x:c r="M7" s="27"/>
      <x:c r="N7" s="22">
        <x:f>IF(K7="","تکمیل نشده",IF(AND(K7="منتقل نشود",G7&gt;0),"در سند استفاده شده","OK"))</x:f>
      </x:c>
      <x:c r="O7" s="28"/>
    </x:row>
    <x:row r="8" spans="1:15">
      <x:c r="A8" s="21" t="s">
        <x:v>1146</x:v>
      </x:c>
      <x:c r="B8" s="22">
        <x:v>1</x:v>
      </x:c>
      <x:c r="C8" s="22" t="s">
        <x:v>1162</x:v>
      </x:c>
      <x:c r="D8" s="22" t="s">
        <x:v>497</x:v>
      </x:c>
      <x:c r="E8" s="22" t="s">
        <x:v>1163</x:v>
      </x:c>
      <x:c r="F8" s="22"/>
      <x:c r="G8" s="22">
        <x:v>0</x:v>
      </x:c>
      <x:c r="H8" s="22">
        <x:v>1</x:v>
      </x:c>
      <x:c r="I8" s="22" t="s">
        <x:v>1164</x:v>
      </x:c>
      <x:c r="J8" s="24" t="s">
        <x:v>1150</x:v>
      </x:c>
      <x:c r="K8" s="27" t="s">
        <x:v>1150</x:v>
      </x:c>
      <x:c r="L8" s="26"/>
      <x:c r="M8" s="27"/>
      <x:c r="N8" s="22">
        <x:f>IF(K8="","تکمیل نشده",IF(AND(K8="منتقل نشود",G8&gt;0),"در سند استفاده شده","OK"))</x:f>
      </x:c>
      <x:c r="O8" s="28"/>
    </x:row>
    <x:row r="9" spans="1:15">
      <x:c r="A9" s="21" t="s">
        <x:v>1146</x:v>
      </x:c>
      <x:c r="B9" s="22">
        <x:v>1</x:v>
      </x:c>
      <x:c r="C9" s="22" t="s">
        <x:v>1165</x:v>
      </x:c>
      <x:c r="D9" s="22" t="s">
        <x:v>497</x:v>
      </x:c>
      <x:c r="E9" s="22" t="s">
        <x:v>1166</x:v>
      </x:c>
      <x:c r="F9" s="22"/>
      <x:c r="G9" s="22">
        <x:v>0</x:v>
      </x:c>
      <x:c r="H9" s="22">
        <x:v>1</x:v>
      </x:c>
      <x:c r="I9" s="22" t="s">
        <x:v>1164</x:v>
      </x:c>
      <x:c r="J9" s="24" t="s">
        <x:v>1150</x:v>
      </x:c>
      <x:c r="K9" s="27" t="s">
        <x:v>1150</x:v>
      </x:c>
      <x:c r="L9" s="26"/>
      <x:c r="M9" s="27"/>
      <x:c r="N9" s="22">
        <x:f>IF(K9="","تکمیل نشده",IF(AND(K9="منتقل نشود",G9&gt;0),"در سند استفاده شده","OK"))</x:f>
      </x:c>
      <x:c r="O9" s="28"/>
    </x:row>
    <x:row r="10" spans="1:15">
      <x:c r="A10" s="21" t="s">
        <x:v>1146</x:v>
      </x:c>
      <x:c r="B10" s="22">
        <x:v>1</x:v>
      </x:c>
      <x:c r="C10" s="22" t="s">
        <x:v>1167</x:v>
      </x:c>
      <x:c r="D10" s="22" t="s">
        <x:v>497</x:v>
      </x:c>
      <x:c r="E10" s="22" t="s">
        <x:v>1168</x:v>
      </x:c>
      <x:c r="F10" s="22"/>
      <x:c r="G10" s="22">
        <x:v>0</x:v>
      </x:c>
      <x:c r="H10" s="22">
        <x:v>1</x:v>
      </x:c>
      <x:c r="I10" s="22" t="s">
        <x:v>1169</x:v>
      </x:c>
      <x:c r="J10" s="24" t="s">
        <x:v>1150</x:v>
      </x:c>
      <x:c r="K10" s="27" t="s">
        <x:v>1150</x:v>
      </x:c>
      <x:c r="L10" s="26"/>
      <x:c r="M10" s="27"/>
      <x:c r="N10" s="22">
        <x:f>IF(K10="","تکمیل نشده",IF(AND(K10="منتقل نشود",G10&gt;0),"در سند استفاده شده","OK"))</x:f>
      </x:c>
      <x:c r="O10" s="28"/>
    </x:row>
    <x:row r="11" spans="1:15">
      <x:c r="A11" s="21" t="s">
        <x:v>1146</x:v>
      </x:c>
      <x:c r="B11" s="22">
        <x:v>1</x:v>
      </x:c>
      <x:c r="C11" s="22" t="s">
        <x:v>1170</x:v>
      </x:c>
      <x:c r="D11" s="22" t="s">
        <x:v>497</x:v>
      </x:c>
      <x:c r="E11" s="22" t="s">
        <x:v>1171</x:v>
      </x:c>
      <x:c r="F11" s="22"/>
      <x:c r="G11" s="22">
        <x:v>0</x:v>
      </x:c>
      <x:c r="H11" s="22">
        <x:v>1</x:v>
      </x:c>
      <x:c r="I11" s="22" t="s">
        <x:v>1169</x:v>
      </x:c>
      <x:c r="J11" s="24" t="s">
        <x:v>1150</x:v>
      </x:c>
      <x:c r="K11" s="27" t="s">
        <x:v>1150</x:v>
      </x:c>
      <x:c r="L11" s="26"/>
      <x:c r="M11" s="27"/>
      <x:c r="N11" s="22">
        <x:f>IF(K11="","تکمیل نشده",IF(AND(K11="منتقل نشود",G11&gt;0),"در سند استفاده شده","OK"))</x:f>
      </x:c>
      <x:c r="O11" s="28"/>
    </x:row>
    <x:row r="12" spans="1:15">
      <x:c r="A12" s="21" t="s">
        <x:v>1146</x:v>
      </x:c>
      <x:c r="B12" s="22">
        <x:v>1</x:v>
      </x:c>
      <x:c r="C12" s="22" t="s">
        <x:v>1172</x:v>
      </x:c>
      <x:c r="D12" s="22" t="s">
        <x:v>497</x:v>
      </x:c>
      <x:c r="E12" s="22" t="s">
        <x:v>1173</x:v>
      </x:c>
      <x:c r="F12" s="22"/>
      <x:c r="G12" s="22">
        <x:v>0</x:v>
      </x:c>
      <x:c r="H12" s="22">
        <x:v>1</x:v>
      </x:c>
      <x:c r="I12" s="22" t="s">
        <x:v>1164</x:v>
      </x:c>
      <x:c r="J12" s="24" t="s">
        <x:v>1150</x:v>
      </x:c>
      <x:c r="K12" s="27" t="s">
        <x:v>1150</x:v>
      </x:c>
      <x:c r="L12" s="26"/>
      <x:c r="M12" s="27"/>
      <x:c r="N12" s="22">
        <x:f>IF(K12="","تکمیل نشده",IF(AND(K12="منتقل نشود",G12&gt;0),"در سند استفاده شده","OK"))</x:f>
      </x:c>
      <x:c r="O12" s="28"/>
    </x:row>
    <x:row r="13" spans="1:15">
      <x:c r="A13" s="21" t="s">
        <x:v>1146</x:v>
      </x:c>
      <x:c r="B13" s="22">
        <x:v>1</x:v>
      </x:c>
      <x:c r="C13" s="22" t="s">
        <x:v>1174</x:v>
      </x:c>
      <x:c r="D13" s="22" t="s">
        <x:v>497</x:v>
      </x:c>
      <x:c r="E13" s="22" t="s">
        <x:v>1175</x:v>
      </x:c>
      <x:c r="F13" s="22"/>
      <x:c r="G13" s="22">
        <x:v>0</x:v>
      </x:c>
      <x:c r="H13" s="22">
        <x:v>1</x:v>
      </x:c>
      <x:c r="I13" s="22" t="s">
        <x:v>1164</x:v>
      </x:c>
      <x:c r="J13" s="24" t="s">
        <x:v>1150</x:v>
      </x:c>
      <x:c r="K13" s="27" t="s">
        <x:v>1150</x:v>
      </x:c>
      <x:c r="L13" s="26"/>
      <x:c r="M13" s="27"/>
      <x:c r="N13" s="22">
        <x:f>IF(K13="","تکمیل نشده",IF(AND(K13="منتقل نشود",G13&gt;0),"در سند استفاده شده","OK"))</x:f>
      </x:c>
      <x:c r="O13" s="28"/>
    </x:row>
    <x:row r="14" spans="1:15">
      <x:c r="A14" s="21" t="s">
        <x:v>1146</x:v>
      </x:c>
      <x:c r="B14" s="22">
        <x:v>1</x:v>
      </x:c>
      <x:c r="C14" s="22" t="s">
        <x:v>1176</x:v>
      </x:c>
      <x:c r="D14" s="22" t="s">
        <x:v>497</x:v>
      </x:c>
      <x:c r="E14" s="22" t="s">
        <x:v>1177</x:v>
      </x:c>
      <x:c r="F14" s="22"/>
      <x:c r="G14" s="22">
        <x:v>0</x:v>
      </x:c>
      <x:c r="H14" s="22">
        <x:v>1</x:v>
      </x:c>
      <x:c r="I14" s="22" t="s">
        <x:v>1164</x:v>
      </x:c>
      <x:c r="J14" s="24" t="s">
        <x:v>1150</x:v>
      </x:c>
      <x:c r="K14" s="27" t="s">
        <x:v>1150</x:v>
      </x:c>
      <x:c r="L14" s="26"/>
      <x:c r="M14" s="27"/>
      <x:c r="N14" s="22">
        <x:f>IF(K14="","تکمیل نشده",IF(AND(K14="منتقل نشود",G14&gt;0),"در سند استفاده شده","OK"))</x:f>
      </x:c>
      <x:c r="O14" s="28"/>
    </x:row>
    <x:row r="15" spans="1:15">
      <x:c r="A15" s="21" t="s">
        <x:v>1146</x:v>
      </x:c>
      <x:c r="B15" s="22">
        <x:v>1</x:v>
      </x:c>
      <x:c r="C15" s="22" t="s">
        <x:v>1178</x:v>
      </x:c>
      <x:c r="D15" s="22" t="s">
        <x:v>497</x:v>
      </x:c>
      <x:c r="E15" s="22" t="s">
        <x:v>1179</x:v>
      </x:c>
      <x:c r="F15" s="22"/>
      <x:c r="G15" s="22">
        <x:v>0</x:v>
      </x:c>
      <x:c r="H15" s="22">
        <x:v>1</x:v>
      </x:c>
      <x:c r="I15" s="22" t="s">
        <x:v>1164</x:v>
      </x:c>
      <x:c r="J15" s="24" t="s">
        <x:v>1150</x:v>
      </x:c>
      <x:c r="K15" s="27" t="s">
        <x:v>1150</x:v>
      </x:c>
      <x:c r="L15" s="26"/>
      <x:c r="M15" s="27"/>
      <x:c r="N15" s="22">
        <x:f>IF(K15="","تکمیل نشده",IF(AND(K15="منتقل نشود",G15&gt;0),"در سند استفاده شده","OK"))</x:f>
      </x:c>
      <x:c r="O15" s="28"/>
    </x:row>
    <x:row r="16" spans="1:15">
      <x:c r="A16" s="21" t="s">
        <x:v>1146</x:v>
      </x:c>
      <x:c r="B16" s="22">
        <x:v>1</x:v>
      </x:c>
      <x:c r="C16" s="22" t="s">
        <x:v>1180</x:v>
      </x:c>
      <x:c r="D16" s="22" t="s">
        <x:v>497</x:v>
      </x:c>
      <x:c r="E16" s="22" t="s">
        <x:v>1181</x:v>
      </x:c>
      <x:c r="F16" s="22"/>
      <x:c r="G16" s="22">
        <x:v>0</x:v>
      </x:c>
      <x:c r="H16" s="22">
        <x:v>0</x:v>
      </x:c>
      <x:c r="I16" s="22" t="s">
        <x:v>497</x:v>
      </x:c>
      <x:c r="J16" s="24" t="s">
        <x:v>1182</x:v>
      </x:c>
      <x:c r="K16" s="27" t="s">
        <x:v>1182</x:v>
      </x:c>
      <x:c r="L16" s="26"/>
      <x:c r="M16" s="27"/>
      <x:c r="N16" s="22">
        <x:f>IF(K16="","تکمیل نشده",IF(AND(K16="منتقل نشود",G16&gt;0),"در سند استفاده شده","OK"))</x:f>
      </x:c>
      <x:c r="O16" s="28"/>
    </x:row>
    <x:row r="17" spans="1:15">
      <x:c r="A17" s="21" t="s">
        <x:v>1146</x:v>
      </x:c>
      <x:c r="B17" s="22">
        <x:v>1</x:v>
      </x:c>
      <x:c r="C17" s="22" t="s">
        <x:v>1183</x:v>
      </x:c>
      <x:c r="D17" s="22" t="s">
        <x:v>497</x:v>
      </x:c>
      <x:c r="E17" s="22" t="s">
        <x:v>1184</x:v>
      </x:c>
      <x:c r="F17" s="22"/>
      <x:c r="G17" s="22">
        <x:v>0</x:v>
      </x:c>
      <x:c r="H17" s="22">
        <x:v>1</x:v>
      </x:c>
      <x:c r="I17" s="22" t="s">
        <x:v>1164</x:v>
      </x:c>
      <x:c r="J17" s="24" t="s">
        <x:v>1150</x:v>
      </x:c>
      <x:c r="K17" s="27" t="s">
        <x:v>1150</x:v>
      </x:c>
      <x:c r="L17" s="26"/>
      <x:c r="M17" s="27"/>
      <x:c r="N17" s="22">
        <x:f>IF(K17="","تکمیل نشده",IF(AND(K17="منتقل نشود",G17&gt;0),"در سند استفاده شده","OK"))</x:f>
      </x:c>
      <x:c r="O17" s="28"/>
    </x:row>
    <x:row r="18" spans="1:15">
      <x:c r="A18" s="21" t="s">
        <x:v>1146</x:v>
      </x:c>
      <x:c r="B18" s="22">
        <x:v>1</x:v>
      </x:c>
      <x:c r="C18" s="22" t="s">
        <x:v>1185</x:v>
      </x:c>
      <x:c r="D18" s="22" t="s">
        <x:v>497</x:v>
      </x:c>
      <x:c r="E18" s="22" t="s">
        <x:v>1186</x:v>
      </x:c>
      <x:c r="F18" s="22"/>
      <x:c r="G18" s="22">
        <x:v>0</x:v>
      </x:c>
      <x:c r="H18" s="22">
        <x:v>1</x:v>
      </x:c>
      <x:c r="I18" s="22" t="s">
        <x:v>1164</x:v>
      </x:c>
      <x:c r="J18" s="24" t="s">
        <x:v>1150</x:v>
      </x:c>
      <x:c r="K18" s="27" t="s">
        <x:v>1150</x:v>
      </x:c>
      <x:c r="L18" s="26"/>
      <x:c r="M18" s="27"/>
      <x:c r="N18" s="22">
        <x:f>IF(K18="","تکمیل نشده",IF(AND(K18="منتقل نشود",G18&gt;0),"در سند استفاده شده","OK"))</x:f>
      </x:c>
      <x:c r="O18" s="28"/>
    </x:row>
    <x:row r="19" spans="1:15">
      <x:c r="A19" s="21" t="s">
        <x:v>1146</x:v>
      </x:c>
      <x:c r="B19" s="22">
        <x:v>1</x:v>
      </x:c>
      <x:c r="C19" s="22" t="s">
        <x:v>1187</x:v>
      </x:c>
      <x:c r="D19" s="22" t="s">
        <x:v>497</x:v>
      </x:c>
      <x:c r="E19" s="22" t="s">
        <x:v>1188</x:v>
      </x:c>
      <x:c r="F19" s="22"/>
      <x:c r="G19" s="22">
        <x:v>0</x:v>
      </x:c>
      <x:c r="H19" s="22">
        <x:v>1</x:v>
      </x:c>
      <x:c r="I19" s="22" t="s">
        <x:v>1164</x:v>
      </x:c>
      <x:c r="J19" s="24" t="s">
        <x:v>1150</x:v>
      </x:c>
      <x:c r="K19" s="27" t="s">
        <x:v>1150</x:v>
      </x:c>
      <x:c r="L19" s="26"/>
      <x:c r="M19" s="27"/>
      <x:c r="N19" s="22">
        <x:f>IF(K19="","تکمیل نشده",IF(AND(K19="منتقل نشود",G19&gt;0),"در سند استفاده شده","OK"))</x:f>
      </x:c>
      <x:c r="O19" s="28"/>
    </x:row>
    <x:row r="20" spans="1:15">
      <x:c r="A20" s="21" t="s">
        <x:v>1146</x:v>
      </x:c>
      <x:c r="B20" s="22">
        <x:v>1</x:v>
      </x:c>
      <x:c r="C20" s="22" t="s">
        <x:v>1189</x:v>
      </x:c>
      <x:c r="D20" s="22" t="s">
        <x:v>497</x:v>
      </x:c>
      <x:c r="E20" s="22" t="s">
        <x:v>1190</x:v>
      </x:c>
      <x:c r="F20" s="22"/>
      <x:c r="G20" s="22">
        <x:v>0</x:v>
      </x:c>
      <x:c r="H20" s="22">
        <x:v>1</x:v>
      </x:c>
      <x:c r="I20" s="22" t="s">
        <x:v>1164</x:v>
      </x:c>
      <x:c r="J20" s="24" t="s">
        <x:v>1150</x:v>
      </x:c>
      <x:c r="K20" s="27" t="s">
        <x:v>1150</x:v>
      </x:c>
      <x:c r="L20" s="26"/>
      <x:c r="M20" s="27"/>
      <x:c r="N20" s="22">
        <x:f>IF(K20="","تکمیل نشده",IF(AND(K20="منتقل نشود",G20&gt;0),"در سند استفاده شده","OK"))</x:f>
      </x:c>
      <x:c r="O20" s="28"/>
    </x:row>
    <x:row r="21" spans="1:15">
      <x:c r="A21" s="21" t="s">
        <x:v>1146</x:v>
      </x:c>
      <x:c r="B21" s="22">
        <x:v>1</x:v>
      </x:c>
      <x:c r="C21" s="22" t="s">
        <x:v>1191</x:v>
      </x:c>
      <x:c r="D21" s="22" t="s">
        <x:v>497</x:v>
      </x:c>
      <x:c r="E21" s="22" t="s">
        <x:v>1192</x:v>
      </x:c>
      <x:c r="F21" s="22"/>
      <x:c r="G21" s="22">
        <x:v>0</x:v>
      </x:c>
      <x:c r="H21" s="22">
        <x:v>1</x:v>
      </x:c>
      <x:c r="I21" s="22" t="s">
        <x:v>1164</x:v>
      </x:c>
      <x:c r="J21" s="24" t="s">
        <x:v>1150</x:v>
      </x:c>
      <x:c r="K21" s="27" t="s">
        <x:v>1150</x:v>
      </x:c>
      <x:c r="L21" s="26"/>
      <x:c r="M21" s="27"/>
      <x:c r="N21" s="22">
        <x:f>IF(K21="","تکمیل نشده",IF(AND(K21="منتقل نشود",G21&gt;0),"در سند استفاده شده","OK"))</x:f>
      </x:c>
      <x:c r="O21" s="28"/>
    </x:row>
    <x:row r="22" spans="1:15">
      <x:c r="A22" s="21" t="s">
        <x:v>1146</x:v>
      </x:c>
      <x:c r="B22" s="22">
        <x:v>1</x:v>
      </x:c>
      <x:c r="C22" s="22" t="s">
        <x:v>1193</x:v>
      </x:c>
      <x:c r="D22" s="22" t="s">
        <x:v>497</x:v>
      </x:c>
      <x:c r="E22" s="22" t="s">
        <x:v>1194</x:v>
      </x:c>
      <x:c r="F22" s="22"/>
      <x:c r="G22" s="22">
        <x:v>0</x:v>
      </x:c>
      <x:c r="H22" s="22">
        <x:v>2</x:v>
      </x:c>
      <x:c r="I22" s="22" t="s">
        <x:v>1195</x:v>
      </x:c>
      <x:c r="J22" s="24" t="s">
        <x:v>1150</x:v>
      </x:c>
      <x:c r="K22" s="27" t="s">
        <x:v>1150</x:v>
      </x:c>
      <x:c r="L22" s="26"/>
      <x:c r="M22" s="27"/>
      <x:c r="N22" s="22">
        <x:f>IF(K22="","تکمیل نشده",IF(AND(K22="منتقل نشود",G22&gt;0),"در سند استفاده شده","OK"))</x:f>
      </x:c>
      <x:c r="O22" s="28"/>
    </x:row>
    <x:row r="23" spans="1:15">
      <x:c r="A23" s="21" t="s">
        <x:v>1146</x:v>
      </x:c>
      <x:c r="B23" s="22">
        <x:v>1</x:v>
      </x:c>
      <x:c r="C23" s="22" t="s">
        <x:v>1196</x:v>
      </x:c>
      <x:c r="D23" s="22" t="s">
        <x:v>497</x:v>
      </x:c>
      <x:c r="E23" s="22" t="s">
        <x:v>1197</x:v>
      </x:c>
      <x:c r="F23" s="22"/>
      <x:c r="G23" s="22">
        <x:v>0</x:v>
      </x:c>
      <x:c r="H23" s="22">
        <x:v>1</x:v>
      </x:c>
      <x:c r="I23" s="22" t="s">
        <x:v>1198</x:v>
      </x:c>
      <x:c r="J23" s="24" t="s">
        <x:v>1150</x:v>
      </x:c>
      <x:c r="K23" s="27" t="s">
        <x:v>1150</x:v>
      </x:c>
      <x:c r="L23" s="26"/>
      <x:c r="M23" s="27"/>
      <x:c r="N23" s="22">
        <x:f>IF(K23="","تکمیل نشده",IF(AND(K23="منتقل نشود",G23&gt;0),"در سند استفاده شده","OK"))</x:f>
      </x:c>
      <x:c r="O23" s="28"/>
    </x:row>
    <x:row r="24" spans="1:15">
      <x:c r="A24" s="21" t="s">
        <x:v>1146</x:v>
      </x:c>
      <x:c r="B24" s="22">
        <x:v>1</x:v>
      </x:c>
      <x:c r="C24" s="22" t="s">
        <x:v>1199</x:v>
      </x:c>
      <x:c r="D24" s="22" t="s">
        <x:v>497</x:v>
      </x:c>
      <x:c r="E24" s="22" t="s">
        <x:v>1200</x:v>
      </x:c>
      <x:c r="F24" s="22"/>
      <x:c r="G24" s="22">
        <x:v>0</x:v>
      </x:c>
      <x:c r="H24" s="22">
        <x:v>1</x:v>
      </x:c>
      <x:c r="I24" s="22" t="s">
        <x:v>1169</x:v>
      </x:c>
      <x:c r="J24" s="24" t="s">
        <x:v>1150</x:v>
      </x:c>
      <x:c r="K24" s="27" t="s">
        <x:v>1150</x:v>
      </x:c>
      <x:c r="L24" s="26"/>
      <x:c r="M24" s="27"/>
      <x:c r="N24" s="22">
        <x:f>IF(K24="","تکمیل نشده",IF(AND(K24="منتقل نشود",G24&gt;0),"در سند استفاده شده","OK"))</x:f>
      </x:c>
      <x:c r="O24" s="28"/>
    </x:row>
    <x:row r="25" spans="1:15">
      <x:c r="A25" s="21" t="s">
        <x:v>1146</x:v>
      </x:c>
      <x:c r="B25" s="22">
        <x:v>1</x:v>
      </x:c>
      <x:c r="C25" s="22" t="s">
        <x:v>1201</x:v>
      </x:c>
      <x:c r="D25" s="22" t="s">
        <x:v>497</x:v>
      </x:c>
      <x:c r="E25" s="22" t="s">
        <x:v>1202</x:v>
      </x:c>
      <x:c r="F25" s="22"/>
      <x:c r="G25" s="22">
        <x:v>0</x:v>
      </x:c>
      <x:c r="H25" s="22">
        <x:v>1</x:v>
      </x:c>
      <x:c r="I25" s="22" t="s">
        <x:v>1169</x:v>
      </x:c>
      <x:c r="J25" s="24" t="s">
        <x:v>1150</x:v>
      </x:c>
      <x:c r="K25" s="27" t="s">
        <x:v>1150</x:v>
      </x:c>
      <x:c r="L25" s="26"/>
      <x:c r="M25" s="27"/>
      <x:c r="N25" s="22">
        <x:f>IF(K25="","تکمیل نشده",IF(AND(K25="منتقل نشود",G25&gt;0),"در سند استفاده شده","OK"))</x:f>
      </x:c>
      <x:c r="O25" s="28"/>
    </x:row>
    <x:row r="26" spans="1:15">
      <x:c r="A26" s="21" t="s">
        <x:v>1146</x:v>
      </x:c>
      <x:c r="B26" s="22">
        <x:v>1</x:v>
      </x:c>
      <x:c r="C26" s="22" t="s">
        <x:v>1203</x:v>
      </x:c>
      <x:c r="D26" s="22" t="s">
        <x:v>497</x:v>
      </x:c>
      <x:c r="E26" s="22" t="s">
        <x:v>1204</x:v>
      </x:c>
      <x:c r="F26" s="22"/>
      <x:c r="G26" s="22">
        <x:v>0</x:v>
      </x:c>
      <x:c r="H26" s="22">
        <x:v>1</x:v>
      </x:c>
      <x:c r="I26" s="22" t="s">
        <x:v>1164</x:v>
      </x:c>
      <x:c r="J26" s="24" t="s">
        <x:v>1150</x:v>
      </x:c>
      <x:c r="K26" s="27" t="s">
        <x:v>1150</x:v>
      </x:c>
      <x:c r="L26" s="26"/>
      <x:c r="M26" s="27"/>
      <x:c r="N26" s="22">
        <x:f>IF(K26="","تکمیل نشده",IF(AND(K26="منتقل نشود",G26&gt;0),"در سند استفاده شده","OK"))</x:f>
      </x:c>
      <x:c r="O26" s="28"/>
    </x:row>
    <x:row r="27" spans="1:15">
      <x:c r="A27" s="21" t="s">
        <x:v>1146</x:v>
      </x:c>
      <x:c r="B27" s="22">
        <x:v>1</x:v>
      </x:c>
      <x:c r="C27" s="22" t="s">
        <x:v>1205</x:v>
      </x:c>
      <x:c r="D27" s="22" t="s">
        <x:v>497</x:v>
      </x:c>
      <x:c r="E27" s="22" t="s">
        <x:v>1206</x:v>
      </x:c>
      <x:c r="F27" s="22"/>
      <x:c r="G27" s="22">
        <x:v>0</x:v>
      </x:c>
      <x:c r="H27" s="22">
        <x:v>1</x:v>
      </x:c>
      <x:c r="I27" s="22" t="s">
        <x:v>1164</x:v>
      </x:c>
      <x:c r="J27" s="24" t="s">
        <x:v>1150</x:v>
      </x:c>
      <x:c r="K27" s="27" t="s">
        <x:v>1150</x:v>
      </x:c>
      <x:c r="L27" s="26"/>
      <x:c r="M27" s="27"/>
      <x:c r="N27" s="22">
        <x:f>IF(K27="","تکمیل نشده",IF(AND(K27="منتقل نشود",G27&gt;0),"در سند استفاده شده","OK"))</x:f>
      </x:c>
      <x:c r="O27" s="28"/>
    </x:row>
    <x:row r="28" spans="1:15">
      <x:c r="A28" s="21" t="s">
        <x:v>1146</x:v>
      </x:c>
      <x:c r="B28" s="22">
        <x:v>1</x:v>
      </x:c>
      <x:c r="C28" s="22" t="s">
        <x:v>1207</x:v>
      </x:c>
      <x:c r="D28" s="22" t="s">
        <x:v>497</x:v>
      </x:c>
      <x:c r="E28" s="22" t="s">
        <x:v>1208</x:v>
      </x:c>
      <x:c r="F28" s="22"/>
      <x:c r="G28" s="22">
        <x:v>0</x:v>
      </x:c>
      <x:c r="H28" s="22">
        <x:v>1</x:v>
      </x:c>
      <x:c r="I28" s="22" t="s">
        <x:v>1164</x:v>
      </x:c>
      <x:c r="J28" s="24" t="s">
        <x:v>1150</x:v>
      </x:c>
      <x:c r="K28" s="27" t="s">
        <x:v>1150</x:v>
      </x:c>
      <x:c r="L28" s="26"/>
      <x:c r="M28" s="27"/>
      <x:c r="N28" s="22">
        <x:f>IF(K28="","تکمیل نشده",IF(AND(K28="منتقل نشود",G28&gt;0),"در سند استفاده شده","OK"))</x:f>
      </x:c>
      <x:c r="O28" s="28"/>
    </x:row>
    <x:row r="29" spans="1:15">
      <x:c r="A29" s="21" t="s">
        <x:v>1146</x:v>
      </x:c>
      <x:c r="B29" s="22">
        <x:v>1</x:v>
      </x:c>
      <x:c r="C29" s="22" t="s">
        <x:v>1209</x:v>
      </x:c>
      <x:c r="D29" s="22" t="s">
        <x:v>497</x:v>
      </x:c>
      <x:c r="E29" s="22" t="s">
        <x:v>1210</x:v>
      </x:c>
      <x:c r="F29" s="22"/>
      <x:c r="G29" s="22">
        <x:v>0</x:v>
      </x:c>
      <x:c r="H29" s="22">
        <x:v>1</x:v>
      </x:c>
      <x:c r="I29" s="22" t="s">
        <x:v>1164</x:v>
      </x:c>
      <x:c r="J29" s="24" t="s">
        <x:v>1150</x:v>
      </x:c>
      <x:c r="K29" s="27" t="s">
        <x:v>1150</x:v>
      </x:c>
      <x:c r="L29" s="26"/>
      <x:c r="M29" s="27"/>
      <x:c r="N29" s="22">
        <x:f>IF(K29="","تکمیل نشده",IF(AND(K29="منتقل نشود",G29&gt;0),"در سند استفاده شده","OK"))</x:f>
      </x:c>
      <x:c r="O29" s="28"/>
    </x:row>
    <x:row r="30" spans="1:15">
      <x:c r="A30" s="21" t="s">
        <x:v>1146</x:v>
      </x:c>
      <x:c r="B30" s="22">
        <x:v>1</x:v>
      </x:c>
      <x:c r="C30" s="22" t="s">
        <x:v>1211</x:v>
      </x:c>
      <x:c r="D30" s="22" t="s">
        <x:v>497</x:v>
      </x:c>
      <x:c r="E30" s="22" t="s">
        <x:v>1212</x:v>
      </x:c>
      <x:c r="F30" s="22"/>
      <x:c r="G30" s="22">
        <x:v>0</x:v>
      </x:c>
      <x:c r="H30" s="22">
        <x:v>1</x:v>
      </x:c>
      <x:c r="I30" s="22" t="s">
        <x:v>1164</x:v>
      </x:c>
      <x:c r="J30" s="24" t="s">
        <x:v>1150</x:v>
      </x:c>
      <x:c r="K30" s="27" t="s">
        <x:v>1150</x:v>
      </x:c>
      <x:c r="L30" s="26"/>
      <x:c r="M30" s="27"/>
      <x:c r="N30" s="22">
        <x:f>IF(K30="","تکمیل نشده",IF(AND(K30="منتقل نشود",G30&gt;0),"در سند استفاده شده","OK"))</x:f>
      </x:c>
      <x:c r="O30" s="28"/>
    </x:row>
    <x:row r="31" spans="1:15">
      <x:c r="A31" s="21" t="s">
        <x:v>1146</x:v>
      </x:c>
      <x:c r="B31" s="22">
        <x:v>1</x:v>
      </x:c>
      <x:c r="C31" s="22" t="s">
        <x:v>1213</x:v>
      </x:c>
      <x:c r="D31" s="22" t="s">
        <x:v>497</x:v>
      </x:c>
      <x:c r="E31" s="22" t="s">
        <x:v>1214</x:v>
      </x:c>
      <x:c r="F31" s="22"/>
      <x:c r="G31" s="22">
        <x:v>0</x:v>
      </x:c>
      <x:c r="H31" s="22">
        <x:v>1</x:v>
      </x:c>
      <x:c r="I31" s="22" t="s">
        <x:v>1164</x:v>
      </x:c>
      <x:c r="J31" s="24" t="s">
        <x:v>1150</x:v>
      </x:c>
      <x:c r="K31" s="27" t="s">
        <x:v>1150</x:v>
      </x:c>
      <x:c r="L31" s="26"/>
      <x:c r="M31" s="27"/>
      <x:c r="N31" s="22">
        <x:f>IF(K31="","تکمیل نشده",IF(AND(K31="منتقل نشود",G31&gt;0),"در سند استفاده شده","OK"))</x:f>
      </x:c>
      <x:c r="O31" s="28"/>
    </x:row>
    <x:row r="32" spans="1:15">
      <x:c r="A32" s="21" t="s">
        <x:v>1146</x:v>
      </x:c>
      <x:c r="B32" s="22">
        <x:v>1</x:v>
      </x:c>
      <x:c r="C32" s="22" t="s">
        <x:v>1215</x:v>
      </x:c>
      <x:c r="D32" s="22" t="s">
        <x:v>497</x:v>
      </x:c>
      <x:c r="E32" s="22" t="s">
        <x:v>1216</x:v>
      </x:c>
      <x:c r="F32" s="22"/>
      <x:c r="G32" s="22">
        <x:v>0</x:v>
      </x:c>
      <x:c r="H32" s="22">
        <x:v>1</x:v>
      </x:c>
      <x:c r="I32" s="22" t="s">
        <x:v>1164</x:v>
      </x:c>
      <x:c r="J32" s="24" t="s">
        <x:v>1150</x:v>
      </x:c>
      <x:c r="K32" s="27" t="s">
        <x:v>1150</x:v>
      </x:c>
      <x:c r="L32" s="26"/>
      <x:c r="M32" s="27"/>
      <x:c r="N32" s="22">
        <x:f>IF(K32="","تکمیل نشده",IF(AND(K32="منتقل نشود",G32&gt;0),"در سند استفاده شده","OK"))</x:f>
      </x:c>
      <x:c r="O32" s="28"/>
    </x:row>
    <x:row r="33" spans="1:15">
      <x:c r="A33" s="21" t="s">
        <x:v>1146</x:v>
      </x:c>
      <x:c r="B33" s="22">
        <x:v>1</x:v>
      </x:c>
      <x:c r="C33" s="22" t="s">
        <x:v>1217</x:v>
      </x:c>
      <x:c r="D33" s="22" t="s">
        <x:v>497</x:v>
      </x:c>
      <x:c r="E33" s="22" t="s">
        <x:v>1218</x:v>
      </x:c>
      <x:c r="F33" s="22"/>
      <x:c r="G33" s="22">
        <x:v>0</x:v>
      </x:c>
      <x:c r="H33" s="22">
        <x:v>1</x:v>
      </x:c>
      <x:c r="I33" s="22" t="s">
        <x:v>1164</x:v>
      </x:c>
      <x:c r="J33" s="24" t="s">
        <x:v>1150</x:v>
      </x:c>
      <x:c r="K33" s="27" t="s">
        <x:v>1150</x:v>
      </x:c>
      <x:c r="L33" s="26"/>
      <x:c r="M33" s="27"/>
      <x:c r="N33" s="22">
        <x:f>IF(K33="","تکمیل نشده",IF(AND(K33="منتقل نشود",G33&gt;0),"در سند استفاده شده","OK"))</x:f>
      </x:c>
      <x:c r="O33" s="28"/>
    </x:row>
    <x:row r="34" spans="1:15">
      <x:c r="A34" s="21" t="s">
        <x:v>1146</x:v>
      </x:c>
      <x:c r="B34" s="22">
        <x:v>1</x:v>
      </x:c>
      <x:c r="C34" s="22" t="s">
        <x:v>1219</x:v>
      </x:c>
      <x:c r="D34" s="22" t="s">
        <x:v>497</x:v>
      </x:c>
      <x:c r="E34" s="22" t="s">
        <x:v>1220</x:v>
      </x:c>
      <x:c r="F34" s="22"/>
      <x:c r="G34" s="22">
        <x:v>0</x:v>
      </x:c>
      <x:c r="H34" s="22">
        <x:v>1</x:v>
      </x:c>
      <x:c r="I34" s="22" t="s">
        <x:v>1221</x:v>
      </x:c>
      <x:c r="J34" s="24" t="s">
        <x:v>1150</x:v>
      </x:c>
      <x:c r="K34" s="27" t="s">
        <x:v>1150</x:v>
      </x:c>
      <x:c r="L34" s="26"/>
      <x:c r="M34" s="27"/>
      <x:c r="N34" s="22">
        <x:f>IF(K34="","تکمیل نشده",IF(AND(K34="منتقل نشود",G34&gt;0),"در سند استفاده شده","OK"))</x:f>
      </x:c>
      <x:c r="O34" s="28"/>
    </x:row>
    <x:row r="35" spans="1:15">
      <x:c r="A35" s="21" t="s">
        <x:v>1146</x:v>
      </x:c>
      <x:c r="B35" s="22">
        <x:v>1</x:v>
      </x:c>
      <x:c r="C35" s="22" t="s">
        <x:v>1222</x:v>
      </x:c>
      <x:c r="D35" s="22" t="s">
        <x:v>497</x:v>
      </x:c>
      <x:c r="E35" s="22" t="s">
        <x:v>1223</x:v>
      </x:c>
      <x:c r="F35" s="22"/>
      <x:c r="G35" s="22">
        <x:v>0</x:v>
      </x:c>
      <x:c r="H35" s="22">
        <x:v>1</x:v>
      </x:c>
      <x:c r="I35" s="22" t="s">
        <x:v>1221</x:v>
      </x:c>
      <x:c r="J35" s="24" t="s">
        <x:v>1150</x:v>
      </x:c>
      <x:c r="K35" s="27" t="s">
        <x:v>1150</x:v>
      </x:c>
      <x:c r="L35" s="26"/>
      <x:c r="M35" s="27"/>
      <x:c r="N35" s="22">
        <x:f>IF(K35="","تکمیل نشده",IF(AND(K35="منتقل نشود",G35&gt;0),"در سند استفاده شده","OK"))</x:f>
      </x:c>
      <x:c r="O35" s="28"/>
    </x:row>
    <x:row r="36" spans="1:15">
      <x:c r="A36" s="21" t="s">
        <x:v>1146</x:v>
      </x:c>
      <x:c r="B36" s="22">
        <x:v>1</x:v>
      </x:c>
      <x:c r="C36" s="22" t="s">
        <x:v>1224</x:v>
      </x:c>
      <x:c r="D36" s="22" t="s">
        <x:v>497</x:v>
      </x:c>
      <x:c r="E36" s="22" t="s">
        <x:v>1225</x:v>
      </x:c>
      <x:c r="F36" s="22"/>
      <x:c r="G36" s="22">
        <x:v>0</x:v>
      </x:c>
      <x:c r="H36" s="22">
        <x:v>1</x:v>
      </x:c>
      <x:c r="I36" s="22" t="s">
        <x:v>1198</x:v>
      </x:c>
      <x:c r="J36" s="24" t="s">
        <x:v>1150</x:v>
      </x:c>
      <x:c r="K36" s="27" t="s">
        <x:v>1150</x:v>
      </x:c>
      <x:c r="L36" s="26"/>
      <x:c r="M36" s="27"/>
      <x:c r="N36" s="22">
        <x:f>IF(K36="","تکمیل نشده",IF(AND(K36="منتقل نشود",G36&gt;0),"در سند استفاده شده","OK"))</x:f>
      </x:c>
      <x:c r="O36" s="28"/>
    </x:row>
    <x:row r="37" spans="1:15">
      <x:c r="A37" s="21" t="s">
        <x:v>1146</x:v>
      </x:c>
      <x:c r="B37" s="22">
        <x:v>1</x:v>
      </x:c>
      <x:c r="C37" s="22" t="s">
        <x:v>1226</x:v>
      </x:c>
      <x:c r="D37" s="22" t="s">
        <x:v>497</x:v>
      </x:c>
      <x:c r="E37" s="22" t="s">
        <x:v>1227</x:v>
      </x:c>
      <x:c r="F37" s="22"/>
      <x:c r="G37" s="22">
        <x:v>1</x:v>
      </x:c>
      <x:c r="H37" s="22">
        <x:v>1</x:v>
      </x:c>
      <x:c r="I37" s="22" t="s">
        <x:v>1228</x:v>
      </x:c>
      <x:c r="J37" s="24" t="s">
        <x:v>1150</x:v>
      </x:c>
      <x:c r="K37" s="27" t="s">
        <x:v>1150</x:v>
      </x:c>
      <x:c r="L37" s="26"/>
      <x:c r="M37" s="27"/>
      <x:c r="N37" s="22">
        <x:f>IF(K37="","تکمیل نشده",IF(AND(K37="منتقل نشود",G37&gt;0),"در سند استفاده شده","OK"))</x:f>
      </x:c>
      <x:c r="O37" s="28"/>
    </x:row>
    <x:row r="38" spans="1:15">
      <x:c r="A38" s="21" t="s">
        <x:v>1146</x:v>
      </x:c>
      <x:c r="B38" s="22">
        <x:v>1</x:v>
      </x:c>
      <x:c r="C38" s="22" t="s">
        <x:v>1229</x:v>
      </x:c>
      <x:c r="D38" s="22" t="s">
        <x:v>497</x:v>
      </x:c>
      <x:c r="E38" s="22" t="s">
        <x:v>1230</x:v>
      </x:c>
      <x:c r="F38" s="22"/>
      <x:c r="G38" s="22">
        <x:v>0</x:v>
      </x:c>
      <x:c r="H38" s="22">
        <x:v>1</x:v>
      </x:c>
      <x:c r="I38" s="22" t="s">
        <x:v>1221</x:v>
      </x:c>
      <x:c r="J38" s="24" t="s">
        <x:v>1150</x:v>
      </x:c>
      <x:c r="K38" s="27" t="s">
        <x:v>1150</x:v>
      </x:c>
      <x:c r="L38" s="26"/>
      <x:c r="M38" s="27"/>
      <x:c r="N38" s="22">
        <x:f>IF(K38="","تکمیل نشده",IF(AND(K38="منتقل نشود",G38&gt;0),"در سند استفاده شده","OK"))</x:f>
      </x:c>
      <x:c r="O38" s="28"/>
    </x:row>
    <x:row r="39" spans="1:15">
      <x:c r="A39" s="21" t="s">
        <x:v>1146</x:v>
      </x:c>
      <x:c r="B39" s="22">
        <x:v>1</x:v>
      </x:c>
      <x:c r="C39" s="22" t="s">
        <x:v>1231</x:v>
      </x:c>
      <x:c r="D39" s="22" t="s">
        <x:v>497</x:v>
      </x:c>
      <x:c r="E39" s="22" t="s">
        <x:v>1232</x:v>
      </x:c>
      <x:c r="F39" s="22"/>
      <x:c r="G39" s="22">
        <x:v>0</x:v>
      </x:c>
      <x:c r="H39" s="22">
        <x:v>1</x:v>
      </x:c>
      <x:c r="I39" s="22" t="s">
        <x:v>1221</x:v>
      </x:c>
      <x:c r="J39" s="24" t="s">
        <x:v>1150</x:v>
      </x:c>
      <x:c r="K39" s="27" t="s">
        <x:v>1150</x:v>
      </x:c>
      <x:c r="L39" s="26"/>
      <x:c r="M39" s="27"/>
      <x:c r="N39" s="22">
        <x:f>IF(K39="","تکمیل نشده",IF(AND(K39="منتقل نشود",G39&gt;0),"در سند استفاده شده","OK"))</x:f>
      </x:c>
      <x:c r="O39" s="28"/>
    </x:row>
    <x:row r="40" spans="1:15">
      <x:c r="A40" s="21" t="s">
        <x:v>1146</x:v>
      </x:c>
      <x:c r="B40" s="22">
        <x:v>1</x:v>
      </x:c>
      <x:c r="C40" s="22" t="s">
        <x:v>1233</x:v>
      </x:c>
      <x:c r="D40" s="22" t="s">
        <x:v>497</x:v>
      </x:c>
      <x:c r="E40" s="22" t="s">
        <x:v>1234</x:v>
      </x:c>
      <x:c r="F40" s="22"/>
      <x:c r="G40" s="22">
        <x:v>0</x:v>
      </x:c>
      <x:c r="H40" s="22">
        <x:v>1</x:v>
      </x:c>
      <x:c r="I40" s="22" t="s">
        <x:v>1221</x:v>
      </x:c>
      <x:c r="J40" s="24" t="s">
        <x:v>1150</x:v>
      </x:c>
      <x:c r="K40" s="27" t="s">
        <x:v>1150</x:v>
      </x:c>
      <x:c r="L40" s="26"/>
      <x:c r="M40" s="27"/>
      <x:c r="N40" s="22">
        <x:f>IF(K40="","تکمیل نشده",IF(AND(K40="منتقل نشود",G40&gt;0),"در سند استفاده شده","OK"))</x:f>
      </x:c>
      <x:c r="O40" s="28"/>
    </x:row>
    <x:row r="41" spans="1:15">
      <x:c r="A41" s="21" t="s">
        <x:v>1146</x:v>
      </x:c>
      <x:c r="B41" s="22">
        <x:v>1</x:v>
      </x:c>
      <x:c r="C41" s="22" t="s">
        <x:v>1235</x:v>
      </x:c>
      <x:c r="D41" s="22" t="s">
        <x:v>497</x:v>
      </x:c>
      <x:c r="E41" s="22" t="s">
        <x:v>1236</x:v>
      </x:c>
      <x:c r="F41" s="22"/>
      <x:c r="G41" s="22">
        <x:v>0</x:v>
      </x:c>
      <x:c r="H41" s="22">
        <x:v>1</x:v>
      </x:c>
      <x:c r="I41" s="22" t="s">
        <x:v>1221</x:v>
      </x:c>
      <x:c r="J41" s="24" t="s">
        <x:v>1150</x:v>
      </x:c>
      <x:c r="K41" s="27" t="s">
        <x:v>1150</x:v>
      </x:c>
      <x:c r="L41" s="26"/>
      <x:c r="M41" s="27"/>
      <x:c r="N41" s="22">
        <x:f>IF(K41="","تکمیل نشده",IF(AND(K41="منتقل نشود",G41&gt;0),"در سند استفاده شده","OK"))</x:f>
      </x:c>
      <x:c r="O41" s="28"/>
    </x:row>
    <x:row r="42" spans="1:15">
      <x:c r="A42" s="21" t="s">
        <x:v>1146</x:v>
      </x:c>
      <x:c r="B42" s="22">
        <x:v>1</x:v>
      </x:c>
      <x:c r="C42" s="22" t="s">
        <x:v>1237</x:v>
      </x:c>
      <x:c r="D42" s="22" t="s">
        <x:v>497</x:v>
      </x:c>
      <x:c r="E42" s="22" t="s">
        <x:v>1238</x:v>
      </x:c>
      <x:c r="F42" s="22"/>
      <x:c r="G42" s="22">
        <x:v>0</x:v>
      </x:c>
      <x:c r="H42" s="22">
        <x:v>1</x:v>
      </x:c>
      <x:c r="I42" s="22" t="s">
        <x:v>1221</x:v>
      </x:c>
      <x:c r="J42" s="24" t="s">
        <x:v>1150</x:v>
      </x:c>
      <x:c r="K42" s="27" t="s">
        <x:v>1150</x:v>
      </x:c>
      <x:c r="L42" s="26"/>
      <x:c r="M42" s="27"/>
      <x:c r="N42" s="22">
        <x:f>IF(K42="","تکمیل نشده",IF(AND(K42="منتقل نشود",G42&gt;0),"در سند استفاده شده","OK"))</x:f>
      </x:c>
      <x:c r="O42" s="28"/>
    </x:row>
    <x:row r="43" spans="1:15">
      <x:c r="A43" s="21" t="s">
        <x:v>1146</x:v>
      </x:c>
      <x:c r="B43" s="22">
        <x:v>1</x:v>
      </x:c>
      <x:c r="C43" s="22" t="s">
        <x:v>1239</x:v>
      </x:c>
      <x:c r="D43" s="22" t="s">
        <x:v>497</x:v>
      </x:c>
      <x:c r="E43" s="22" t="s">
        <x:v>1240</x:v>
      </x:c>
      <x:c r="F43" s="22"/>
      <x:c r="G43" s="22">
        <x:v>0</x:v>
      </x:c>
      <x:c r="H43" s="22">
        <x:v>1</x:v>
      </x:c>
      <x:c r="I43" s="22" t="s">
        <x:v>1221</x:v>
      </x:c>
      <x:c r="J43" s="24" t="s">
        <x:v>1150</x:v>
      </x:c>
      <x:c r="K43" s="27" t="s">
        <x:v>1150</x:v>
      </x:c>
      <x:c r="L43" s="26"/>
      <x:c r="M43" s="27"/>
      <x:c r="N43" s="22">
        <x:f>IF(K43="","تکمیل نشده",IF(AND(K43="منتقل نشود",G43&gt;0),"در سند استفاده شده","OK"))</x:f>
      </x:c>
      <x:c r="O43" s="28"/>
    </x:row>
    <x:row r="44" spans="1:15">
      <x:c r="A44" s="21" t="s">
        <x:v>1146</x:v>
      </x:c>
      <x:c r="B44" s="22">
        <x:v>1</x:v>
      </x:c>
      <x:c r="C44" s="22" t="s">
        <x:v>1241</x:v>
      </x:c>
      <x:c r="D44" s="22" t="s">
        <x:v>497</x:v>
      </x:c>
      <x:c r="E44" s="22" t="s">
        <x:v>1242</x:v>
      </x:c>
      <x:c r="F44" s="22"/>
      <x:c r="G44" s="22">
        <x:v>0</x:v>
      </x:c>
      <x:c r="H44" s="22">
        <x:v>1</x:v>
      </x:c>
      <x:c r="I44" s="22" t="s">
        <x:v>1221</x:v>
      </x:c>
      <x:c r="J44" s="24" t="s">
        <x:v>1150</x:v>
      </x:c>
      <x:c r="K44" s="27" t="s">
        <x:v>1150</x:v>
      </x:c>
      <x:c r="L44" s="26"/>
      <x:c r="M44" s="27"/>
      <x:c r="N44" s="22">
        <x:f>IF(K44="","تکمیل نشده",IF(AND(K44="منتقل نشود",G44&gt;0),"در سند استفاده شده","OK"))</x:f>
      </x:c>
      <x:c r="O44" s="28"/>
    </x:row>
    <x:row r="45" spans="1:15">
      <x:c r="A45" s="21" t="s">
        <x:v>1146</x:v>
      </x:c>
      <x:c r="B45" s="22">
        <x:v>1</x:v>
      </x:c>
      <x:c r="C45" s="22" t="s">
        <x:v>1243</x:v>
      </x:c>
      <x:c r="D45" s="22" t="s">
        <x:v>497</x:v>
      </x:c>
      <x:c r="E45" s="22" t="s">
        <x:v>1244</x:v>
      </x:c>
      <x:c r="F45" s="22"/>
      <x:c r="G45" s="22">
        <x:v>0</x:v>
      </x:c>
      <x:c r="H45" s="22">
        <x:v>1</x:v>
      </x:c>
      <x:c r="I45" s="22" t="s">
        <x:v>1221</x:v>
      </x:c>
      <x:c r="J45" s="24" t="s">
        <x:v>1150</x:v>
      </x:c>
      <x:c r="K45" s="27" t="s">
        <x:v>1150</x:v>
      </x:c>
      <x:c r="L45" s="26"/>
      <x:c r="M45" s="27"/>
      <x:c r="N45" s="22">
        <x:f>IF(K45="","تکمیل نشده",IF(AND(K45="منتقل نشود",G45&gt;0),"در سند استفاده شده","OK"))</x:f>
      </x:c>
      <x:c r="O45" s="28"/>
    </x:row>
    <x:row r="46" spans="1:15">
      <x:c r="A46" s="21" t="s">
        <x:v>1146</x:v>
      </x:c>
      <x:c r="B46" s="22">
        <x:v>1</x:v>
      </x:c>
      <x:c r="C46" s="22" t="s">
        <x:v>1245</x:v>
      </x:c>
      <x:c r="D46" s="22" t="s">
        <x:v>497</x:v>
      </x:c>
      <x:c r="E46" s="22" t="s">
        <x:v>1246</x:v>
      </x:c>
      <x:c r="F46" s="22"/>
      <x:c r="G46" s="22">
        <x:v>0</x:v>
      </x:c>
      <x:c r="H46" s="22">
        <x:v>1</x:v>
      </x:c>
      <x:c r="I46" s="22" t="s">
        <x:v>1221</x:v>
      </x:c>
      <x:c r="J46" s="24" t="s">
        <x:v>1150</x:v>
      </x:c>
      <x:c r="K46" s="27" t="s">
        <x:v>1150</x:v>
      </x:c>
      <x:c r="L46" s="26"/>
      <x:c r="M46" s="27"/>
      <x:c r="N46" s="22">
        <x:f>IF(K46="","تکمیل نشده",IF(AND(K46="منتقل نشود",G46&gt;0),"در سند استفاده شده","OK"))</x:f>
      </x:c>
      <x:c r="O46" s="28"/>
    </x:row>
    <x:row r="47" spans="1:15">
      <x:c r="A47" s="21" t="s">
        <x:v>1146</x:v>
      </x:c>
      <x:c r="B47" s="22">
        <x:v>1</x:v>
      </x:c>
      <x:c r="C47" s="22" t="s">
        <x:v>1247</x:v>
      </x:c>
      <x:c r="D47" s="22" t="s">
        <x:v>497</x:v>
      </x:c>
      <x:c r="E47" s="22" t="s">
        <x:v>1248</x:v>
      </x:c>
      <x:c r="F47" s="22"/>
      <x:c r="G47" s="22">
        <x:v>0</x:v>
      </x:c>
      <x:c r="H47" s="22">
        <x:v>1</x:v>
      </x:c>
      <x:c r="I47" s="22" t="s">
        <x:v>1221</x:v>
      </x:c>
      <x:c r="J47" s="24" t="s">
        <x:v>1150</x:v>
      </x:c>
      <x:c r="K47" s="27" t="s">
        <x:v>1150</x:v>
      </x:c>
      <x:c r="L47" s="26"/>
      <x:c r="M47" s="27"/>
      <x:c r="N47" s="22">
        <x:f>IF(K47="","تکمیل نشده",IF(AND(K47="منتقل نشود",G47&gt;0),"در سند استفاده شده","OK"))</x:f>
      </x:c>
      <x:c r="O47" s="28"/>
    </x:row>
    <x:row r="48" spans="1:15">
      <x:c r="A48" s="21" t="s">
        <x:v>1146</x:v>
      </x:c>
      <x:c r="B48" s="22">
        <x:v>1</x:v>
      </x:c>
      <x:c r="C48" s="22" t="s">
        <x:v>1249</x:v>
      </x:c>
      <x:c r="D48" s="22" t="s">
        <x:v>497</x:v>
      </x:c>
      <x:c r="E48" s="22" t="s">
        <x:v>1250</x:v>
      </x:c>
      <x:c r="F48" s="22"/>
      <x:c r="G48" s="22">
        <x:v>0</x:v>
      </x:c>
      <x:c r="H48" s="22">
        <x:v>1</x:v>
      </x:c>
      <x:c r="I48" s="22" t="s">
        <x:v>1164</x:v>
      </x:c>
      <x:c r="J48" s="24" t="s">
        <x:v>1150</x:v>
      </x:c>
      <x:c r="K48" s="27" t="s">
        <x:v>1150</x:v>
      </x:c>
      <x:c r="L48" s="26"/>
      <x:c r="M48" s="27"/>
      <x:c r="N48" s="22">
        <x:f>IF(K48="","تکمیل نشده",IF(AND(K48="منتقل نشود",G48&gt;0),"در سند استفاده شده","OK"))</x:f>
      </x:c>
      <x:c r="O48" s="28"/>
    </x:row>
    <x:row r="49" spans="1:15">
      <x:c r="A49" s="21" t="s">
        <x:v>1146</x:v>
      </x:c>
      <x:c r="B49" s="22">
        <x:v>1</x:v>
      </x:c>
      <x:c r="C49" s="22" t="s">
        <x:v>1251</x:v>
      </x:c>
      <x:c r="D49" s="22" t="s">
        <x:v>497</x:v>
      </x:c>
      <x:c r="E49" s="22" t="s">
        <x:v>1252</x:v>
      </x:c>
      <x:c r="F49" s="22"/>
      <x:c r="G49" s="22">
        <x:v>0</x:v>
      </x:c>
      <x:c r="H49" s="22">
        <x:v>1</x:v>
      </x:c>
      <x:c r="I49" s="22" t="s">
        <x:v>1221</x:v>
      </x:c>
      <x:c r="J49" s="24" t="s">
        <x:v>1150</x:v>
      </x:c>
      <x:c r="K49" s="27" t="s">
        <x:v>1150</x:v>
      </x:c>
      <x:c r="L49" s="26"/>
      <x:c r="M49" s="27"/>
      <x:c r="N49" s="22">
        <x:f>IF(K49="","تکمیل نشده",IF(AND(K49="منتقل نشود",G49&gt;0),"در سند استفاده شده","OK"))</x:f>
      </x:c>
      <x:c r="O49" s="28"/>
    </x:row>
    <x:row r="50" spans="1:15">
      <x:c r="A50" s="21" t="s">
        <x:v>1146</x:v>
      </x:c>
      <x:c r="B50" s="22">
        <x:v>1</x:v>
      </x:c>
      <x:c r="C50" s="22" t="s">
        <x:v>1253</x:v>
      </x:c>
      <x:c r="D50" s="22" t="s">
        <x:v>497</x:v>
      </x:c>
      <x:c r="E50" s="22" t="s">
        <x:v>1254</x:v>
      </x:c>
      <x:c r="F50" s="22"/>
      <x:c r="G50" s="22">
        <x:v>0</x:v>
      </x:c>
      <x:c r="H50" s="22">
        <x:v>1</x:v>
      </x:c>
      <x:c r="I50" s="22" t="s">
        <x:v>1164</x:v>
      </x:c>
      <x:c r="J50" s="24" t="s">
        <x:v>1150</x:v>
      </x:c>
      <x:c r="K50" s="27" t="s">
        <x:v>1150</x:v>
      </x:c>
      <x:c r="L50" s="26"/>
      <x:c r="M50" s="27"/>
      <x:c r="N50" s="22">
        <x:f>IF(K50="","تکمیل نشده",IF(AND(K50="منتقل نشود",G50&gt;0),"در سند استفاده شده","OK"))</x:f>
      </x:c>
      <x:c r="O50" s="28"/>
    </x:row>
    <x:row r="51" spans="1:15">
      <x:c r="A51" s="21" t="s">
        <x:v>1146</x:v>
      </x:c>
      <x:c r="B51" s="22">
        <x:v>1</x:v>
      </x:c>
      <x:c r="C51" s="22" t="s">
        <x:v>1255</x:v>
      </x:c>
      <x:c r="D51" s="22" t="s">
        <x:v>497</x:v>
      </x:c>
      <x:c r="E51" s="22" t="s">
        <x:v>1256</x:v>
      </x:c>
      <x:c r="F51" s="22"/>
      <x:c r="G51" s="22">
        <x:v>0</x:v>
      </x:c>
      <x:c r="H51" s="22">
        <x:v>2</x:v>
      </x:c>
      <x:c r="I51" s="22" t="s">
        <x:v>1195</x:v>
      </x:c>
      <x:c r="J51" s="24" t="s">
        <x:v>1150</x:v>
      </x:c>
      <x:c r="K51" s="27" t="s">
        <x:v>1150</x:v>
      </x:c>
      <x:c r="L51" s="26"/>
      <x:c r="M51" s="27"/>
      <x:c r="N51" s="22">
        <x:f>IF(K51="","تکمیل نشده",IF(AND(K51="منتقل نشود",G51&gt;0),"در سند استفاده شده","OK"))</x:f>
      </x:c>
      <x:c r="O51" s="28"/>
    </x:row>
    <x:row r="52" spans="1:15">
      <x:c r="A52" s="21" t="s">
        <x:v>1146</x:v>
      </x:c>
      <x:c r="B52" s="22">
        <x:v>1</x:v>
      </x:c>
      <x:c r="C52" s="22" t="s">
        <x:v>1257</x:v>
      </x:c>
      <x:c r="D52" s="22" t="s">
        <x:v>497</x:v>
      </x:c>
      <x:c r="E52" s="22" t="s">
        <x:v>1258</x:v>
      </x:c>
      <x:c r="F52" s="22"/>
      <x:c r="G52" s="22">
        <x:v>0</x:v>
      </x:c>
      <x:c r="H52" s="22">
        <x:v>1</x:v>
      </x:c>
      <x:c r="I52" s="22" t="s">
        <x:v>1164</x:v>
      </x:c>
      <x:c r="J52" s="24" t="s">
        <x:v>1150</x:v>
      </x:c>
      <x:c r="K52" s="27" t="s">
        <x:v>1150</x:v>
      </x:c>
      <x:c r="L52" s="26"/>
      <x:c r="M52" s="27"/>
      <x:c r="N52" s="22">
        <x:f>IF(K52="","تکمیل نشده",IF(AND(K52="منتقل نشود",G52&gt;0),"در سند استفاده شده","OK"))</x:f>
      </x:c>
      <x:c r="O52" s="28"/>
    </x:row>
    <x:row r="53" spans="1:15">
      <x:c r="A53" s="21" t="s">
        <x:v>1146</x:v>
      </x:c>
      <x:c r="B53" s="22">
        <x:v>1</x:v>
      </x:c>
      <x:c r="C53" s="22" t="s">
        <x:v>1259</x:v>
      </x:c>
      <x:c r="D53" s="22" t="s">
        <x:v>497</x:v>
      </x:c>
      <x:c r="E53" s="22" t="s">
        <x:v>1260</x:v>
      </x:c>
      <x:c r="F53" s="22"/>
      <x:c r="G53" s="22">
        <x:v>0</x:v>
      </x:c>
      <x:c r="H53" s="22">
        <x:v>1</x:v>
      </x:c>
      <x:c r="I53" s="22" t="s">
        <x:v>1164</x:v>
      </x:c>
      <x:c r="J53" s="24" t="s">
        <x:v>1150</x:v>
      </x:c>
      <x:c r="K53" s="27" t="s">
        <x:v>1150</x:v>
      </x:c>
      <x:c r="L53" s="26"/>
      <x:c r="M53" s="27"/>
      <x:c r="N53" s="22">
        <x:f>IF(K53="","تکمیل نشده",IF(AND(K53="منتقل نشود",G53&gt;0),"در سند استفاده شده","OK"))</x:f>
      </x:c>
      <x:c r="O53" s="28"/>
    </x:row>
    <x:row r="54" spans="1:15">
      <x:c r="A54" s="21" t="s">
        <x:v>1146</x:v>
      </x:c>
      <x:c r="B54" s="22">
        <x:v>1</x:v>
      </x:c>
      <x:c r="C54" s="22" t="s">
        <x:v>1261</x:v>
      </x:c>
      <x:c r="D54" s="22" t="s">
        <x:v>497</x:v>
      </x:c>
      <x:c r="E54" s="22" t="s">
        <x:v>1262</x:v>
      </x:c>
      <x:c r="F54" s="22"/>
      <x:c r="G54" s="22">
        <x:v>0</x:v>
      </x:c>
      <x:c r="H54" s="22">
        <x:v>1</x:v>
      </x:c>
      <x:c r="I54" s="22" t="s">
        <x:v>1164</x:v>
      </x:c>
      <x:c r="J54" s="24" t="s">
        <x:v>1150</x:v>
      </x:c>
      <x:c r="K54" s="27" t="s">
        <x:v>1150</x:v>
      </x:c>
      <x:c r="L54" s="26"/>
      <x:c r="M54" s="27"/>
      <x:c r="N54" s="22">
        <x:f>IF(K54="","تکمیل نشده",IF(AND(K54="منتقل نشود",G54&gt;0),"در سند استفاده شده","OK"))</x:f>
      </x:c>
      <x:c r="O54" s="28"/>
    </x:row>
    <x:row r="55" spans="1:15">
      <x:c r="A55" s="21" t="s">
        <x:v>1146</x:v>
      </x:c>
      <x:c r="B55" s="22">
        <x:v>1</x:v>
      </x:c>
      <x:c r="C55" s="22" t="s">
        <x:v>1263</x:v>
      </x:c>
      <x:c r="D55" s="22" t="s">
        <x:v>497</x:v>
      </x:c>
      <x:c r="E55" s="22" t="s">
        <x:v>1264</x:v>
      </x:c>
      <x:c r="F55" s="22"/>
      <x:c r="G55" s="22">
        <x:v>0</x:v>
      </x:c>
      <x:c r="H55" s="22">
        <x:v>2</x:v>
      </x:c>
      <x:c r="I55" s="22" t="s">
        <x:v>1195</x:v>
      </x:c>
      <x:c r="J55" s="24" t="s">
        <x:v>1150</x:v>
      </x:c>
      <x:c r="K55" s="27" t="s">
        <x:v>1150</x:v>
      </x:c>
      <x:c r="L55" s="26"/>
      <x:c r="M55" s="27"/>
      <x:c r="N55" s="22">
        <x:f>IF(K55="","تکمیل نشده",IF(AND(K55="منتقل نشود",G55&gt;0),"در سند استفاده شده","OK"))</x:f>
      </x:c>
      <x:c r="O55" s="28"/>
    </x:row>
    <x:row r="56" spans="1:15">
      <x:c r="A56" s="21" t="s">
        <x:v>1146</x:v>
      </x:c>
      <x:c r="B56" s="22">
        <x:v>1</x:v>
      </x:c>
      <x:c r="C56" s="22" t="s">
        <x:v>1265</x:v>
      </x:c>
      <x:c r="D56" s="22" t="s">
        <x:v>497</x:v>
      </x:c>
      <x:c r="E56" s="22" t="s">
        <x:v>1266</x:v>
      </x:c>
      <x:c r="F56" s="22"/>
      <x:c r="G56" s="22">
        <x:v>0</x:v>
      </x:c>
      <x:c r="H56" s="22">
        <x:v>1</x:v>
      </x:c>
      <x:c r="I56" s="22" t="s">
        <x:v>1169</x:v>
      </x:c>
      <x:c r="J56" s="24" t="s">
        <x:v>1150</x:v>
      </x:c>
      <x:c r="K56" s="27" t="s">
        <x:v>1150</x:v>
      </x:c>
      <x:c r="L56" s="26"/>
      <x:c r="M56" s="27"/>
      <x:c r="N56" s="22">
        <x:f>IF(K56="","تکمیل نشده",IF(AND(K56="منتقل نشود",G56&gt;0),"در سند استفاده شده","OK"))</x:f>
      </x:c>
      <x:c r="O56" s="28"/>
    </x:row>
    <x:row r="57" spans="1:15">
      <x:c r="A57" s="21" t="s">
        <x:v>1146</x:v>
      </x:c>
      <x:c r="B57" s="22">
        <x:v>1</x:v>
      </x:c>
      <x:c r="C57" s="22" t="s">
        <x:v>1267</x:v>
      </x:c>
      <x:c r="D57" s="22" t="s">
        <x:v>497</x:v>
      </x:c>
      <x:c r="E57" s="22" t="s">
        <x:v>1268</x:v>
      </x:c>
      <x:c r="F57" s="22"/>
      <x:c r="G57" s="22">
        <x:v>0</x:v>
      </x:c>
      <x:c r="H57" s="22">
        <x:v>2</x:v>
      </x:c>
      <x:c r="I57" s="22" t="s">
        <x:v>1195</x:v>
      </x:c>
      <x:c r="J57" s="24" t="s">
        <x:v>1150</x:v>
      </x:c>
      <x:c r="K57" s="27" t="s">
        <x:v>1150</x:v>
      </x:c>
      <x:c r="L57" s="26"/>
      <x:c r="M57" s="27"/>
      <x:c r="N57" s="22">
        <x:f>IF(K57="","تکمیل نشده",IF(AND(K57="منتقل نشود",G57&gt;0),"در سند استفاده شده","OK"))</x:f>
      </x:c>
      <x:c r="O57" s="28"/>
    </x:row>
    <x:row r="58" spans="1:15">
      <x:c r="A58" s="21" t="s">
        <x:v>1146</x:v>
      </x:c>
      <x:c r="B58" s="22">
        <x:v>1</x:v>
      </x:c>
      <x:c r="C58" s="22" t="s">
        <x:v>1269</x:v>
      </x:c>
      <x:c r="D58" s="22" t="s">
        <x:v>497</x:v>
      </x:c>
      <x:c r="E58" s="22" t="s">
        <x:v>1270</x:v>
      </x:c>
      <x:c r="F58" s="22"/>
      <x:c r="G58" s="22">
        <x:v>0</x:v>
      </x:c>
      <x:c r="H58" s="22">
        <x:v>1</x:v>
      </x:c>
      <x:c r="I58" s="22" t="s">
        <x:v>1198</x:v>
      </x:c>
      <x:c r="J58" s="24" t="s">
        <x:v>1150</x:v>
      </x:c>
      <x:c r="K58" s="27" t="s">
        <x:v>1150</x:v>
      </x:c>
      <x:c r="L58" s="26"/>
      <x:c r="M58" s="27"/>
      <x:c r="N58" s="22">
        <x:f>IF(K58="","تکمیل نشده",IF(AND(K58="منتقل نشود",G58&gt;0),"در سند استفاده شده","OK"))</x:f>
      </x:c>
      <x:c r="O58" s="28"/>
    </x:row>
    <x:row r="59" spans="1:15">
      <x:c r="A59" s="21" t="s">
        <x:v>1146</x:v>
      </x:c>
      <x:c r="B59" s="22">
        <x:v>1</x:v>
      </x:c>
      <x:c r="C59" s="22" t="s">
        <x:v>1271</x:v>
      </x:c>
      <x:c r="D59" s="22" t="s">
        <x:v>497</x:v>
      </x:c>
      <x:c r="E59" s="22" t="s">
        <x:v>1272</x:v>
      </x:c>
      <x:c r="F59" s="22"/>
      <x:c r="G59" s="22">
        <x:v>0</x:v>
      </x:c>
      <x:c r="H59" s="22">
        <x:v>2</x:v>
      </x:c>
      <x:c r="I59" s="22" t="s">
        <x:v>1195</x:v>
      </x:c>
      <x:c r="J59" s="24" t="s">
        <x:v>1150</x:v>
      </x:c>
      <x:c r="K59" s="27" t="s">
        <x:v>1150</x:v>
      </x:c>
      <x:c r="L59" s="26"/>
      <x:c r="M59" s="27"/>
      <x:c r="N59" s="22">
        <x:f>IF(K59="","تکمیل نشده",IF(AND(K59="منتقل نشود",G59&gt;0),"در سند استفاده شده","OK"))</x:f>
      </x:c>
      <x:c r="O59" s="28"/>
    </x:row>
    <x:row r="60" spans="1:15">
      <x:c r="A60" s="21" t="s">
        <x:v>1146</x:v>
      </x:c>
      <x:c r="B60" s="22">
        <x:v>1</x:v>
      </x:c>
      <x:c r="C60" s="22" t="s">
        <x:v>1273</x:v>
      </x:c>
      <x:c r="D60" s="22" t="s">
        <x:v>497</x:v>
      </x:c>
      <x:c r="E60" s="22" t="s">
        <x:v>1274</x:v>
      </x:c>
      <x:c r="F60" s="22"/>
      <x:c r="G60" s="22">
        <x:v>0</x:v>
      </x:c>
      <x:c r="H60" s="22">
        <x:v>2</x:v>
      </x:c>
      <x:c r="I60" s="22" t="s">
        <x:v>1195</x:v>
      </x:c>
      <x:c r="J60" s="24" t="s">
        <x:v>1150</x:v>
      </x:c>
      <x:c r="K60" s="27" t="s">
        <x:v>1150</x:v>
      </x:c>
      <x:c r="L60" s="26"/>
      <x:c r="M60" s="27"/>
      <x:c r="N60" s="22">
        <x:f>IF(K60="","تکمیل نشده",IF(AND(K60="منتقل نشود",G60&gt;0),"در سند استفاده شده","OK"))</x:f>
      </x:c>
      <x:c r="O60" s="28"/>
    </x:row>
    <x:row r="61" spans="1:15">
      <x:c r="A61" s="21" t="s">
        <x:v>1146</x:v>
      </x:c>
      <x:c r="B61" s="22">
        <x:v>1</x:v>
      </x:c>
      <x:c r="C61" s="22" t="s">
        <x:v>1275</x:v>
      </x:c>
      <x:c r="D61" s="22" t="s">
        <x:v>497</x:v>
      </x:c>
      <x:c r="E61" s="22" t="s">
        <x:v>1276</x:v>
      </x:c>
      <x:c r="F61" s="22"/>
      <x:c r="G61" s="22">
        <x:v>0</x:v>
      </x:c>
      <x:c r="H61" s="22">
        <x:v>1</x:v>
      </x:c>
      <x:c r="I61" s="22" t="s">
        <x:v>1198</x:v>
      </x:c>
      <x:c r="J61" s="24" t="s">
        <x:v>1150</x:v>
      </x:c>
      <x:c r="K61" s="27" t="s">
        <x:v>1150</x:v>
      </x:c>
      <x:c r="L61" s="26"/>
      <x:c r="M61" s="27"/>
      <x:c r="N61" s="22">
        <x:f>IF(K61="","تکمیل نشده",IF(AND(K61="منتقل نشود",G61&gt;0),"در سند استفاده شده","OK"))</x:f>
      </x:c>
      <x:c r="O61" s="28"/>
    </x:row>
    <x:row r="62" spans="1:15">
      <x:c r="A62" s="21" t="s">
        <x:v>1146</x:v>
      </x:c>
      <x:c r="B62" s="22">
        <x:v>1</x:v>
      </x:c>
      <x:c r="C62" s="22" t="s">
        <x:v>1277</x:v>
      </x:c>
      <x:c r="D62" s="22" t="s">
        <x:v>497</x:v>
      </x:c>
      <x:c r="E62" s="22" t="s">
        <x:v>1278</x:v>
      </x:c>
      <x:c r="F62" s="22"/>
      <x:c r="G62" s="22">
        <x:v>0</x:v>
      </x:c>
      <x:c r="H62" s="22">
        <x:v>1</x:v>
      </x:c>
      <x:c r="I62" s="22" t="s">
        <x:v>1164</x:v>
      </x:c>
      <x:c r="J62" s="24" t="s">
        <x:v>1150</x:v>
      </x:c>
      <x:c r="K62" s="27" t="s">
        <x:v>1150</x:v>
      </x:c>
      <x:c r="L62" s="26"/>
      <x:c r="M62" s="27"/>
      <x:c r="N62" s="22">
        <x:f>IF(K62="","تکمیل نشده",IF(AND(K62="منتقل نشود",G62&gt;0),"در سند استفاده شده","OK"))</x:f>
      </x:c>
      <x:c r="O62" s="28"/>
    </x:row>
    <x:row r="63" spans="1:15">
      <x:c r="A63" s="21" t="s">
        <x:v>1146</x:v>
      </x:c>
      <x:c r="B63" s="22">
        <x:v>1</x:v>
      </x:c>
      <x:c r="C63" s="22" t="s">
        <x:v>1279</x:v>
      </x:c>
      <x:c r="D63" s="22" t="s">
        <x:v>497</x:v>
      </x:c>
      <x:c r="E63" s="22" t="s">
        <x:v>1280</x:v>
      </x:c>
      <x:c r="F63" s="22"/>
      <x:c r="G63" s="22">
        <x:v>0</x:v>
      </x:c>
      <x:c r="H63" s="22">
        <x:v>1</x:v>
      </x:c>
      <x:c r="I63" s="22" t="s">
        <x:v>1164</x:v>
      </x:c>
      <x:c r="J63" s="24" t="s">
        <x:v>1150</x:v>
      </x:c>
      <x:c r="K63" s="27" t="s">
        <x:v>1150</x:v>
      </x:c>
      <x:c r="L63" s="26"/>
      <x:c r="M63" s="27"/>
      <x:c r="N63" s="22">
        <x:f>IF(K63="","تکمیل نشده",IF(AND(K63="منتقل نشود",G63&gt;0),"در سند استفاده شده","OK"))</x:f>
      </x:c>
      <x:c r="O63" s="28"/>
    </x:row>
    <x:row r="64" spans="1:15">
      <x:c r="A64" s="21" t="s">
        <x:v>1146</x:v>
      </x:c>
      <x:c r="B64" s="22">
        <x:v>1</x:v>
      </x:c>
      <x:c r="C64" s="22" t="s">
        <x:v>1281</x:v>
      </x:c>
      <x:c r="D64" s="22" t="s">
        <x:v>497</x:v>
      </x:c>
      <x:c r="E64" s="22" t="s">
        <x:v>1282</x:v>
      </x:c>
      <x:c r="F64" s="22"/>
      <x:c r="G64" s="22">
        <x:v>0</x:v>
      </x:c>
      <x:c r="H64" s="22">
        <x:v>1</x:v>
      </x:c>
      <x:c r="I64" s="22" t="s">
        <x:v>1221</x:v>
      </x:c>
      <x:c r="J64" s="24" t="s">
        <x:v>1150</x:v>
      </x:c>
      <x:c r="K64" s="27" t="s">
        <x:v>1150</x:v>
      </x:c>
      <x:c r="L64" s="26"/>
      <x:c r="M64" s="27"/>
      <x:c r="N64" s="22">
        <x:f>IF(K64="","تکمیل نشده",IF(AND(K64="منتقل نشود",G64&gt;0),"در سند استفاده شده","OK"))</x:f>
      </x:c>
      <x:c r="O64" s="28"/>
    </x:row>
    <x:row r="65" spans="1:15">
      <x:c r="A65" s="21" t="s">
        <x:v>1146</x:v>
      </x:c>
      <x:c r="B65" s="22">
        <x:v>1</x:v>
      </x:c>
      <x:c r="C65" s="22" t="s">
        <x:v>1283</x:v>
      </x:c>
      <x:c r="D65" s="22" t="s">
        <x:v>497</x:v>
      </x:c>
      <x:c r="E65" s="22" t="s">
        <x:v>1284</x:v>
      </x:c>
      <x:c r="F65" s="22"/>
      <x:c r="G65" s="22">
        <x:v>0</x:v>
      </x:c>
      <x:c r="H65" s="22">
        <x:v>1</x:v>
      </x:c>
      <x:c r="I65" s="22" t="s">
        <x:v>1164</x:v>
      </x:c>
      <x:c r="J65" s="24" t="s">
        <x:v>1150</x:v>
      </x:c>
      <x:c r="K65" s="27" t="s">
        <x:v>1150</x:v>
      </x:c>
      <x:c r="L65" s="26"/>
      <x:c r="M65" s="27"/>
      <x:c r="N65" s="22">
        <x:f>IF(K65="","تکمیل نشده",IF(AND(K65="منتقل نشود",G65&gt;0),"در سند استفاده شده","OK"))</x:f>
      </x:c>
      <x:c r="O65" s="28"/>
    </x:row>
    <x:row r="66" spans="1:15">
      <x:c r="A66" s="21" t="s">
        <x:v>1146</x:v>
      </x:c>
      <x:c r="B66" s="22">
        <x:v>1</x:v>
      </x:c>
      <x:c r="C66" s="22" t="s">
        <x:v>1285</x:v>
      </x:c>
      <x:c r="D66" s="22" t="s">
        <x:v>497</x:v>
      </x:c>
      <x:c r="E66" s="22" t="s">
        <x:v>1286</x:v>
      </x:c>
      <x:c r="F66" s="22"/>
      <x:c r="G66" s="22">
        <x:v>0</x:v>
      </x:c>
      <x:c r="H66" s="22">
        <x:v>1</x:v>
      </x:c>
      <x:c r="I66" s="22" t="s">
        <x:v>1198</x:v>
      </x:c>
      <x:c r="J66" s="24" t="s">
        <x:v>1150</x:v>
      </x:c>
      <x:c r="K66" s="27" t="s">
        <x:v>1150</x:v>
      </x:c>
      <x:c r="L66" s="26"/>
      <x:c r="M66" s="27"/>
      <x:c r="N66" s="22">
        <x:f>IF(K66="","تکمیل نشده",IF(AND(K66="منتقل نشود",G66&gt;0),"در سند استفاده شده","OK"))</x:f>
      </x:c>
      <x:c r="O66" s="28"/>
    </x:row>
    <x:row r="67" spans="1:15">
      <x:c r="A67" s="21" t="s">
        <x:v>1146</x:v>
      </x:c>
      <x:c r="B67" s="22">
        <x:v>1</x:v>
      </x:c>
      <x:c r="C67" s="22" t="s">
        <x:v>1287</x:v>
      </x:c>
      <x:c r="D67" s="22" t="s">
        <x:v>497</x:v>
      </x:c>
      <x:c r="E67" s="22" t="s">
        <x:v>1288</x:v>
      </x:c>
      <x:c r="F67" s="22"/>
      <x:c r="G67" s="22">
        <x:v>0</x:v>
      </x:c>
      <x:c r="H67" s="22">
        <x:v>2</x:v>
      </x:c>
      <x:c r="I67" s="22" t="s">
        <x:v>1195</x:v>
      </x:c>
      <x:c r="J67" s="24" t="s">
        <x:v>1150</x:v>
      </x:c>
      <x:c r="K67" s="27" t="s">
        <x:v>1150</x:v>
      </x:c>
      <x:c r="L67" s="26"/>
      <x:c r="M67" s="27"/>
      <x:c r="N67" s="22">
        <x:f>IF(K67="","تکمیل نشده",IF(AND(K67="منتقل نشود",G67&gt;0),"در سند استفاده شده","OK"))</x:f>
      </x:c>
      <x:c r="O67" s="28"/>
    </x:row>
    <x:row r="68" spans="1:15">
      <x:c r="A68" s="21" t="s">
        <x:v>1146</x:v>
      </x:c>
      <x:c r="B68" s="22">
        <x:v>1</x:v>
      </x:c>
      <x:c r="C68" s="22" t="s">
        <x:v>1289</x:v>
      </x:c>
      <x:c r="D68" s="22" t="s">
        <x:v>497</x:v>
      </x:c>
      <x:c r="E68" s="22" t="s">
        <x:v>1290</x:v>
      </x:c>
      <x:c r="F68" s="22"/>
      <x:c r="G68" s="22">
        <x:v>0</x:v>
      </x:c>
      <x:c r="H68" s="22">
        <x:v>2</x:v>
      </x:c>
      <x:c r="I68" s="22" t="s">
        <x:v>1195</x:v>
      </x:c>
      <x:c r="J68" s="24" t="s">
        <x:v>1150</x:v>
      </x:c>
      <x:c r="K68" s="27" t="s">
        <x:v>1150</x:v>
      </x:c>
      <x:c r="L68" s="26"/>
      <x:c r="M68" s="27"/>
      <x:c r="N68" s="22">
        <x:f>IF(K68="","تکمیل نشده",IF(AND(K68="منتقل نشود",G68&gt;0),"در سند استفاده شده","OK"))</x:f>
      </x:c>
      <x:c r="O68" s="28"/>
    </x:row>
    <x:row r="69" spans="1:15">
      <x:c r="A69" s="21" t="s">
        <x:v>1146</x:v>
      </x:c>
      <x:c r="B69" s="22">
        <x:v>1</x:v>
      </x:c>
      <x:c r="C69" s="22" t="s">
        <x:v>1291</x:v>
      </x:c>
      <x:c r="D69" s="22" t="s">
        <x:v>497</x:v>
      </x:c>
      <x:c r="E69" s="22" t="s">
        <x:v>1292</x:v>
      </x:c>
      <x:c r="F69" s="22"/>
      <x:c r="G69" s="22">
        <x:v>0</x:v>
      </x:c>
      <x:c r="H69" s="22">
        <x:v>2</x:v>
      </x:c>
      <x:c r="I69" s="22" t="s">
        <x:v>1195</x:v>
      </x:c>
      <x:c r="J69" s="24" t="s">
        <x:v>1150</x:v>
      </x:c>
      <x:c r="K69" s="27" t="s">
        <x:v>1150</x:v>
      </x:c>
      <x:c r="L69" s="26"/>
      <x:c r="M69" s="27"/>
      <x:c r="N69" s="22">
        <x:f>IF(K69="","تکمیل نشده",IF(AND(K69="منتقل نشود",G69&gt;0),"در سند استفاده شده","OK"))</x:f>
      </x:c>
      <x:c r="O69" s="28"/>
    </x:row>
    <x:row r="70" spans="1:15">
      <x:c r="A70" s="21" t="s">
        <x:v>1146</x:v>
      </x:c>
      <x:c r="B70" s="22">
        <x:v>1</x:v>
      </x:c>
      <x:c r="C70" s="22" t="s">
        <x:v>1293</x:v>
      </x:c>
      <x:c r="D70" s="22" t="s">
        <x:v>497</x:v>
      </x:c>
      <x:c r="E70" s="22" t="s">
        <x:v>1294</x:v>
      </x:c>
      <x:c r="F70" s="22"/>
      <x:c r="G70" s="22">
        <x:v>0</x:v>
      </x:c>
      <x:c r="H70" s="22">
        <x:v>1</x:v>
      </x:c>
      <x:c r="I70" s="22" t="s">
        <x:v>1221</x:v>
      </x:c>
      <x:c r="J70" s="24" t="s">
        <x:v>1150</x:v>
      </x:c>
      <x:c r="K70" s="27" t="s">
        <x:v>1150</x:v>
      </x:c>
      <x:c r="L70" s="26"/>
      <x:c r="M70" s="27"/>
      <x:c r="N70" s="22">
        <x:f>IF(K70="","تکمیل نشده",IF(AND(K70="منتقل نشود",G70&gt;0),"در سند استفاده شده","OK"))</x:f>
      </x:c>
      <x:c r="O70" s="28"/>
    </x:row>
    <x:row r="71" spans="1:15">
      <x:c r="A71" s="21" t="s">
        <x:v>1146</x:v>
      </x:c>
      <x:c r="B71" s="22">
        <x:v>1</x:v>
      </x:c>
      <x:c r="C71" s="22" t="s">
        <x:v>1295</x:v>
      </x:c>
      <x:c r="D71" s="22" t="s">
        <x:v>497</x:v>
      </x:c>
      <x:c r="E71" s="22" t="s">
        <x:v>1296</x:v>
      </x:c>
      <x:c r="F71" s="22"/>
      <x:c r="G71" s="22">
        <x:v>0</x:v>
      </x:c>
      <x:c r="H71" s="22">
        <x:v>1</x:v>
      </x:c>
      <x:c r="I71" s="22" t="s">
        <x:v>1221</x:v>
      </x:c>
      <x:c r="J71" s="24" t="s">
        <x:v>1150</x:v>
      </x:c>
      <x:c r="K71" s="27" t="s">
        <x:v>1150</x:v>
      </x:c>
      <x:c r="L71" s="26"/>
      <x:c r="M71" s="27"/>
      <x:c r="N71" s="22">
        <x:f>IF(K71="","تکمیل نشده",IF(AND(K71="منتقل نشود",G71&gt;0),"در سند استفاده شده","OK"))</x:f>
      </x:c>
      <x:c r="O71" s="28"/>
    </x:row>
    <x:row r="72" spans="1:15">
      <x:c r="A72" s="21" t="s">
        <x:v>1146</x:v>
      </x:c>
      <x:c r="B72" s="22">
        <x:v>1</x:v>
      </x:c>
      <x:c r="C72" s="22" t="s">
        <x:v>1297</x:v>
      </x:c>
      <x:c r="D72" s="22" t="s">
        <x:v>497</x:v>
      </x:c>
      <x:c r="E72" s="22" t="s">
        <x:v>1298</x:v>
      </x:c>
      <x:c r="F72" s="22"/>
      <x:c r="G72" s="22">
        <x:v>0</x:v>
      </x:c>
      <x:c r="H72" s="22">
        <x:v>1</x:v>
      </x:c>
      <x:c r="I72" s="22" t="s">
        <x:v>1221</x:v>
      </x:c>
      <x:c r="J72" s="24" t="s">
        <x:v>1150</x:v>
      </x:c>
      <x:c r="K72" s="27" t="s">
        <x:v>1150</x:v>
      </x:c>
      <x:c r="L72" s="26"/>
      <x:c r="M72" s="27"/>
      <x:c r="N72" s="22">
        <x:f>IF(K72="","تکمیل نشده",IF(AND(K72="منتقل نشود",G72&gt;0),"در سند استفاده شده","OK"))</x:f>
      </x:c>
      <x:c r="O72" s="28"/>
    </x:row>
    <x:row r="73" spans="1:15">
      <x:c r="A73" s="21" t="s">
        <x:v>1146</x:v>
      </x:c>
      <x:c r="B73" s="22">
        <x:v>1</x:v>
      </x:c>
      <x:c r="C73" s="22" t="s">
        <x:v>1299</x:v>
      </x:c>
      <x:c r="D73" s="22" t="s">
        <x:v>497</x:v>
      </x:c>
      <x:c r="E73" s="22" t="s">
        <x:v>1300</x:v>
      </x:c>
      <x:c r="F73" s="22"/>
      <x:c r="G73" s="22">
        <x:v>0</x:v>
      </x:c>
      <x:c r="H73" s="22">
        <x:v>2</x:v>
      </x:c>
      <x:c r="I73" s="22" t="s">
        <x:v>1195</x:v>
      </x:c>
      <x:c r="J73" s="24" t="s">
        <x:v>1150</x:v>
      </x:c>
      <x:c r="K73" s="27" t="s">
        <x:v>1150</x:v>
      </x:c>
      <x:c r="L73" s="26"/>
      <x:c r="M73" s="27"/>
      <x:c r="N73" s="22">
        <x:f>IF(K73="","تکمیل نشده",IF(AND(K73="منتقل نشود",G73&gt;0),"در سند استفاده شده","OK"))</x:f>
      </x:c>
      <x:c r="O73" s="28"/>
    </x:row>
    <x:row r="74" spans="1:15">
      <x:c r="A74" s="21" t="s">
        <x:v>1146</x:v>
      </x:c>
      <x:c r="B74" s="22">
        <x:v>1</x:v>
      </x:c>
      <x:c r="C74" s="22" t="s">
        <x:v>1301</x:v>
      </x:c>
      <x:c r="D74" s="22" t="s">
        <x:v>497</x:v>
      </x:c>
      <x:c r="E74" s="22" t="s">
        <x:v>1302</x:v>
      </x:c>
      <x:c r="F74" s="22"/>
      <x:c r="G74" s="22">
        <x:v>0</x:v>
      </x:c>
      <x:c r="H74" s="22">
        <x:v>1</x:v>
      </x:c>
      <x:c r="I74" s="22" t="s">
        <x:v>1164</x:v>
      </x:c>
      <x:c r="J74" s="24" t="s">
        <x:v>1150</x:v>
      </x:c>
      <x:c r="K74" s="27" t="s">
        <x:v>1150</x:v>
      </x:c>
      <x:c r="L74" s="26"/>
      <x:c r="M74" s="27"/>
      <x:c r="N74" s="22">
        <x:f>IF(K74="","تکمیل نشده",IF(AND(K74="منتقل نشود",G74&gt;0),"در سند استفاده شده","OK"))</x:f>
      </x:c>
      <x:c r="O74" s="28"/>
    </x:row>
    <x:row r="75" spans="1:15">
      <x:c r="A75" s="21" t="s">
        <x:v>1146</x:v>
      </x:c>
      <x:c r="B75" s="22">
        <x:v>1</x:v>
      </x:c>
      <x:c r="C75" s="22" t="s">
        <x:v>1303</x:v>
      </x:c>
      <x:c r="D75" s="22" t="s">
        <x:v>497</x:v>
      </x:c>
      <x:c r="E75" s="22" t="s">
        <x:v>1304</x:v>
      </x:c>
      <x:c r="F75" s="22"/>
      <x:c r="G75" s="22">
        <x:v>0</x:v>
      </x:c>
      <x:c r="H75" s="22">
        <x:v>1</x:v>
      </x:c>
      <x:c r="I75" s="22" t="s">
        <x:v>1221</x:v>
      </x:c>
      <x:c r="J75" s="24" t="s">
        <x:v>1150</x:v>
      </x:c>
      <x:c r="K75" s="27" t="s">
        <x:v>1150</x:v>
      </x:c>
      <x:c r="L75" s="26"/>
      <x:c r="M75" s="27"/>
      <x:c r="N75" s="22">
        <x:f>IF(K75="","تکمیل نشده",IF(AND(K75="منتقل نشود",G75&gt;0),"در سند استفاده شده","OK"))</x:f>
      </x:c>
      <x:c r="O75" s="28"/>
    </x:row>
    <x:row r="76" spans="1:15">
      <x:c r="A76" s="21" t="s">
        <x:v>1146</x:v>
      </x:c>
      <x:c r="B76" s="22">
        <x:v>1</x:v>
      </x:c>
      <x:c r="C76" s="22" t="s">
        <x:v>1305</x:v>
      </x:c>
      <x:c r="D76" s="22" t="s">
        <x:v>497</x:v>
      </x:c>
      <x:c r="E76" s="22" t="s">
        <x:v>1306</x:v>
      </x:c>
      <x:c r="F76" s="22"/>
      <x:c r="G76" s="22">
        <x:v>0</x:v>
      </x:c>
      <x:c r="H76" s="22">
        <x:v>1</x:v>
      </x:c>
      <x:c r="I76" s="22" t="s">
        <x:v>1221</x:v>
      </x:c>
      <x:c r="J76" s="24" t="s">
        <x:v>1150</x:v>
      </x:c>
      <x:c r="K76" s="27" t="s">
        <x:v>1150</x:v>
      </x:c>
      <x:c r="L76" s="26"/>
      <x:c r="M76" s="27"/>
      <x:c r="N76" s="22">
        <x:f>IF(K76="","تکمیل نشده",IF(AND(K76="منتقل نشود",G76&gt;0),"در سند استفاده شده","OK"))</x:f>
      </x:c>
      <x:c r="O76" s="28"/>
    </x:row>
    <x:row r="77" spans="1:15">
      <x:c r="A77" s="21" t="s">
        <x:v>1146</x:v>
      </x:c>
      <x:c r="B77" s="22">
        <x:v>1</x:v>
      </x:c>
      <x:c r="C77" s="22" t="s">
        <x:v>1307</x:v>
      </x:c>
      <x:c r="D77" s="22" t="s">
        <x:v>497</x:v>
      </x:c>
      <x:c r="E77" s="22" t="s">
        <x:v>1308</x:v>
      </x:c>
      <x:c r="F77" s="22"/>
      <x:c r="G77" s="22">
        <x:v>0</x:v>
      </x:c>
      <x:c r="H77" s="22">
        <x:v>1</x:v>
      </x:c>
      <x:c r="I77" s="22" t="s">
        <x:v>1221</x:v>
      </x:c>
      <x:c r="J77" s="24" t="s">
        <x:v>1150</x:v>
      </x:c>
      <x:c r="K77" s="27" t="s">
        <x:v>1150</x:v>
      </x:c>
      <x:c r="L77" s="26"/>
      <x:c r="M77" s="27"/>
      <x:c r="N77" s="22">
        <x:f>IF(K77="","تکمیل نشده",IF(AND(K77="منتقل نشود",G77&gt;0),"در سند استفاده شده","OK"))</x:f>
      </x:c>
      <x:c r="O77" s="28"/>
    </x:row>
    <x:row r="78" spans="1:15">
      <x:c r="A78" s="21" t="s">
        <x:v>1146</x:v>
      </x:c>
      <x:c r="B78" s="22">
        <x:v>1</x:v>
      </x:c>
      <x:c r="C78" s="22" t="s">
        <x:v>1309</x:v>
      </x:c>
      <x:c r="D78" s="22" t="s">
        <x:v>497</x:v>
      </x:c>
      <x:c r="E78" s="22" t="s">
        <x:v>1310</x:v>
      </x:c>
      <x:c r="F78" s="22"/>
      <x:c r="G78" s="22">
        <x:v>0</x:v>
      </x:c>
      <x:c r="H78" s="22">
        <x:v>1</x:v>
      </x:c>
      <x:c r="I78" s="22" t="s">
        <x:v>1221</x:v>
      </x:c>
      <x:c r="J78" s="24" t="s">
        <x:v>1150</x:v>
      </x:c>
      <x:c r="K78" s="27" t="s">
        <x:v>1150</x:v>
      </x:c>
      <x:c r="L78" s="26"/>
      <x:c r="M78" s="27"/>
      <x:c r="N78" s="22">
        <x:f>IF(K78="","تکمیل نشده",IF(AND(K78="منتقل نشود",G78&gt;0),"در سند استفاده شده","OK"))</x:f>
      </x:c>
      <x:c r="O78" s="28"/>
    </x:row>
    <x:row r="79" spans="1:15">
      <x:c r="A79" s="21" t="s">
        <x:v>1146</x:v>
      </x:c>
      <x:c r="B79" s="22">
        <x:v>1</x:v>
      </x:c>
      <x:c r="C79" s="22" t="s">
        <x:v>1311</x:v>
      </x:c>
      <x:c r="D79" s="22" t="s">
        <x:v>497</x:v>
      </x:c>
      <x:c r="E79" s="22" t="s">
        <x:v>1312</x:v>
      </x:c>
      <x:c r="F79" s="22"/>
      <x:c r="G79" s="22">
        <x:v>0</x:v>
      </x:c>
      <x:c r="H79" s="22">
        <x:v>2</x:v>
      </x:c>
      <x:c r="I79" s="22" t="s">
        <x:v>1195</x:v>
      </x:c>
      <x:c r="J79" s="24" t="s">
        <x:v>1150</x:v>
      </x:c>
      <x:c r="K79" s="27" t="s">
        <x:v>1150</x:v>
      </x:c>
      <x:c r="L79" s="26"/>
      <x:c r="M79" s="27"/>
      <x:c r="N79" s="22">
        <x:f>IF(K79="","تکمیل نشده",IF(AND(K79="منتقل نشود",G79&gt;0),"در سند استفاده شده","OK"))</x:f>
      </x:c>
      <x:c r="O79" s="28"/>
    </x:row>
    <x:row r="80" spans="1:15">
      <x:c r="A80" s="21" t="s">
        <x:v>1146</x:v>
      </x:c>
      <x:c r="B80" s="22">
        <x:v>1</x:v>
      </x:c>
      <x:c r="C80" s="22" t="s">
        <x:v>1313</x:v>
      </x:c>
      <x:c r="D80" s="22" t="s">
        <x:v>497</x:v>
      </x:c>
      <x:c r="E80" s="22" t="s">
        <x:v>1314</x:v>
      </x:c>
      <x:c r="F80" s="22"/>
      <x:c r="G80" s="22">
        <x:v>0</x:v>
      </x:c>
      <x:c r="H80" s="22">
        <x:v>1</x:v>
      </x:c>
      <x:c r="I80" s="22" t="s">
        <x:v>1164</x:v>
      </x:c>
      <x:c r="J80" s="24" t="s">
        <x:v>1150</x:v>
      </x:c>
      <x:c r="K80" s="27" t="s">
        <x:v>1150</x:v>
      </x:c>
      <x:c r="L80" s="26"/>
      <x:c r="M80" s="27"/>
      <x:c r="N80" s="22">
        <x:f>IF(K80="","تکمیل نشده",IF(AND(K80="منتقل نشود",G80&gt;0),"در سند استفاده شده","OK"))</x:f>
      </x:c>
      <x:c r="O80" s="28"/>
    </x:row>
    <x:row r="81" spans="1:15">
      <x:c r="A81" s="21" t="s">
        <x:v>1146</x:v>
      </x:c>
      <x:c r="B81" s="22">
        <x:v>1</x:v>
      </x:c>
      <x:c r="C81" s="22" t="s">
        <x:v>1315</x:v>
      </x:c>
      <x:c r="D81" s="22" t="s">
        <x:v>497</x:v>
      </x:c>
      <x:c r="E81" s="22" t="s">
        <x:v>1316</x:v>
      </x:c>
      <x:c r="F81" s="22"/>
      <x:c r="G81" s="22">
        <x:v>0</x:v>
      </x:c>
      <x:c r="H81" s="22">
        <x:v>1</x:v>
      </x:c>
      <x:c r="I81" s="22" t="s">
        <x:v>1221</x:v>
      </x:c>
      <x:c r="J81" s="24" t="s">
        <x:v>1150</x:v>
      </x:c>
      <x:c r="K81" s="27" t="s">
        <x:v>1150</x:v>
      </x:c>
      <x:c r="L81" s="26"/>
      <x:c r="M81" s="27"/>
      <x:c r="N81" s="22">
        <x:f>IF(K81="","تکمیل نشده",IF(AND(K81="منتقل نشود",G81&gt;0),"در سند استفاده شده","OK"))</x:f>
      </x:c>
      <x:c r="O81" s="28"/>
    </x:row>
    <x:row r="82" spans="1:15">
      <x:c r="A82" s="21" t="s">
        <x:v>1146</x:v>
      </x:c>
      <x:c r="B82" s="22">
        <x:v>1</x:v>
      </x:c>
      <x:c r="C82" s="22" t="s">
        <x:v>1317</x:v>
      </x:c>
      <x:c r="D82" s="22" t="s">
        <x:v>497</x:v>
      </x:c>
      <x:c r="E82" s="22" t="s">
        <x:v>1318</x:v>
      </x:c>
      <x:c r="F82" s="22"/>
      <x:c r="G82" s="22">
        <x:v>0</x:v>
      </x:c>
      <x:c r="H82" s="22">
        <x:v>2</x:v>
      </x:c>
      <x:c r="I82" s="22" t="s">
        <x:v>1195</x:v>
      </x:c>
      <x:c r="J82" s="24" t="s">
        <x:v>1150</x:v>
      </x:c>
      <x:c r="K82" s="27" t="s">
        <x:v>1150</x:v>
      </x:c>
      <x:c r="L82" s="26"/>
      <x:c r="M82" s="27"/>
      <x:c r="N82" s="22">
        <x:f>IF(K82="","تکمیل نشده",IF(AND(K82="منتقل نشود",G82&gt;0),"در سند استفاده شده","OK"))</x:f>
      </x:c>
      <x:c r="O82" s="28"/>
    </x:row>
    <x:row r="83" spans="1:15">
      <x:c r="A83" s="21" t="s">
        <x:v>1146</x:v>
      </x:c>
      <x:c r="B83" s="22">
        <x:v>1</x:v>
      </x:c>
      <x:c r="C83" s="22" t="s">
        <x:v>1319</x:v>
      </x:c>
      <x:c r="D83" s="22" t="s">
        <x:v>497</x:v>
      </x:c>
      <x:c r="E83" s="22" t="s">
        <x:v>1320</x:v>
      </x:c>
      <x:c r="F83" s="22"/>
      <x:c r="G83" s="22">
        <x:v>0</x:v>
      </x:c>
      <x:c r="H83" s="22">
        <x:v>1</x:v>
      </x:c>
      <x:c r="I83" s="22" t="s">
        <x:v>1198</x:v>
      </x:c>
      <x:c r="J83" s="24" t="s">
        <x:v>1150</x:v>
      </x:c>
      <x:c r="K83" s="27" t="s">
        <x:v>1150</x:v>
      </x:c>
      <x:c r="L83" s="26"/>
      <x:c r="M83" s="27"/>
      <x:c r="N83" s="22">
        <x:f>IF(K83="","تکمیل نشده",IF(AND(K83="منتقل نشود",G83&gt;0),"در سند استفاده شده","OK"))</x:f>
      </x:c>
      <x:c r="O83" s="28"/>
    </x:row>
    <x:row r="84" spans="1:15">
      <x:c r="A84" s="21" t="s">
        <x:v>1146</x:v>
      </x:c>
      <x:c r="B84" s="22">
        <x:v>1</x:v>
      </x:c>
      <x:c r="C84" s="22" t="s">
        <x:v>1321</x:v>
      </x:c>
      <x:c r="D84" s="22" t="s">
        <x:v>497</x:v>
      </x:c>
      <x:c r="E84" s="22" t="s">
        <x:v>1322</x:v>
      </x:c>
      <x:c r="F84" s="22"/>
      <x:c r="G84" s="22">
        <x:v>0</x:v>
      </x:c>
      <x:c r="H84" s="22">
        <x:v>2</x:v>
      </x:c>
      <x:c r="I84" s="22" t="s">
        <x:v>1195</x:v>
      </x:c>
      <x:c r="J84" s="24" t="s">
        <x:v>1150</x:v>
      </x:c>
      <x:c r="K84" s="27" t="s">
        <x:v>1150</x:v>
      </x:c>
      <x:c r="L84" s="26"/>
      <x:c r="M84" s="27"/>
      <x:c r="N84" s="22">
        <x:f>IF(K84="","تکمیل نشده",IF(AND(K84="منتقل نشود",G84&gt;0),"در سند استفاده شده","OK"))</x:f>
      </x:c>
      <x:c r="O84" s="28"/>
    </x:row>
    <x:row r="85" spans="1:15">
      <x:c r="A85" s="21" t="s">
        <x:v>1146</x:v>
      </x:c>
      <x:c r="B85" s="22">
        <x:v>1</x:v>
      </x:c>
      <x:c r="C85" s="22" t="s">
        <x:v>1323</x:v>
      </x:c>
      <x:c r="D85" s="22" t="s">
        <x:v>497</x:v>
      </x:c>
      <x:c r="E85" s="22" t="s">
        <x:v>1324</x:v>
      </x:c>
      <x:c r="F85" s="22"/>
      <x:c r="G85" s="22">
        <x:v>0</x:v>
      </x:c>
      <x:c r="H85" s="22">
        <x:v>2</x:v>
      </x:c>
      <x:c r="I85" s="22" t="s">
        <x:v>1195</x:v>
      </x:c>
      <x:c r="J85" s="24" t="s">
        <x:v>1150</x:v>
      </x:c>
      <x:c r="K85" s="27" t="s">
        <x:v>1150</x:v>
      </x:c>
      <x:c r="L85" s="26"/>
      <x:c r="M85" s="27"/>
      <x:c r="N85" s="22">
        <x:f>IF(K85="","تکمیل نشده",IF(AND(K85="منتقل نشود",G85&gt;0),"در سند استفاده شده","OK"))</x:f>
      </x:c>
      <x:c r="O85" s="28"/>
    </x:row>
    <x:row r="86" spans="1:15">
      <x:c r="A86" s="21" t="s">
        <x:v>1146</x:v>
      </x:c>
      <x:c r="B86" s="22">
        <x:v>1</x:v>
      </x:c>
      <x:c r="C86" s="22" t="s">
        <x:v>1325</x:v>
      </x:c>
      <x:c r="D86" s="22" t="s">
        <x:v>497</x:v>
      </x:c>
      <x:c r="E86" s="22" t="s">
        <x:v>1326</x:v>
      </x:c>
      <x:c r="F86" s="22"/>
      <x:c r="G86" s="22">
        <x:v>0</x:v>
      </x:c>
      <x:c r="H86" s="22">
        <x:v>2</x:v>
      </x:c>
      <x:c r="I86" s="22" t="s">
        <x:v>1195</x:v>
      </x:c>
      <x:c r="J86" s="24" t="s">
        <x:v>1150</x:v>
      </x:c>
      <x:c r="K86" s="27" t="s">
        <x:v>1150</x:v>
      </x:c>
      <x:c r="L86" s="26"/>
      <x:c r="M86" s="27"/>
      <x:c r="N86" s="22">
        <x:f>IF(K86="","تکمیل نشده",IF(AND(K86="منتقل نشود",G86&gt;0),"در سند استفاده شده","OK"))</x:f>
      </x:c>
      <x:c r="O86" s="28"/>
    </x:row>
    <x:row r="87" spans="1:15">
      <x:c r="A87" s="21" t="s">
        <x:v>1146</x:v>
      </x:c>
      <x:c r="B87" s="22">
        <x:v>1</x:v>
      </x:c>
      <x:c r="C87" s="22" t="s">
        <x:v>1327</x:v>
      </x:c>
      <x:c r="D87" s="22" t="s">
        <x:v>497</x:v>
      </x:c>
      <x:c r="E87" s="22" t="s">
        <x:v>1328</x:v>
      </x:c>
      <x:c r="F87" s="22"/>
      <x:c r="G87" s="22">
        <x:v>0</x:v>
      </x:c>
      <x:c r="H87" s="22">
        <x:v>1</x:v>
      </x:c>
      <x:c r="I87" s="22" t="s">
        <x:v>1169</x:v>
      </x:c>
      <x:c r="J87" s="24" t="s">
        <x:v>1150</x:v>
      </x:c>
      <x:c r="K87" s="27" t="s">
        <x:v>1150</x:v>
      </x:c>
      <x:c r="L87" s="26"/>
      <x:c r="M87" s="27"/>
      <x:c r="N87" s="22">
        <x:f>IF(K87="","تکمیل نشده",IF(AND(K87="منتقل نشود",G87&gt;0),"در سند استفاده شده","OK"))</x:f>
      </x:c>
      <x:c r="O87" s="28"/>
    </x:row>
    <x:row r="88" spans="1:15">
      <x:c r="A88" s="21" t="s">
        <x:v>1146</x:v>
      </x:c>
      <x:c r="B88" s="22">
        <x:v>1</x:v>
      </x:c>
      <x:c r="C88" s="22" t="s">
        <x:v>1329</x:v>
      </x:c>
      <x:c r="D88" s="22" t="s">
        <x:v>497</x:v>
      </x:c>
      <x:c r="E88" s="22" t="s">
        <x:v>1330</x:v>
      </x:c>
      <x:c r="F88" s="22"/>
      <x:c r="G88" s="22">
        <x:v>0</x:v>
      </x:c>
      <x:c r="H88" s="22">
        <x:v>2</x:v>
      </x:c>
      <x:c r="I88" s="22" t="s">
        <x:v>1195</x:v>
      </x:c>
      <x:c r="J88" s="24" t="s">
        <x:v>1150</x:v>
      </x:c>
      <x:c r="K88" s="27" t="s">
        <x:v>1150</x:v>
      </x:c>
      <x:c r="L88" s="26"/>
      <x:c r="M88" s="27"/>
      <x:c r="N88" s="22">
        <x:f>IF(K88="","تکمیل نشده",IF(AND(K88="منتقل نشود",G88&gt;0),"در سند استفاده شده","OK"))</x:f>
      </x:c>
      <x:c r="O88" s="28"/>
    </x:row>
    <x:row r="89" spans="1:15">
      <x:c r="A89" s="21" t="s">
        <x:v>1146</x:v>
      </x:c>
      <x:c r="B89" s="22">
        <x:v>1</x:v>
      </x:c>
      <x:c r="C89" s="22" t="s">
        <x:v>1331</x:v>
      </x:c>
      <x:c r="D89" s="22" t="s">
        <x:v>497</x:v>
      </x:c>
      <x:c r="E89" s="22" t="s">
        <x:v>1332</x:v>
      </x:c>
      <x:c r="F89" s="22"/>
      <x:c r="G89" s="22">
        <x:v>0</x:v>
      </x:c>
      <x:c r="H89" s="22">
        <x:v>2</x:v>
      </x:c>
      <x:c r="I89" s="22" t="s">
        <x:v>1195</x:v>
      </x:c>
      <x:c r="J89" s="24" t="s">
        <x:v>1150</x:v>
      </x:c>
      <x:c r="K89" s="27" t="s">
        <x:v>1150</x:v>
      </x:c>
      <x:c r="L89" s="26"/>
      <x:c r="M89" s="27"/>
      <x:c r="N89" s="22">
        <x:f>IF(K89="","تکمیل نشده",IF(AND(K89="منتقل نشود",G89&gt;0),"در سند استفاده شده","OK"))</x:f>
      </x:c>
      <x:c r="O89" s="28"/>
    </x:row>
    <x:row r="90" spans="1:15">
      <x:c r="A90" s="21" t="s">
        <x:v>1146</x:v>
      </x:c>
      <x:c r="B90" s="22">
        <x:v>1</x:v>
      </x:c>
      <x:c r="C90" s="22" t="s">
        <x:v>1333</x:v>
      </x:c>
      <x:c r="D90" s="22" t="s">
        <x:v>497</x:v>
      </x:c>
      <x:c r="E90" s="22" t="s">
        <x:v>1334</x:v>
      </x:c>
      <x:c r="F90" s="22"/>
      <x:c r="G90" s="22">
        <x:v>0</x:v>
      </x:c>
      <x:c r="H90" s="22">
        <x:v>1</x:v>
      </x:c>
      <x:c r="I90" s="22" t="s">
        <x:v>1221</x:v>
      </x:c>
      <x:c r="J90" s="24" t="s">
        <x:v>1150</x:v>
      </x:c>
      <x:c r="K90" s="27" t="s">
        <x:v>1150</x:v>
      </x:c>
      <x:c r="L90" s="26"/>
      <x:c r="M90" s="27"/>
      <x:c r="N90" s="22">
        <x:f>IF(K90="","تکمیل نشده",IF(AND(K90="منتقل نشود",G90&gt;0),"در سند استفاده شده","OK"))</x:f>
      </x:c>
      <x:c r="O90" s="28"/>
    </x:row>
    <x:row r="91" spans="1:15">
      <x:c r="A91" s="21" t="s">
        <x:v>1146</x:v>
      </x:c>
      <x:c r="B91" s="22">
        <x:v>1</x:v>
      </x:c>
      <x:c r="C91" s="22" t="s">
        <x:v>1335</x:v>
      </x:c>
      <x:c r="D91" s="22" t="s">
        <x:v>497</x:v>
      </x:c>
      <x:c r="E91" s="22" t="s">
        <x:v>1336</x:v>
      </x:c>
      <x:c r="F91" s="22"/>
      <x:c r="G91" s="22">
        <x:v>0</x:v>
      </x:c>
      <x:c r="H91" s="22">
        <x:v>1</x:v>
      </x:c>
      <x:c r="I91" s="22" t="s">
        <x:v>1164</x:v>
      </x:c>
      <x:c r="J91" s="24" t="s">
        <x:v>1150</x:v>
      </x:c>
      <x:c r="K91" s="27" t="s">
        <x:v>1150</x:v>
      </x:c>
      <x:c r="L91" s="26"/>
      <x:c r="M91" s="27"/>
      <x:c r="N91" s="22">
        <x:f>IF(K91="","تکمیل نشده",IF(AND(K91="منتقل نشود",G91&gt;0),"در سند استفاده شده","OK"))</x:f>
      </x:c>
      <x:c r="O91" s="28"/>
    </x:row>
    <x:row r="92" spans="1:15">
      <x:c r="A92" s="21" t="s">
        <x:v>1146</x:v>
      </x:c>
      <x:c r="B92" s="22">
        <x:v>1</x:v>
      </x:c>
      <x:c r="C92" s="22" t="s">
        <x:v>1337</x:v>
      </x:c>
      <x:c r="D92" s="22" t="s">
        <x:v>497</x:v>
      </x:c>
      <x:c r="E92" s="22" t="s">
        <x:v>1338</x:v>
      </x:c>
      <x:c r="F92" s="22"/>
      <x:c r="G92" s="22">
        <x:v>0</x:v>
      </x:c>
      <x:c r="H92" s="22">
        <x:v>1</x:v>
      </x:c>
      <x:c r="I92" s="22" t="s">
        <x:v>1164</x:v>
      </x:c>
      <x:c r="J92" s="24" t="s">
        <x:v>1150</x:v>
      </x:c>
      <x:c r="K92" s="27" t="s">
        <x:v>1150</x:v>
      </x:c>
      <x:c r="L92" s="26"/>
      <x:c r="M92" s="27"/>
      <x:c r="N92" s="22">
        <x:f>IF(K92="","تکمیل نشده",IF(AND(K92="منتقل نشود",G92&gt;0),"در سند استفاده شده","OK"))</x:f>
      </x:c>
      <x:c r="O92" s="28"/>
    </x:row>
    <x:row r="93" spans="1:15">
      <x:c r="A93" s="21" t="s">
        <x:v>1146</x:v>
      </x:c>
      <x:c r="B93" s="22">
        <x:v>1</x:v>
      </x:c>
      <x:c r="C93" s="22" t="s">
        <x:v>1339</x:v>
      </x:c>
      <x:c r="D93" s="22" t="s">
        <x:v>497</x:v>
      </x:c>
      <x:c r="E93" s="22" t="s">
        <x:v>1340</x:v>
      </x:c>
      <x:c r="F93" s="22"/>
      <x:c r="G93" s="22">
        <x:v>0</x:v>
      </x:c>
      <x:c r="H93" s="22">
        <x:v>1</x:v>
      </x:c>
      <x:c r="I93" s="22" t="s">
        <x:v>1164</x:v>
      </x:c>
      <x:c r="J93" s="24" t="s">
        <x:v>1150</x:v>
      </x:c>
      <x:c r="K93" s="27" t="s">
        <x:v>1150</x:v>
      </x:c>
      <x:c r="L93" s="26"/>
      <x:c r="M93" s="27"/>
      <x:c r="N93" s="22">
        <x:f>IF(K93="","تکمیل نشده",IF(AND(K93="منتقل نشود",G93&gt;0),"در سند استفاده شده","OK"))</x:f>
      </x:c>
      <x:c r="O93" s="28"/>
    </x:row>
    <x:row r="94" spans="1:15">
      <x:c r="A94" s="21" t="s">
        <x:v>1146</x:v>
      </x:c>
      <x:c r="B94" s="22">
        <x:v>1</x:v>
      </x:c>
      <x:c r="C94" s="22" t="s">
        <x:v>1341</x:v>
      </x:c>
      <x:c r="D94" s="22" t="s">
        <x:v>497</x:v>
      </x:c>
      <x:c r="E94" s="22" t="s">
        <x:v>1342</x:v>
      </x:c>
      <x:c r="F94" s="22"/>
      <x:c r="G94" s="22">
        <x:v>0</x:v>
      </x:c>
      <x:c r="H94" s="22">
        <x:v>1</x:v>
      </x:c>
      <x:c r="I94" s="22" t="s">
        <x:v>1164</x:v>
      </x:c>
      <x:c r="J94" s="24" t="s">
        <x:v>1150</x:v>
      </x:c>
      <x:c r="K94" s="27" t="s">
        <x:v>1150</x:v>
      </x:c>
      <x:c r="L94" s="26"/>
      <x:c r="M94" s="27"/>
      <x:c r="N94" s="22">
        <x:f>IF(K94="","تکمیل نشده",IF(AND(K94="منتقل نشود",G94&gt;0),"در سند استفاده شده","OK"))</x:f>
      </x:c>
      <x:c r="O94" s="28"/>
    </x:row>
    <x:row r="95" spans="1:15">
      <x:c r="A95" s="21" t="s">
        <x:v>1146</x:v>
      </x:c>
      <x:c r="B95" s="22">
        <x:v>1</x:v>
      </x:c>
      <x:c r="C95" s="22" t="s">
        <x:v>1343</x:v>
      </x:c>
      <x:c r="D95" s="22" t="s">
        <x:v>497</x:v>
      </x:c>
      <x:c r="E95" s="22" t="s">
        <x:v>1344</x:v>
      </x:c>
      <x:c r="F95" s="22"/>
      <x:c r="G95" s="22">
        <x:v>0</x:v>
      </x:c>
      <x:c r="H95" s="22">
        <x:v>1</x:v>
      </x:c>
      <x:c r="I95" s="22" t="s">
        <x:v>1164</x:v>
      </x:c>
      <x:c r="J95" s="24" t="s">
        <x:v>1150</x:v>
      </x:c>
      <x:c r="K95" s="27" t="s">
        <x:v>1150</x:v>
      </x:c>
      <x:c r="L95" s="26"/>
      <x:c r="M95" s="27"/>
      <x:c r="N95" s="22">
        <x:f>IF(K95="","تکمیل نشده",IF(AND(K95="منتقل نشود",G95&gt;0),"در سند استفاده شده","OK"))</x:f>
      </x:c>
      <x:c r="O95" s="28"/>
    </x:row>
    <x:row r="96" spans="1:15">
      <x:c r="A96" s="21" t="s">
        <x:v>1146</x:v>
      </x:c>
      <x:c r="B96" s="22">
        <x:v>1</x:v>
      </x:c>
      <x:c r="C96" s="22" t="s">
        <x:v>1345</x:v>
      </x:c>
      <x:c r="D96" s="22" t="s">
        <x:v>497</x:v>
      </x:c>
      <x:c r="E96" s="22" t="s">
        <x:v>1346</x:v>
      </x:c>
      <x:c r="F96" s="22"/>
      <x:c r="G96" s="22">
        <x:v>0</x:v>
      </x:c>
      <x:c r="H96" s="22">
        <x:v>1</x:v>
      </x:c>
      <x:c r="I96" s="22" t="s">
        <x:v>1164</x:v>
      </x:c>
      <x:c r="J96" s="24" t="s">
        <x:v>1150</x:v>
      </x:c>
      <x:c r="K96" s="27" t="s">
        <x:v>1150</x:v>
      </x:c>
      <x:c r="L96" s="26"/>
      <x:c r="M96" s="27"/>
      <x:c r="N96" s="22">
        <x:f>IF(K96="","تکمیل نشده",IF(AND(K96="منتقل نشود",G96&gt;0),"در سند استفاده شده","OK"))</x:f>
      </x:c>
      <x:c r="O96" s="28"/>
    </x:row>
    <x:row r="97" spans="1:15">
      <x:c r="A97" s="21" t="s">
        <x:v>1146</x:v>
      </x:c>
      <x:c r="B97" s="22">
        <x:v>1</x:v>
      </x:c>
      <x:c r="C97" s="22" t="s">
        <x:v>1347</x:v>
      </x:c>
      <x:c r="D97" s="22" t="s">
        <x:v>497</x:v>
      </x:c>
      <x:c r="E97" s="22" t="s">
        <x:v>1348</x:v>
      </x:c>
      <x:c r="F97" s="22"/>
      <x:c r="G97" s="22">
        <x:v>0</x:v>
      </x:c>
      <x:c r="H97" s="22">
        <x:v>1</x:v>
      </x:c>
      <x:c r="I97" s="22" t="s">
        <x:v>1164</x:v>
      </x:c>
      <x:c r="J97" s="24" t="s">
        <x:v>1150</x:v>
      </x:c>
      <x:c r="K97" s="27" t="s">
        <x:v>1150</x:v>
      </x:c>
      <x:c r="L97" s="26"/>
      <x:c r="M97" s="27"/>
      <x:c r="N97" s="22">
        <x:f>IF(K97="","تکمیل نشده",IF(AND(K97="منتقل نشود",G97&gt;0),"در سند استفاده شده","OK"))</x:f>
      </x:c>
      <x:c r="O97" s="28"/>
    </x:row>
    <x:row r="98" spans="1:15">
      <x:c r="A98" s="21" t="s">
        <x:v>1146</x:v>
      </x:c>
      <x:c r="B98" s="22">
        <x:v>1</x:v>
      </x:c>
      <x:c r="C98" s="22" t="s">
        <x:v>1349</x:v>
      </x:c>
      <x:c r="D98" s="22" t="s">
        <x:v>497</x:v>
      </x:c>
      <x:c r="E98" s="22" t="s">
        <x:v>1350</x:v>
      </x:c>
      <x:c r="F98" s="22"/>
      <x:c r="G98" s="22">
        <x:v>0</x:v>
      </x:c>
      <x:c r="H98" s="22">
        <x:v>1</x:v>
      </x:c>
      <x:c r="I98" s="22" t="s">
        <x:v>1164</x:v>
      </x:c>
      <x:c r="J98" s="24" t="s">
        <x:v>1150</x:v>
      </x:c>
      <x:c r="K98" s="27" t="s">
        <x:v>1150</x:v>
      </x:c>
      <x:c r="L98" s="26"/>
      <x:c r="M98" s="27"/>
      <x:c r="N98" s="22">
        <x:f>IF(K98="","تکمیل نشده",IF(AND(K98="منتقل نشود",G98&gt;0),"در سند استفاده شده","OK"))</x:f>
      </x:c>
      <x:c r="O98" s="28"/>
    </x:row>
    <x:row r="99" spans="1:15">
      <x:c r="A99" s="21" t="s">
        <x:v>1146</x:v>
      </x:c>
      <x:c r="B99" s="22">
        <x:v>1</x:v>
      </x:c>
      <x:c r="C99" s="22" t="s">
        <x:v>1351</x:v>
      </x:c>
      <x:c r="D99" s="22" t="s">
        <x:v>497</x:v>
      </x:c>
      <x:c r="E99" s="22" t="s">
        <x:v>1352</x:v>
      </x:c>
      <x:c r="F99" s="22"/>
      <x:c r="G99" s="22">
        <x:v>0</x:v>
      </x:c>
      <x:c r="H99" s="22">
        <x:v>1</x:v>
      </x:c>
      <x:c r="I99" s="22" t="s">
        <x:v>1164</x:v>
      </x:c>
      <x:c r="J99" s="24" t="s">
        <x:v>1150</x:v>
      </x:c>
      <x:c r="K99" s="27" t="s">
        <x:v>1150</x:v>
      </x:c>
      <x:c r="L99" s="26"/>
      <x:c r="M99" s="27"/>
      <x:c r="N99" s="22">
        <x:f>IF(K99="","تکمیل نشده",IF(AND(K99="منتقل نشود",G99&gt;0),"در سند استفاده شده","OK"))</x:f>
      </x:c>
      <x:c r="O99" s="28"/>
    </x:row>
    <x:row r="100" spans="1:15">
      <x:c r="A100" s="21" t="s">
        <x:v>1146</x:v>
      </x:c>
      <x:c r="B100" s="22">
        <x:v>1</x:v>
      </x:c>
      <x:c r="C100" s="22" t="s">
        <x:v>1353</x:v>
      </x:c>
      <x:c r="D100" s="22" t="s">
        <x:v>497</x:v>
      </x:c>
      <x:c r="E100" s="22" t="s">
        <x:v>1354</x:v>
      </x:c>
      <x:c r="F100" s="22"/>
      <x:c r="G100" s="22">
        <x:v>0</x:v>
      </x:c>
      <x:c r="H100" s="22">
        <x:v>1</x:v>
      </x:c>
      <x:c r="I100" s="22" t="s">
        <x:v>1164</x:v>
      </x:c>
      <x:c r="J100" s="24" t="s">
        <x:v>1150</x:v>
      </x:c>
      <x:c r="K100" s="27" t="s">
        <x:v>1150</x:v>
      </x:c>
      <x:c r="L100" s="26"/>
      <x:c r="M100" s="27"/>
      <x:c r="N100" s="22">
        <x:f>IF(K100="","تکمیل نشده",IF(AND(K100="منتقل نشود",G100&gt;0),"در سند استفاده شده","OK"))</x:f>
      </x:c>
      <x:c r="O100" s="28"/>
    </x:row>
    <x:row r="101" spans="1:15">
      <x:c r="A101" s="21" t="s">
        <x:v>1146</x:v>
      </x:c>
      <x:c r="B101" s="22">
        <x:v>1</x:v>
      </x:c>
      <x:c r="C101" s="22" t="s">
        <x:v>1355</x:v>
      </x:c>
      <x:c r="D101" s="22" t="s">
        <x:v>497</x:v>
      </x:c>
      <x:c r="E101" s="22" t="s">
        <x:v>1356</x:v>
      </x:c>
      <x:c r="F101" s="22"/>
      <x:c r="G101" s="22">
        <x:v>0</x:v>
      </x:c>
      <x:c r="H101" s="22">
        <x:v>1</x:v>
      </x:c>
      <x:c r="I101" s="22" t="s">
        <x:v>1164</x:v>
      </x:c>
      <x:c r="J101" s="24" t="s">
        <x:v>1150</x:v>
      </x:c>
      <x:c r="K101" s="27" t="s">
        <x:v>1150</x:v>
      </x:c>
      <x:c r="L101" s="26"/>
      <x:c r="M101" s="27"/>
      <x:c r="N101" s="22">
        <x:f>IF(K101="","تکمیل نشده",IF(AND(K101="منتقل نشود",G101&gt;0),"در سند استفاده شده","OK"))</x:f>
      </x:c>
      <x:c r="O101" s="28"/>
    </x:row>
    <x:row r="102" spans="1:15">
      <x:c r="A102" s="21" t="s">
        <x:v>1146</x:v>
      </x:c>
      <x:c r="B102" s="22">
        <x:v>1</x:v>
      </x:c>
      <x:c r="C102" s="22" t="s">
        <x:v>1357</x:v>
      </x:c>
      <x:c r="D102" s="22" t="s">
        <x:v>497</x:v>
      </x:c>
      <x:c r="E102" s="22" t="s">
        <x:v>1358</x:v>
      </x:c>
      <x:c r="F102" s="22"/>
      <x:c r="G102" s="22">
        <x:v>0</x:v>
      </x:c>
      <x:c r="H102" s="22">
        <x:v>2</x:v>
      </x:c>
      <x:c r="I102" s="22" t="s">
        <x:v>1195</x:v>
      </x:c>
      <x:c r="J102" s="24" t="s">
        <x:v>1150</x:v>
      </x:c>
      <x:c r="K102" s="27" t="s">
        <x:v>1150</x:v>
      </x:c>
      <x:c r="L102" s="26"/>
      <x:c r="M102" s="27"/>
      <x:c r="N102" s="22">
        <x:f>IF(K102="","تکمیل نشده",IF(AND(K102="منتقل نشود",G102&gt;0),"در سند استفاده شده","OK"))</x:f>
      </x:c>
      <x:c r="O102" s="28"/>
    </x:row>
    <x:row r="103" spans="1:15">
      <x:c r="A103" s="21" t="s">
        <x:v>1146</x:v>
      </x:c>
      <x:c r="B103" s="22">
        <x:v>1</x:v>
      </x:c>
      <x:c r="C103" s="22" t="s">
        <x:v>1359</x:v>
      </x:c>
      <x:c r="D103" s="22" t="s">
        <x:v>497</x:v>
      </x:c>
      <x:c r="E103" s="22" t="s">
        <x:v>1360</x:v>
      </x:c>
      <x:c r="F103" s="22"/>
      <x:c r="G103" s="22">
        <x:v>0</x:v>
      </x:c>
      <x:c r="H103" s="22">
        <x:v>1</x:v>
      </x:c>
      <x:c r="I103" s="22" t="s">
        <x:v>1164</x:v>
      </x:c>
      <x:c r="J103" s="24" t="s">
        <x:v>1150</x:v>
      </x:c>
      <x:c r="K103" s="27" t="s">
        <x:v>1150</x:v>
      </x:c>
      <x:c r="L103" s="26"/>
      <x:c r="M103" s="27"/>
      <x:c r="N103" s="22">
        <x:f>IF(K103="","تکمیل نشده",IF(AND(K103="منتقل نشود",G103&gt;0),"در سند استفاده شده","OK"))</x:f>
      </x:c>
      <x:c r="O103" s="28"/>
    </x:row>
    <x:row r="104" spans="1:15">
      <x:c r="A104" s="21" t="s">
        <x:v>1146</x:v>
      </x:c>
      <x:c r="B104" s="22">
        <x:v>1</x:v>
      </x:c>
      <x:c r="C104" s="22" t="s">
        <x:v>1361</x:v>
      </x:c>
      <x:c r="D104" s="22" t="s">
        <x:v>497</x:v>
      </x:c>
      <x:c r="E104" s="22" t="s">
        <x:v>1362</x:v>
      </x:c>
      <x:c r="F104" s="22"/>
      <x:c r="G104" s="22">
        <x:v>0</x:v>
      </x:c>
      <x:c r="H104" s="22">
        <x:v>2</x:v>
      </x:c>
      <x:c r="I104" s="22" t="s">
        <x:v>1195</x:v>
      </x:c>
      <x:c r="J104" s="24" t="s">
        <x:v>1150</x:v>
      </x:c>
      <x:c r="K104" s="27" t="s">
        <x:v>1150</x:v>
      </x:c>
      <x:c r="L104" s="26"/>
      <x:c r="M104" s="27"/>
      <x:c r="N104" s="22">
        <x:f>IF(K104="","تکمیل نشده",IF(AND(K104="منتقل نشود",G104&gt;0),"در سند استفاده شده","OK"))</x:f>
      </x:c>
      <x:c r="O104" s="28"/>
    </x:row>
    <x:row r="105" spans="1:15">
      <x:c r="A105" s="21" t="s">
        <x:v>1146</x:v>
      </x:c>
      <x:c r="B105" s="22">
        <x:v>1</x:v>
      </x:c>
      <x:c r="C105" s="22" t="s">
        <x:v>1363</x:v>
      </x:c>
      <x:c r="D105" s="22" t="s">
        <x:v>497</x:v>
      </x:c>
      <x:c r="E105" s="22" t="s">
        <x:v>1364</x:v>
      </x:c>
      <x:c r="F105" s="22"/>
      <x:c r="G105" s="22">
        <x:v>0</x:v>
      </x:c>
      <x:c r="H105" s="22">
        <x:v>1</x:v>
      </x:c>
      <x:c r="I105" s="22" t="s">
        <x:v>1164</x:v>
      </x:c>
      <x:c r="J105" s="24" t="s">
        <x:v>1150</x:v>
      </x:c>
      <x:c r="K105" s="27" t="s">
        <x:v>1150</x:v>
      </x:c>
      <x:c r="L105" s="26"/>
      <x:c r="M105" s="27"/>
      <x:c r="N105" s="22">
        <x:f>IF(K105="","تکمیل نشده",IF(AND(K105="منتقل نشود",G105&gt;0),"در سند استفاده شده","OK"))</x:f>
      </x:c>
      <x:c r="O105" s="28"/>
    </x:row>
    <x:row r="106" spans="1:15">
      <x:c r="A106" s="21" t="s">
        <x:v>1146</x:v>
      </x:c>
      <x:c r="B106" s="22">
        <x:v>1</x:v>
      </x:c>
      <x:c r="C106" s="22" t="s">
        <x:v>1365</x:v>
      </x:c>
      <x:c r="D106" s="22" t="s">
        <x:v>497</x:v>
      </x:c>
      <x:c r="E106" s="22" t="s">
        <x:v>1366</x:v>
      </x:c>
      <x:c r="F106" s="22"/>
      <x:c r="G106" s="22">
        <x:v>0</x:v>
      </x:c>
      <x:c r="H106" s="22">
        <x:v>1</x:v>
      </x:c>
      <x:c r="I106" s="22" t="s">
        <x:v>1169</x:v>
      </x:c>
      <x:c r="J106" s="24" t="s">
        <x:v>1150</x:v>
      </x:c>
      <x:c r="K106" s="27" t="s">
        <x:v>1150</x:v>
      </x:c>
      <x:c r="L106" s="26"/>
      <x:c r="M106" s="27"/>
      <x:c r="N106" s="22">
        <x:f>IF(K106="","تکمیل نشده",IF(AND(K106="منتقل نشود",G106&gt;0),"در سند استفاده شده","OK"))</x:f>
      </x:c>
      <x:c r="O106" s="28"/>
    </x:row>
    <x:row r="107" spans="1:15">
      <x:c r="A107" s="21" t="s">
        <x:v>1146</x:v>
      </x:c>
      <x:c r="B107" s="22">
        <x:v>1</x:v>
      </x:c>
      <x:c r="C107" s="22" t="s">
        <x:v>1367</x:v>
      </x:c>
      <x:c r="D107" s="22" t="s">
        <x:v>497</x:v>
      </x:c>
      <x:c r="E107" s="22" t="s">
        <x:v>1368</x:v>
      </x:c>
      <x:c r="F107" s="22"/>
      <x:c r="G107" s="22">
        <x:v>0</x:v>
      </x:c>
      <x:c r="H107" s="22">
        <x:v>1</x:v>
      </x:c>
      <x:c r="I107" s="22" t="s">
        <x:v>1164</x:v>
      </x:c>
      <x:c r="J107" s="24" t="s">
        <x:v>1150</x:v>
      </x:c>
      <x:c r="K107" s="27" t="s">
        <x:v>1150</x:v>
      </x:c>
      <x:c r="L107" s="26"/>
      <x:c r="M107" s="27"/>
      <x:c r="N107" s="22">
        <x:f>IF(K107="","تکمیل نشده",IF(AND(K107="منتقل نشود",G107&gt;0),"در سند استفاده شده","OK"))</x:f>
      </x:c>
      <x:c r="O107" s="28"/>
    </x:row>
    <x:row r="108" spans="1:15">
      <x:c r="A108" s="21" t="s">
        <x:v>1146</x:v>
      </x:c>
      <x:c r="B108" s="22">
        <x:v>1</x:v>
      </x:c>
      <x:c r="C108" s="22" t="s">
        <x:v>1369</x:v>
      </x:c>
      <x:c r="D108" s="22" t="s">
        <x:v>497</x:v>
      </x:c>
      <x:c r="E108" s="22" t="s">
        <x:v>1370</x:v>
      </x:c>
      <x:c r="F108" s="22"/>
      <x:c r="G108" s="22">
        <x:v>0</x:v>
      </x:c>
      <x:c r="H108" s="22">
        <x:v>1</x:v>
      </x:c>
      <x:c r="I108" s="22" t="s">
        <x:v>1164</x:v>
      </x:c>
      <x:c r="J108" s="24" t="s">
        <x:v>1150</x:v>
      </x:c>
      <x:c r="K108" s="27" t="s">
        <x:v>1150</x:v>
      </x:c>
      <x:c r="L108" s="26"/>
      <x:c r="M108" s="27"/>
      <x:c r="N108" s="22">
        <x:f>IF(K108="","تکمیل نشده",IF(AND(K108="منتقل نشود",G108&gt;0),"در سند استفاده شده","OK"))</x:f>
      </x:c>
      <x:c r="O108" s="28"/>
    </x:row>
    <x:row r="109" spans="1:15">
      <x:c r="A109" s="21" t="s">
        <x:v>1146</x:v>
      </x:c>
      <x:c r="B109" s="22">
        <x:v>1</x:v>
      </x:c>
      <x:c r="C109" s="22" t="s">
        <x:v>1371</x:v>
      </x:c>
      <x:c r="D109" s="22" t="s">
        <x:v>497</x:v>
      </x:c>
      <x:c r="E109" s="22" t="s">
        <x:v>1372</x:v>
      </x:c>
      <x:c r="F109" s="22"/>
      <x:c r="G109" s="22">
        <x:v>0</x:v>
      </x:c>
      <x:c r="H109" s="22">
        <x:v>1</x:v>
      </x:c>
      <x:c r="I109" s="22" t="s">
        <x:v>1164</x:v>
      </x:c>
      <x:c r="J109" s="24" t="s">
        <x:v>1150</x:v>
      </x:c>
      <x:c r="K109" s="27" t="s">
        <x:v>1150</x:v>
      </x:c>
      <x:c r="L109" s="26"/>
      <x:c r="M109" s="27"/>
      <x:c r="N109" s="22">
        <x:f>IF(K109="","تکمیل نشده",IF(AND(K109="منتقل نشود",G109&gt;0),"در سند استفاده شده","OK"))</x:f>
      </x:c>
      <x:c r="O109" s="28"/>
    </x:row>
    <x:row r="110" spans="1:15">
      <x:c r="A110" s="21" t="s">
        <x:v>1146</x:v>
      </x:c>
      <x:c r="B110" s="22">
        <x:v>1</x:v>
      </x:c>
      <x:c r="C110" s="22" t="s">
        <x:v>1373</x:v>
      </x:c>
      <x:c r="D110" s="22" t="s">
        <x:v>497</x:v>
      </x:c>
      <x:c r="E110" s="22" t="s">
        <x:v>1374</x:v>
      </x:c>
      <x:c r="F110" s="22"/>
      <x:c r="G110" s="22">
        <x:v>0</x:v>
      </x:c>
      <x:c r="H110" s="22">
        <x:v>1</x:v>
      </x:c>
      <x:c r="I110" s="22" t="s">
        <x:v>1164</x:v>
      </x:c>
      <x:c r="J110" s="24" t="s">
        <x:v>1150</x:v>
      </x:c>
      <x:c r="K110" s="27" t="s">
        <x:v>1150</x:v>
      </x:c>
      <x:c r="L110" s="26"/>
      <x:c r="M110" s="27"/>
      <x:c r="N110" s="22">
        <x:f>IF(K110="","تکمیل نشده",IF(AND(K110="منتقل نشود",G110&gt;0),"در سند استفاده شده","OK"))</x:f>
      </x:c>
      <x:c r="O110" s="28"/>
    </x:row>
    <x:row r="111" spans="1:15">
      <x:c r="A111" s="21" t="s">
        <x:v>1146</x:v>
      </x:c>
      <x:c r="B111" s="22">
        <x:v>1</x:v>
      </x:c>
      <x:c r="C111" s="22" t="s">
        <x:v>1375</x:v>
      </x:c>
      <x:c r="D111" s="22" t="s">
        <x:v>497</x:v>
      </x:c>
      <x:c r="E111" s="22" t="s">
        <x:v>1376</x:v>
      </x:c>
      <x:c r="F111" s="22"/>
      <x:c r="G111" s="22">
        <x:v>0</x:v>
      </x:c>
      <x:c r="H111" s="22">
        <x:v>1</x:v>
      </x:c>
      <x:c r="I111" s="22" t="s">
        <x:v>1164</x:v>
      </x:c>
      <x:c r="J111" s="24" t="s">
        <x:v>1150</x:v>
      </x:c>
      <x:c r="K111" s="27" t="s">
        <x:v>1150</x:v>
      </x:c>
      <x:c r="L111" s="26"/>
      <x:c r="M111" s="27"/>
      <x:c r="N111" s="22">
        <x:f>IF(K111="","تکمیل نشده",IF(AND(K111="منتقل نشود",G111&gt;0),"در سند استفاده شده","OK"))</x:f>
      </x:c>
      <x:c r="O111" s="28"/>
    </x:row>
    <x:row r="112" spans="1:15">
      <x:c r="A112" s="21" t="s">
        <x:v>1146</x:v>
      </x:c>
      <x:c r="B112" s="22">
        <x:v>1</x:v>
      </x:c>
      <x:c r="C112" s="22" t="s">
        <x:v>1377</x:v>
      </x:c>
      <x:c r="D112" s="22" t="s">
        <x:v>497</x:v>
      </x:c>
      <x:c r="E112" s="22" t="s">
        <x:v>1378</x:v>
      </x:c>
      <x:c r="F112" s="22"/>
      <x:c r="G112" s="22">
        <x:v>0</x:v>
      </x:c>
      <x:c r="H112" s="22">
        <x:v>1</x:v>
      </x:c>
      <x:c r="I112" s="22" t="s">
        <x:v>1164</x:v>
      </x:c>
      <x:c r="J112" s="24" t="s">
        <x:v>1150</x:v>
      </x:c>
      <x:c r="K112" s="27" t="s">
        <x:v>1150</x:v>
      </x:c>
      <x:c r="L112" s="26"/>
      <x:c r="M112" s="27"/>
      <x:c r="N112" s="22">
        <x:f>IF(K112="","تکمیل نشده",IF(AND(K112="منتقل نشود",G112&gt;0),"در سند استفاده شده","OK"))</x:f>
      </x:c>
      <x:c r="O112" s="28"/>
    </x:row>
    <x:row r="113" spans="1:15">
      <x:c r="A113" s="21" t="s">
        <x:v>1146</x:v>
      </x:c>
      <x:c r="B113" s="22">
        <x:v>1</x:v>
      </x:c>
      <x:c r="C113" s="22" t="s">
        <x:v>1379</x:v>
      </x:c>
      <x:c r="D113" s="22" t="s">
        <x:v>497</x:v>
      </x:c>
      <x:c r="E113" s="22" t="s">
        <x:v>1380</x:v>
      </x:c>
      <x:c r="F113" s="22"/>
      <x:c r="G113" s="22">
        <x:v>0</x:v>
      </x:c>
      <x:c r="H113" s="22">
        <x:v>1</x:v>
      </x:c>
      <x:c r="I113" s="22" t="s">
        <x:v>1164</x:v>
      </x:c>
      <x:c r="J113" s="24" t="s">
        <x:v>1150</x:v>
      </x:c>
      <x:c r="K113" s="27" t="s">
        <x:v>1150</x:v>
      </x:c>
      <x:c r="L113" s="26"/>
      <x:c r="M113" s="27"/>
      <x:c r="N113" s="22">
        <x:f>IF(K113="","تکمیل نشده",IF(AND(K113="منتقل نشود",G113&gt;0),"در سند استفاده شده","OK"))</x:f>
      </x:c>
      <x:c r="O113" s="28"/>
    </x:row>
    <x:row r="114" spans="1:15">
      <x:c r="A114" s="21" t="s">
        <x:v>1146</x:v>
      </x:c>
      <x:c r="B114" s="22">
        <x:v>1</x:v>
      </x:c>
      <x:c r="C114" s="22" t="s">
        <x:v>1381</x:v>
      </x:c>
      <x:c r="D114" s="22" t="s">
        <x:v>497</x:v>
      </x:c>
      <x:c r="E114" s="22" t="s">
        <x:v>1382</x:v>
      </x:c>
      <x:c r="F114" s="22"/>
      <x:c r="G114" s="22">
        <x:v>0</x:v>
      </x:c>
      <x:c r="H114" s="22">
        <x:v>1</x:v>
      </x:c>
      <x:c r="I114" s="22" t="s">
        <x:v>1164</x:v>
      </x:c>
      <x:c r="J114" s="24" t="s">
        <x:v>1150</x:v>
      </x:c>
      <x:c r="K114" s="27" t="s">
        <x:v>1150</x:v>
      </x:c>
      <x:c r="L114" s="26"/>
      <x:c r="M114" s="27"/>
      <x:c r="N114" s="22">
        <x:f>IF(K114="","تکمیل نشده",IF(AND(K114="منتقل نشود",G114&gt;0),"در سند استفاده شده","OK"))</x:f>
      </x:c>
      <x:c r="O114" s="28"/>
    </x:row>
    <x:row r="115" spans="1:15">
      <x:c r="A115" s="21" t="s">
        <x:v>1146</x:v>
      </x:c>
      <x:c r="B115" s="22">
        <x:v>1</x:v>
      </x:c>
      <x:c r="C115" s="22" t="s">
        <x:v>1383</x:v>
      </x:c>
      <x:c r="D115" s="22" t="s">
        <x:v>497</x:v>
      </x:c>
      <x:c r="E115" s="22" t="s">
        <x:v>1384</x:v>
      </x:c>
      <x:c r="F115" s="22"/>
      <x:c r="G115" s="22">
        <x:v>0</x:v>
      </x:c>
      <x:c r="H115" s="22">
        <x:v>1</x:v>
      </x:c>
      <x:c r="I115" s="22" t="s">
        <x:v>1221</x:v>
      </x:c>
      <x:c r="J115" s="24" t="s">
        <x:v>1150</x:v>
      </x:c>
      <x:c r="K115" s="27" t="s">
        <x:v>1150</x:v>
      </x:c>
      <x:c r="L115" s="26"/>
      <x:c r="M115" s="27"/>
      <x:c r="N115" s="22">
        <x:f>IF(K115="","تکمیل نشده",IF(AND(K115="منتقل نشود",G115&gt;0),"در سند استفاده شده","OK"))</x:f>
      </x:c>
      <x:c r="O115" s="28"/>
    </x:row>
    <x:row r="116" spans="1:15">
      <x:c r="A116" s="21" t="s">
        <x:v>1146</x:v>
      </x:c>
      <x:c r="B116" s="22">
        <x:v>1</x:v>
      </x:c>
      <x:c r="C116" s="22" t="s">
        <x:v>1385</x:v>
      </x:c>
      <x:c r="D116" s="22" t="s">
        <x:v>497</x:v>
      </x:c>
      <x:c r="E116" s="22" t="s">
        <x:v>1386</x:v>
      </x:c>
      <x:c r="F116" s="22"/>
      <x:c r="G116" s="22">
        <x:v>0</x:v>
      </x:c>
      <x:c r="H116" s="22">
        <x:v>1</x:v>
      </x:c>
      <x:c r="I116" s="22" t="s">
        <x:v>1221</x:v>
      </x:c>
      <x:c r="J116" s="24" t="s">
        <x:v>1150</x:v>
      </x:c>
      <x:c r="K116" s="27" t="s">
        <x:v>1150</x:v>
      </x:c>
      <x:c r="L116" s="26"/>
      <x:c r="M116" s="27"/>
      <x:c r="N116" s="22">
        <x:f>IF(K116="","تکمیل نشده",IF(AND(K116="منتقل نشود",G116&gt;0),"در سند استفاده شده","OK"))</x:f>
      </x:c>
      <x:c r="O116" s="28"/>
    </x:row>
    <x:row r="117" spans="1:15">
      <x:c r="A117" s="21" t="s">
        <x:v>1146</x:v>
      </x:c>
      <x:c r="B117" s="22">
        <x:v>1</x:v>
      </x:c>
      <x:c r="C117" s="22" t="s">
        <x:v>1387</x:v>
      </x:c>
      <x:c r="D117" s="22" t="s">
        <x:v>497</x:v>
      </x:c>
      <x:c r="E117" s="22" t="s">
        <x:v>1388</x:v>
      </x:c>
      <x:c r="F117" s="22"/>
      <x:c r="G117" s="22">
        <x:v>0</x:v>
      </x:c>
      <x:c r="H117" s="22">
        <x:v>1</x:v>
      </x:c>
      <x:c r="I117" s="22" t="s">
        <x:v>1221</x:v>
      </x:c>
      <x:c r="J117" s="24" t="s">
        <x:v>1150</x:v>
      </x:c>
      <x:c r="K117" s="27" t="s">
        <x:v>1150</x:v>
      </x:c>
      <x:c r="L117" s="26"/>
      <x:c r="M117" s="27"/>
      <x:c r="N117" s="22">
        <x:f>IF(K117="","تکمیل نشده",IF(AND(K117="منتقل نشود",G117&gt;0),"در سند استفاده شده","OK"))</x:f>
      </x:c>
      <x:c r="O117" s="28"/>
    </x:row>
    <x:row r="118" spans="1:15">
      <x:c r="A118" s="21" t="s">
        <x:v>1146</x:v>
      </x:c>
      <x:c r="B118" s="22">
        <x:v>1</x:v>
      </x:c>
      <x:c r="C118" s="22" t="s">
        <x:v>1389</x:v>
      </x:c>
      <x:c r="D118" s="22" t="s">
        <x:v>497</x:v>
      </x:c>
      <x:c r="E118" s="22" t="s">
        <x:v>1390</x:v>
      </x:c>
      <x:c r="F118" s="22"/>
      <x:c r="G118" s="22">
        <x:v>0</x:v>
      </x:c>
      <x:c r="H118" s="22">
        <x:v>1</x:v>
      </x:c>
      <x:c r="I118" s="22" t="s">
        <x:v>1164</x:v>
      </x:c>
      <x:c r="J118" s="24" t="s">
        <x:v>1150</x:v>
      </x:c>
      <x:c r="K118" s="27" t="s">
        <x:v>1150</x:v>
      </x:c>
      <x:c r="L118" s="26"/>
      <x:c r="M118" s="27"/>
      <x:c r="N118" s="22">
        <x:f>IF(K118="","تکمیل نشده",IF(AND(K118="منتقل نشود",G118&gt;0),"در سند استفاده شده","OK"))</x:f>
      </x:c>
      <x:c r="O118" s="28"/>
    </x:row>
    <x:row r="119" spans="1:15">
      <x:c r="A119" s="21" t="s">
        <x:v>1146</x:v>
      </x:c>
      <x:c r="B119" s="22">
        <x:v>1</x:v>
      </x:c>
      <x:c r="C119" s="22" t="s">
        <x:v>1391</x:v>
      </x:c>
      <x:c r="D119" s="22" t="s">
        <x:v>497</x:v>
      </x:c>
      <x:c r="E119" s="22" t="s">
        <x:v>1392</x:v>
      </x:c>
      <x:c r="F119" s="22"/>
      <x:c r="G119" s="22">
        <x:v>0</x:v>
      </x:c>
      <x:c r="H119" s="22">
        <x:v>1</x:v>
      </x:c>
      <x:c r="I119" s="22" t="s">
        <x:v>1164</x:v>
      </x:c>
      <x:c r="J119" s="24" t="s">
        <x:v>1150</x:v>
      </x:c>
      <x:c r="K119" s="27" t="s">
        <x:v>1150</x:v>
      </x:c>
      <x:c r="L119" s="26"/>
      <x:c r="M119" s="27"/>
      <x:c r="N119" s="22">
        <x:f>IF(K119="","تکمیل نشده",IF(AND(K119="منتقل نشود",G119&gt;0),"در سند استفاده شده","OK"))</x:f>
      </x:c>
      <x:c r="O119" s="28"/>
    </x:row>
    <x:row r="120" spans="1:15">
      <x:c r="A120" s="21" t="s">
        <x:v>1146</x:v>
      </x:c>
      <x:c r="B120" s="22">
        <x:v>1</x:v>
      </x:c>
      <x:c r="C120" s="22" t="s">
        <x:v>1393</x:v>
      </x:c>
      <x:c r="D120" s="22" t="s">
        <x:v>497</x:v>
      </x:c>
      <x:c r="E120" s="22" t="s">
        <x:v>1394</x:v>
      </x:c>
      <x:c r="F120" s="22"/>
      <x:c r="G120" s="22">
        <x:v>0</x:v>
      </x:c>
      <x:c r="H120" s="22">
        <x:v>1</x:v>
      </x:c>
      <x:c r="I120" s="22" t="s">
        <x:v>1221</x:v>
      </x:c>
      <x:c r="J120" s="24" t="s">
        <x:v>1150</x:v>
      </x:c>
      <x:c r="K120" s="27" t="s">
        <x:v>1150</x:v>
      </x:c>
      <x:c r="L120" s="26"/>
      <x:c r="M120" s="27"/>
      <x:c r="N120" s="22">
        <x:f>IF(K120="","تکمیل نشده",IF(AND(K120="منتقل نشود",G120&gt;0),"در سند استفاده شده","OK"))</x:f>
      </x:c>
      <x:c r="O120" s="28"/>
    </x:row>
    <x:row r="121" spans="1:15">
      <x:c r="A121" s="21" t="s">
        <x:v>1146</x:v>
      </x:c>
      <x:c r="B121" s="22">
        <x:v>1</x:v>
      </x:c>
      <x:c r="C121" s="22" t="s">
        <x:v>1395</x:v>
      </x:c>
      <x:c r="D121" s="22" t="s">
        <x:v>497</x:v>
      </x:c>
      <x:c r="E121" s="22" t="s">
        <x:v>1396</x:v>
      </x:c>
      <x:c r="F121" s="22"/>
      <x:c r="G121" s="22">
        <x:v>0</x:v>
      </x:c>
      <x:c r="H121" s="22">
        <x:v>1</x:v>
      </x:c>
      <x:c r="I121" s="22" t="s">
        <x:v>1164</x:v>
      </x:c>
      <x:c r="J121" s="24" t="s">
        <x:v>1150</x:v>
      </x:c>
      <x:c r="K121" s="27" t="s">
        <x:v>1150</x:v>
      </x:c>
      <x:c r="L121" s="26"/>
      <x:c r="M121" s="27"/>
      <x:c r="N121" s="22">
        <x:f>IF(K121="","تکمیل نشده",IF(AND(K121="منتقل نشود",G121&gt;0),"در سند استفاده شده","OK"))</x:f>
      </x:c>
      <x:c r="O121" s="28"/>
    </x:row>
    <x:row r="122" spans="1:15">
      <x:c r="A122" s="21" t="s">
        <x:v>1146</x:v>
      </x:c>
      <x:c r="B122" s="22">
        <x:v>1</x:v>
      </x:c>
      <x:c r="C122" s="22" t="s">
        <x:v>154</x:v>
      </x:c>
      <x:c r="D122" s="22" t="s">
        <x:v>497</x:v>
      </x:c>
      <x:c r="E122" s="22" t="s">
        <x:v>1397</x:v>
      </x:c>
      <x:c r="F122" s="22"/>
      <x:c r="G122" s="22">
        <x:v>0</x:v>
      </x:c>
      <x:c r="H122" s="22">
        <x:v>1</x:v>
      </x:c>
      <x:c r="I122" s="22" t="s">
        <x:v>1164</x:v>
      </x:c>
      <x:c r="J122" s="24" t="s">
        <x:v>1150</x:v>
      </x:c>
      <x:c r="K122" s="27" t="s">
        <x:v>1150</x:v>
      </x:c>
      <x:c r="L122" s="26"/>
      <x:c r="M122" s="27"/>
      <x:c r="N122" s="22">
        <x:f>IF(K122="","تکمیل نشده",IF(AND(K122="منتقل نشود",G122&gt;0),"در سند استفاده شده","OK"))</x:f>
      </x:c>
      <x:c r="O122" s="28"/>
    </x:row>
    <x:row r="123" spans="1:15">
      <x:c r="A123" s="21" t="s">
        <x:v>1146</x:v>
      </x:c>
      <x:c r="B123" s="22">
        <x:v>1</x:v>
      </x:c>
      <x:c r="C123" s="22" t="s">
        <x:v>1398</x:v>
      </x:c>
      <x:c r="D123" s="22" t="s">
        <x:v>497</x:v>
      </x:c>
      <x:c r="E123" s="22" t="s">
        <x:v>1399</x:v>
      </x:c>
      <x:c r="F123" s="22"/>
      <x:c r="G123" s="22">
        <x:v>0</x:v>
      </x:c>
      <x:c r="H123" s="22">
        <x:v>1</x:v>
      </x:c>
      <x:c r="I123" s="22" t="s">
        <x:v>1164</x:v>
      </x:c>
      <x:c r="J123" s="24" t="s">
        <x:v>1150</x:v>
      </x:c>
      <x:c r="K123" s="27" t="s">
        <x:v>1150</x:v>
      </x:c>
      <x:c r="L123" s="26"/>
      <x:c r="M123" s="27"/>
      <x:c r="N123" s="22">
        <x:f>IF(K123="","تکمیل نشده",IF(AND(K123="منتقل نشود",G123&gt;0),"در سند استفاده شده","OK"))</x:f>
      </x:c>
      <x:c r="O123" s="28"/>
    </x:row>
    <x:row r="124" spans="1:15">
      <x:c r="A124" s="21" t="s">
        <x:v>1146</x:v>
      </x:c>
      <x:c r="B124" s="22">
        <x:v>1</x:v>
      </x:c>
      <x:c r="C124" s="22" t="s">
        <x:v>1400</x:v>
      </x:c>
      <x:c r="D124" s="22" t="s">
        <x:v>497</x:v>
      </x:c>
      <x:c r="E124" s="22" t="s">
        <x:v>1401</x:v>
      </x:c>
      <x:c r="F124" s="22"/>
      <x:c r="G124" s="22">
        <x:v>0</x:v>
      </x:c>
      <x:c r="H124" s="22">
        <x:v>1</x:v>
      </x:c>
      <x:c r="I124" s="22" t="s">
        <x:v>1164</x:v>
      </x:c>
      <x:c r="J124" s="24" t="s">
        <x:v>1150</x:v>
      </x:c>
      <x:c r="K124" s="27" t="s">
        <x:v>1150</x:v>
      </x:c>
      <x:c r="L124" s="26"/>
      <x:c r="M124" s="27"/>
      <x:c r="N124" s="22">
        <x:f>IF(K124="","تکمیل نشده",IF(AND(K124="منتقل نشود",G124&gt;0),"در سند استفاده شده","OK"))</x:f>
      </x:c>
      <x:c r="O124" s="28"/>
    </x:row>
    <x:row r="125" spans="1:15">
      <x:c r="A125" s="21" t="s">
        <x:v>1146</x:v>
      </x:c>
      <x:c r="B125" s="22">
        <x:v>1</x:v>
      </x:c>
      <x:c r="C125" s="22" t="s">
        <x:v>1402</x:v>
      </x:c>
      <x:c r="D125" s="22" t="s">
        <x:v>497</x:v>
      </x:c>
      <x:c r="E125" s="22" t="s">
        <x:v>1403</x:v>
      </x:c>
      <x:c r="F125" s="22"/>
      <x:c r="G125" s="22">
        <x:v>0</x:v>
      </x:c>
      <x:c r="H125" s="22">
        <x:v>1</x:v>
      </x:c>
      <x:c r="I125" s="22" t="s">
        <x:v>1164</x:v>
      </x:c>
      <x:c r="J125" s="24" t="s">
        <x:v>1150</x:v>
      </x:c>
      <x:c r="K125" s="27" t="s">
        <x:v>1150</x:v>
      </x:c>
      <x:c r="L125" s="26"/>
      <x:c r="M125" s="27"/>
      <x:c r="N125" s="22">
        <x:f>IF(K125="","تکمیل نشده",IF(AND(K125="منتقل نشود",G125&gt;0),"در سند استفاده شده","OK"))</x:f>
      </x:c>
      <x:c r="O125" s="28"/>
    </x:row>
    <x:row r="126" spans="1:15">
      <x:c r="A126" s="21" t="s">
        <x:v>1146</x:v>
      </x:c>
      <x:c r="B126" s="22">
        <x:v>1</x:v>
      </x:c>
      <x:c r="C126" s="22" t="s">
        <x:v>1404</x:v>
      </x:c>
      <x:c r="D126" s="22" t="s">
        <x:v>497</x:v>
      </x:c>
      <x:c r="E126" s="22" t="s">
        <x:v>1405</x:v>
      </x:c>
      <x:c r="F126" s="22"/>
      <x:c r="G126" s="22">
        <x:v>0</x:v>
      </x:c>
      <x:c r="H126" s="22">
        <x:v>2</x:v>
      </x:c>
      <x:c r="I126" s="22" t="s">
        <x:v>1195</x:v>
      </x:c>
      <x:c r="J126" s="24" t="s">
        <x:v>1150</x:v>
      </x:c>
      <x:c r="K126" s="27" t="s">
        <x:v>1150</x:v>
      </x:c>
      <x:c r="L126" s="26"/>
      <x:c r="M126" s="27"/>
      <x:c r="N126" s="22">
        <x:f>IF(K126="","تکمیل نشده",IF(AND(K126="منتقل نشود",G126&gt;0),"در سند استفاده شده","OK"))</x:f>
      </x:c>
      <x:c r="O126" s="28"/>
    </x:row>
    <x:row r="127" spans="1:15">
      <x:c r="A127" s="21" t="s">
        <x:v>1146</x:v>
      </x:c>
      <x:c r="B127" s="22">
        <x:v>1</x:v>
      </x:c>
      <x:c r="C127" s="22" t="s">
        <x:v>1406</x:v>
      </x:c>
      <x:c r="D127" s="22" t="s">
        <x:v>497</x:v>
      </x:c>
      <x:c r="E127" s="22" t="s">
        <x:v>1407</x:v>
      </x:c>
      <x:c r="F127" s="22"/>
      <x:c r="G127" s="22">
        <x:v>0</x:v>
      </x:c>
      <x:c r="H127" s="22">
        <x:v>1</x:v>
      </x:c>
      <x:c r="I127" s="22" t="s">
        <x:v>1408</x:v>
      </x:c>
      <x:c r="J127" s="24" t="s">
        <x:v>1150</x:v>
      </x:c>
      <x:c r="K127" s="27" t="s">
        <x:v>1150</x:v>
      </x:c>
      <x:c r="L127" s="26"/>
      <x:c r="M127" s="27"/>
      <x:c r="N127" s="22">
        <x:f>IF(K127="","تکمیل نشده",IF(AND(K127="منتقل نشود",G127&gt;0),"در سند استفاده شده","OK"))</x:f>
      </x:c>
      <x:c r="O127" s="28"/>
    </x:row>
    <x:row r="128" spans="1:15">
      <x:c r="A128" s="21" t="s">
        <x:v>1146</x:v>
      </x:c>
      <x:c r="B128" s="22">
        <x:v>1</x:v>
      </x:c>
      <x:c r="C128" s="22" t="s">
        <x:v>1409</x:v>
      </x:c>
      <x:c r="D128" s="22" t="s">
        <x:v>497</x:v>
      </x:c>
      <x:c r="E128" s="22" t="s">
        <x:v>1410</x:v>
      </x:c>
      <x:c r="F128" s="22"/>
      <x:c r="G128" s="22">
        <x:v>1</x:v>
      </x:c>
      <x:c r="H128" s="22">
        <x:v>3</x:v>
      </x:c>
      <x:c r="I128" s="22" t="s">
        <x:v>1411</x:v>
      </x:c>
      <x:c r="J128" s="24" t="s">
        <x:v>1150</x:v>
      </x:c>
      <x:c r="K128" s="27" t="s">
        <x:v>1150</x:v>
      </x:c>
      <x:c r="L128" s="26"/>
      <x:c r="M128" s="27"/>
      <x:c r="N128" s="22">
        <x:f>IF(K128="","تکمیل نشده",IF(AND(K128="منتقل نشود",G128&gt;0),"در سند استفاده شده","OK"))</x:f>
      </x:c>
      <x:c r="O128" s="28"/>
    </x:row>
    <x:row r="129" spans="1:15">
      <x:c r="A129" s="21" t="s">
        <x:v>1146</x:v>
      </x:c>
      <x:c r="B129" s="22">
        <x:v>1</x:v>
      </x:c>
      <x:c r="C129" s="22" t="s">
        <x:v>1412</x:v>
      </x:c>
      <x:c r="D129" s="22" t="s">
        <x:v>497</x:v>
      </x:c>
      <x:c r="E129" s="22" t="s">
        <x:v>1413</x:v>
      </x:c>
      <x:c r="F129" s="22"/>
      <x:c r="G129" s="22">
        <x:v>0</x:v>
      </x:c>
      <x:c r="H129" s="22">
        <x:v>1</x:v>
      </x:c>
      <x:c r="I129" s="22" t="s">
        <x:v>1221</x:v>
      </x:c>
      <x:c r="J129" s="24" t="s">
        <x:v>1150</x:v>
      </x:c>
      <x:c r="K129" s="27" t="s">
        <x:v>1150</x:v>
      </x:c>
      <x:c r="L129" s="26"/>
      <x:c r="M129" s="27"/>
      <x:c r="N129" s="22">
        <x:f>IF(K129="","تکمیل نشده",IF(AND(K129="منتقل نشود",G129&gt;0),"در سند استفاده شده","OK"))</x:f>
      </x:c>
      <x:c r="O129" s="28"/>
    </x:row>
    <x:row r="130" spans="1:15">
      <x:c r="A130" s="21" t="s">
        <x:v>1414</x:v>
      </x:c>
      <x:c r="B130" s="22">
        <x:v>2</x:v>
      </x:c>
      <x:c r="C130" s="22" t="s">
        <x:v>1180</x:v>
      </x:c>
      <x:c r="D130" s="22" t="s">
        <x:v>1415</x:v>
      </x:c>
      <x:c r="E130" s="22" t="s">
        <x:v>1416</x:v>
      </x:c>
      <x:c r="F130" s="22" t="s">
        <x:v>1181</x:v>
      </x:c>
      <x:c r="G130" s="22">
        <x:v>0</x:v>
      </x:c>
      <x:c r="H130" s="22">
        <x:v>12</x:v>
      </x:c>
      <x:c r="I130" s="22" t="s">
        <x:v>1417</x:v>
      </x:c>
      <x:c r="J130" s="24" t="s">
        <x:v>1150</x:v>
      </x:c>
      <x:c r="K130" s="27" t="s">
        <x:v>1150</x:v>
      </x:c>
      <x:c r="L130" s="26"/>
      <x:c r="M130" s="27"/>
      <x:c r="N130" s="22">
        <x:f>IF(K130="","تکمیل نشده",IF(AND(K130="منتقل نشود",G130&gt;0),"در سند استفاده شده","OK"))</x:f>
      </x:c>
      <x:c r="O130" s="28"/>
    </x:row>
    <x:row r="131" spans="1:15">
      <x:c r="A131" s="21" t="s">
        <x:v>1414</x:v>
      </x:c>
      <x:c r="B131" s="22">
        <x:v>2</x:v>
      </x:c>
      <x:c r="C131" s="22" t="s">
        <x:v>1226</x:v>
      </x:c>
      <x:c r="D131" s="22" t="s">
        <x:v>1418</x:v>
      </x:c>
      <x:c r="E131" s="22" t="s">
        <x:v>1419</x:v>
      </x:c>
      <x:c r="F131" s="22" t="s">
        <x:v>1227</x:v>
      </x:c>
      <x:c r="G131" s="22">
        <x:v>1</x:v>
      </x:c>
      <x:c r="H131" s="22">
        <x:v>1</x:v>
      </x:c>
      <x:c r="I131" s="22" t="s">
        <x:v>1228</x:v>
      </x:c>
      <x:c r="J131" s="24" t="s">
        <x:v>1150</x:v>
      </x:c>
      <x:c r="K131" s="27" t="s">
        <x:v>1150</x:v>
      </x:c>
      <x:c r="L131" s="26"/>
      <x:c r="M131" s="27"/>
      <x:c r="N131" s="22">
        <x:f>IF(K131="","تکمیل نشده",IF(AND(K131="منتقل نشود",G131&gt;0),"در سند استفاده شده","OK"))</x:f>
      </x:c>
      <x:c r="O131" s="28"/>
    </x:row>
    <x:row r="132" spans="1:15">
      <x:c r="A132" s="21" t="s">
        <x:v>1414</x:v>
      </x:c>
      <x:c r="B132" s="22">
        <x:v>2</x:v>
      </x:c>
      <x:c r="C132" s="22" t="s">
        <x:v>1406</x:v>
      </x:c>
      <x:c r="D132" s="22" t="s">
        <x:v>1415</x:v>
      </x:c>
      <x:c r="E132" s="22" t="s">
        <x:v>1420</x:v>
      </x:c>
      <x:c r="F132" s="22" t="s">
        <x:v>1407</x:v>
      </x:c>
      <x:c r="G132" s="22">
        <x:v>0</x:v>
      </x:c>
      <x:c r="H132" s="22">
        <x:v>1</x:v>
      </x:c>
      <x:c r="I132" s="22" t="s">
        <x:v>1408</x:v>
      </x:c>
      <x:c r="J132" s="24" t="s">
        <x:v>1150</x:v>
      </x:c>
      <x:c r="K132" s="27" t="s">
        <x:v>1150</x:v>
      </x:c>
      <x:c r="L132" s="26"/>
      <x:c r="M132" s="27"/>
      <x:c r="N132" s="22">
        <x:f>IF(K132="","تکمیل نشده",IF(AND(K132="منتقل نشود",G132&gt;0),"در سند استفاده شده","OK"))</x:f>
      </x:c>
      <x:c r="O132" s="28"/>
    </x:row>
    <x:row r="133" spans="1:15">
      <x:c r="A133" s="21" t="s">
        <x:v>1414</x:v>
      </x:c>
      <x:c r="B133" s="22">
        <x:v>2</x:v>
      </x:c>
      <x:c r="C133" s="22" t="s">
        <x:v>1409</x:v>
      </x:c>
      <x:c r="D133" s="22" t="s">
        <x:v>1421</x:v>
      </x:c>
      <x:c r="E133" s="22" t="s">
        <x:v>1422</x:v>
      </x:c>
      <x:c r="F133" s="22" t="s">
        <x:v>1410</x:v>
      </x:c>
      <x:c r="G133" s="22">
        <x:v>0</x:v>
      </x:c>
      <x:c r="H133" s="22">
        <x:v>0</x:v>
      </x:c>
      <x:c r="I133" s="22" t="s">
        <x:v>497</x:v>
      </x:c>
      <x:c r="J133" s="24" t="s">
        <x:v>1182</x:v>
      </x:c>
      <x:c r="K133" s="27" t="s">
        <x:v>1182</x:v>
      </x:c>
      <x:c r="L133" s="26"/>
      <x:c r="M133" s="27"/>
      <x:c r="N133" s="22">
        <x:f>IF(K133="","تکمیل نشده",IF(AND(K133="منتقل نشود",G133&gt;0),"در سند استفاده شده","OK"))</x:f>
      </x:c>
      <x:c r="O133" s="28"/>
    </x:row>
    <x:row r="134" spans="1:15">
      <x:c r="A134" s="29" t="s">
        <x:v>1414</x:v>
      </x:c>
      <x:c r="B134" s="30">
        <x:v>2</x:v>
      </x:c>
      <x:c r="C134" s="30" t="s">
        <x:v>1409</x:v>
      </x:c>
      <x:c r="D134" s="30" t="s">
        <x:v>1415</x:v>
      </x:c>
      <x:c r="E134" s="30" t="s">
        <x:v>1420</x:v>
      </x:c>
      <x:c r="F134" s="30" t="s">
        <x:v>1410</x:v>
      </x:c>
      <x:c r="G134" s="30">
        <x:v>0</x:v>
      </x:c>
      <x:c r="H134" s="30">
        <x:v>1</x:v>
      </x:c>
      <x:c r="I134" s="30" t="s">
        <x:v>1408</x:v>
      </x:c>
      <x:c r="J134" s="32" t="s">
        <x:v>1150</x:v>
      </x:c>
      <x:c r="K134" s="35" t="s">
        <x:v>1150</x:v>
      </x:c>
      <x:c r="L134" s="34"/>
      <x:c r="M134" s="35"/>
      <x:c r="N134" s="30">
        <x:f>IF(K134="","تکمیل نشده",IF(AND(K134="منتقل نشود",G134&gt;0),"در سند استفاده شده","OK"))</x:f>
      </x:c>
      <x:c r="O134" s="36"/>
    </x:row>
  </x:sheetData>
  <x:autoFilter ref="A1:O134"/>
  <x:conditionalFormatting sqref="N2:N134">
    <x:cfRule type="cellIs" dxfId="0" priority="1" operator="equal">
      <x:formula>"OK"</x:formula>
    </x:cfRule>
    <x:cfRule type="notContainsBlanks" dxfId="1" priority="2">
      <x:formula>LEN(TRIM(N2))&gt;0</x:formula>
    </x:cfRule>
  </x:conditionalFormatting>
  <x:dataValidations count="1">
    <x:dataValidation type="list" errorStyle="stop" operator="between" allowBlank="1" showDropDown="0" showInputMessage="1" showErrorMessage="1" errorTitle="" error="" promptTitle="" prompt="" sqref="K2:K134">
      <x:formula1>"منتقل شود,منتقل نشود"</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M34"/>
  <x:sheetViews>
    <x:sheetView rightToLeft="1" workbookViewId="0">
      <x:pane xSplit="0" ySplit="1" topLeftCell="A2" activePane="bottomLeft" state="frozenSplit"/>
    </x:sheetView>
  </x:sheetViews>
  <x:sheetFormatPr defaultRowHeight="15"/>
  <x:cols>
    <x:col min="14" max="16384" width="9.140625" style="1" customWidth="1"/>
    <x:col min="1" max="1" width="10.710625" style="1" customWidth="1"/>
    <x:col min="2" max="2" width="9.710625" style="1" customWidth="1"/>
    <x:col min="3" max="3" width="11.710625" style="1" customWidth="1"/>
    <x:col min="4" max="5" width="8.710625" style="1" customWidth="1"/>
    <x:col min="6" max="6" width="44.710625" style="1" customWidth="1"/>
    <x:col min="7" max="7" width="8.710625" style="1" customWidth="1"/>
    <x:col min="8" max="9" width="17.710625" style="1" customWidth="1"/>
    <x:col min="10" max="10" width="15.710625" style="1" customWidth="1"/>
    <x:col min="11" max="11" width="30.710625" style="1" customWidth="1"/>
    <x:col min="12" max="12" width="18.710625" style="1" customWidth="1"/>
    <x:col min="13" max="13" width="30.710625" style="1" customWidth="1"/>
  </x:cols>
  <x:sheetData>
    <x:row r="1" spans="1:13" ht="45" customHeight="1">
      <x:c r="A1" s="11" t="s">
        <x:v>1423</x:v>
      </x:c>
      <x:c r="B1" s="11" t="s">
        <x:v>1424</x:v>
      </x:c>
      <x:c r="C1" s="11" t="s">
        <x:v>1425</x:v>
      </x:c>
      <x:c r="D1" s="11" t="s">
        <x:v>1426</x:v>
      </x:c>
      <x:c r="E1" s="11" t="s">
        <x:v>1427</x:v>
      </x:c>
      <x:c r="F1" s="11" t="s">
        <x:v>1428</x:v>
      </x:c>
      <x:c r="G1" s="11" t="s">
        <x:v>1429</x:v>
      </x:c>
      <x:c r="H1" s="11" t="s">
        <x:v>4</x:v>
      </x:c>
      <x:c r="I1" s="11" t="s">
        <x:v>5</x:v>
      </x:c>
      <x:c r="J1" s="11" t="s">
        <x:v>1430</x:v>
      </x:c>
      <x:c r="K1" s="12" t="s">
        <x:v>1431</x:v>
      </x:c>
      <x:c r="L1" s="11" t="s">
        <x:v>11</x:v>
      </x:c>
      <x:c r="M1" s="12" t="s">
        <x:v>13</x:v>
      </x:c>
    </x:row>
    <x:row r="2" spans="1:13">
      <x:c r="A2" s="13">
        <x:v>1220</x:v>
      </x:c>
      <x:c r="B2" s="14" t="s">
        <x:v>1432</x:v>
      </x:c>
      <x:c r="C2" s="14" t="s">
        <x:v>1433</x:v>
      </x:c>
      <x:c r="D2" s="14" t="s">
        <x:v>194</x:v>
      </x:c>
      <x:c r="E2" s="14" t="s">
        <x:v>497</x:v>
      </x:c>
      <x:c r="F2" s="14" t="s">
        <x:v>1434</x:v>
      </x:c>
      <x:c r="G2" s="14">
        <x:v>12</x:v>
      </x:c>
      <x:c r="H2" s="15">
        <x:v>20716471</x:v>
      </x:c>
      <x:c r="I2" s="15">
        <x:v>37291471</x:v>
      </x:c>
      <x:c r="J2" s="15">
        <x:f>H2-I2</x:f>
      </x:c>
      <x:c r="K2" s="19"/>
      <x:c r="L2" s="14">
        <x:f>IF(K2="","تکمیل نشده","OK")</x:f>
      </x:c>
      <x:c r="M2" s="20"/>
    </x:row>
    <x:row r="3" spans="1:13">
      <x:c r="A3" s="21">
        <x:v>301</x:v>
      </x:c>
      <x:c r="B3" s="22" t="s">
        <x:v>1435</x:v>
      </x:c>
      <x:c r="C3" s="22" t="s">
        <x:v>1436</x:v>
      </x:c>
      <x:c r="D3" s="22" t="s">
        <x:v>334</x:v>
      </x:c>
      <x:c r="E3" s="22" t="s">
        <x:v>49</x:v>
      </x:c>
      <x:c r="F3" s="22" t="s">
        <x:v>1437</x:v>
      </x:c>
      <x:c r="G3" s="22">
        <x:v>8</x:v>
      </x:c>
      <x:c r="H3" s="23">
        <x:v>58046760</x:v>
      </x:c>
      <x:c r="I3" s="23">
        <x:v>63515960</x:v>
      </x:c>
      <x:c r="J3" s="23">
        <x:f>H3-I3</x:f>
      </x:c>
      <x:c r="K3" s="27"/>
      <x:c r="L3" s="22">
        <x:f>IF(K3="","تکمیل نشده","OK")</x:f>
      </x:c>
      <x:c r="M3" s="28"/>
    </x:row>
    <x:row r="4" spans="1:13">
      <x:c r="A4" s="21">
        <x:v>275</x:v>
      </x:c>
      <x:c r="B4" s="22" t="s">
        <x:v>1438</x:v>
      </x:c>
      <x:c r="C4" s="22" t="s">
        <x:v>1436</x:v>
      </x:c>
      <x:c r="D4" s="22" t="s">
        <x:v>334</x:v>
      </x:c>
      <x:c r="E4" s="22" t="s">
        <x:v>497</x:v>
      </x:c>
      <x:c r="F4" s="22" t="s">
        <x:v>1439</x:v>
      </x:c>
      <x:c r="G4" s="22">
        <x:v>5</x:v>
      </x:c>
      <x:c r="H4" s="23">
        <x:v>274422750</x:v>
      </x:c>
      <x:c r="I4" s="23">
        <x:v>548366250</x:v>
      </x:c>
      <x:c r="J4" s="23">
        <x:f>H4-I4</x:f>
      </x:c>
      <x:c r="K4" s="27"/>
      <x:c r="L4" s="22">
        <x:f>IF(K4="","تکمیل نشده","OK")</x:f>
      </x:c>
      <x:c r="M4" s="28"/>
    </x:row>
    <x:row r="5" spans="1:13">
      <x:c r="A5" s="21">
        <x:v>166</x:v>
      </x:c>
      <x:c r="B5" s="22" t="s">
        <x:v>1440</x:v>
      </x:c>
      <x:c r="C5" s="22" t="s">
        <x:v>1441</x:v>
      </x:c>
      <x:c r="D5" s="22" t="s">
        <x:v>334</x:v>
      </x:c>
      <x:c r="E5" s="22" t="s">
        <x:v>497</x:v>
      </x:c>
      <x:c r="F5" s="22" t="s">
        <x:v>1442</x:v>
      </x:c>
      <x:c r="G5" s="22">
        <x:v>3</x:v>
      </x:c>
      <x:c r="H5" s="23">
        <x:v>9869500</x:v>
      </x:c>
      <x:c r="I5" s="23">
        <x:v>59869500</x:v>
      </x:c>
      <x:c r="J5" s="23">
        <x:f>H5-I5</x:f>
      </x:c>
      <x:c r="K5" s="27"/>
      <x:c r="L5" s="22">
        <x:f>IF(K5="","تکمیل نشده","OK")</x:f>
      </x:c>
      <x:c r="M5" s="28"/>
    </x:row>
    <x:row r="6" spans="1:13">
      <x:c r="A6" s="21">
        <x:v>435</x:v>
      </x:c>
      <x:c r="B6" s="22" t="s">
        <x:v>1443</x:v>
      </x:c>
      <x:c r="C6" s="22" t="s">
        <x:v>1444</x:v>
      </x:c>
      <x:c r="D6" s="22" t="s">
        <x:v>194</x:v>
      </x:c>
      <x:c r="E6" s="22" t="s">
        <x:v>497</x:v>
      </x:c>
      <x:c r="F6" s="22" t="s">
        <x:v>1445</x:v>
      </x:c>
      <x:c r="G6" s="22">
        <x:v>90</x:v>
      </x:c>
      <x:c r="H6" s="23">
        <x:v>7617038956</x:v>
      </x:c>
      <x:c r="I6" s="23">
        <x:v>7619725463</x:v>
      </x:c>
      <x:c r="J6" s="23">
        <x:f>H6-I6</x:f>
      </x:c>
      <x:c r="K6" s="27"/>
      <x:c r="L6" s="22">
        <x:f>IF(K6="","تکمیل نشده","OK")</x:f>
      </x:c>
      <x:c r="M6" s="28"/>
    </x:row>
    <x:row r="7" spans="1:13">
      <x:c r="A7" s="21">
        <x:v>1225</x:v>
      </x:c>
      <x:c r="B7" s="22" t="s">
        <x:v>1446</x:v>
      </x:c>
      <x:c r="C7" s="22" t="s">
        <x:v>1447</x:v>
      </x:c>
      <x:c r="D7" s="22" t="s">
        <x:v>194</x:v>
      </x:c>
      <x:c r="E7" s="22" t="s">
        <x:v>497</x:v>
      </x:c>
      <x:c r="F7" s="22" t="s">
        <x:v>1448</x:v>
      </x:c>
      <x:c r="G7" s="22">
        <x:v>140</x:v>
      </x:c>
      <x:c r="H7" s="23">
        <x:v>179623897388</x:v>
      </x:c>
      <x:c r="I7" s="23">
        <x:v>179369537122</x:v>
      </x:c>
      <x:c r="J7" s="23">
        <x:f>H7-I7</x:f>
      </x:c>
      <x:c r="K7" s="27"/>
      <x:c r="L7" s="22">
        <x:f>IF(K7="","تکمیل نشده","OK")</x:f>
      </x:c>
      <x:c r="M7" s="28"/>
    </x:row>
    <x:row r="8" spans="1:13">
      <x:c r="A8" s="21">
        <x:v>1290</x:v>
      </x:c>
      <x:c r="B8" s="22" t="s">
        <x:v>1449</x:v>
      </x:c>
      <x:c r="C8" s="22" t="s">
        <x:v>1450</x:v>
      </x:c>
      <x:c r="D8" s="22" t="s">
        <x:v>194</x:v>
      </x:c>
      <x:c r="E8" s="22" t="s">
        <x:v>497</x:v>
      </x:c>
      <x:c r="F8" s="22" t="s">
        <x:v>1451</x:v>
      </x:c>
      <x:c r="G8" s="22">
        <x:v>90</x:v>
      </x:c>
      <x:c r="H8" s="23">
        <x:v>7619725463</x:v>
      </x:c>
      <x:c r="I8" s="23">
        <x:v>7617038956</x:v>
      </x:c>
      <x:c r="J8" s="23">
        <x:f>H8-I8</x:f>
      </x:c>
      <x:c r="K8" s="27"/>
      <x:c r="L8" s="22">
        <x:f>IF(K8="","تکمیل نشده","OK")</x:f>
      </x:c>
      <x:c r="M8" s="28"/>
    </x:row>
    <x:row r="9" spans="1:13">
      <x:c r="A9" s="21">
        <x:v>1239</x:v>
      </x:c>
      <x:c r="B9" s="22" t="s">
        <x:v>1452</x:v>
      </x:c>
      <x:c r="C9" s="22" t="s">
        <x:v>1453</x:v>
      </x:c>
      <x:c r="D9" s="22" t="s">
        <x:v>194</x:v>
      </x:c>
      <x:c r="E9" s="22" t="s">
        <x:v>497</x:v>
      </x:c>
      <x:c r="F9" s="22" t="s">
        <x:v>1454</x:v>
      </x:c>
      <x:c r="G9" s="22">
        <x:v>3</x:v>
      </x:c>
      <x:c r="H9" s="23">
        <x:v>100</x:v>
      </x:c>
      <x:c r="I9" s="23">
        <x:v>200</x:v>
      </x:c>
      <x:c r="J9" s="23">
        <x:f>H9-I9</x:f>
      </x:c>
      <x:c r="K9" s="27"/>
      <x:c r="L9" s="22">
        <x:f>IF(K9="","تکمیل نشده","OK")</x:f>
      </x:c>
      <x:c r="M9" s="28"/>
    </x:row>
    <x:row r="10" spans="1:13">
      <x:c r="A10" s="21">
        <x:v>354</x:v>
      </x:c>
      <x:c r="B10" s="22" t="s">
        <x:v>1455</x:v>
      </x:c>
      <x:c r="C10" s="22" t="s">
        <x:v>1456</x:v>
      </x:c>
      <x:c r="D10" s="22" t="s">
        <x:v>194</x:v>
      </x:c>
      <x:c r="E10" s="22" t="s">
        <x:v>63</x:v>
      </x:c>
      <x:c r="F10" s="22" t="s">
        <x:v>1457</x:v>
      </x:c>
      <x:c r="G10" s="22">
        <x:v>5</x:v>
      </x:c>
      <x:c r="H10" s="23">
        <x:v>5000010</x:v>
      </x:c>
      <x:c r="I10" s="23">
        <x:v>5000030</x:v>
      </x:c>
      <x:c r="J10" s="23">
        <x:f>H10-I10</x:f>
      </x:c>
      <x:c r="K10" s="27"/>
      <x:c r="L10" s="22">
        <x:f>IF(K10="","تکمیل نشده","OK")</x:f>
      </x:c>
      <x:c r="M10" s="28"/>
    </x:row>
    <x:row r="11" spans="1:13">
      <x:c r="A11" s="21">
        <x:v>1511</x:v>
      </x:c>
      <x:c r="B11" s="22" t="s">
        <x:v>1458</x:v>
      </x:c>
      <x:c r="C11" s="22" t="s">
        <x:v>1459</x:v>
      </x:c>
      <x:c r="D11" s="22" t="s">
        <x:v>194</x:v>
      </x:c>
      <x:c r="E11" s="22" t="s">
        <x:v>497</x:v>
      </x:c>
      <x:c r="F11" s="22" t="s">
        <x:v>1460</x:v>
      </x:c>
      <x:c r="G11" s="22">
        <x:v>19</x:v>
      </x:c>
      <x:c r="H11" s="23">
        <x:v>1203168</x:v>
      </x:c>
      <x:c r="I11" s="23">
        <x:v>173896168</x:v>
      </x:c>
      <x:c r="J11" s="23">
        <x:f>H11-I11</x:f>
      </x:c>
      <x:c r="K11" s="27"/>
      <x:c r="L11" s="22">
        <x:f>IF(K11="","تکمیل نشده","OK")</x:f>
      </x:c>
      <x:c r="M11" s="28"/>
    </x:row>
    <x:row r="12" spans="1:13">
      <x:c r="A12" s="21">
        <x:v>2022</x:v>
      </x:c>
      <x:c r="B12" s="22" t="s">
        <x:v>1461</x:v>
      </x:c>
      <x:c r="C12" s="22" t="s">
        <x:v>1462</x:v>
      </x:c>
      <x:c r="D12" s="22" t="s">
        <x:v>194</x:v>
      </x:c>
      <x:c r="E12" s="22" t="s">
        <x:v>497</x:v>
      </x:c>
      <x:c r="F12" s="22" t="s">
        <x:v>1463</x:v>
      </x:c>
      <x:c r="G12" s="22">
        <x:v>3</x:v>
      </x:c>
      <x:c r="H12" s="23">
        <x:v>3300020</x:v>
      </x:c>
      <x:c r="I12" s="23">
        <x:v>8000060</x:v>
      </x:c>
      <x:c r="J12" s="23">
        <x:f>H12-I12</x:f>
      </x:c>
      <x:c r="K12" s="27"/>
      <x:c r="L12" s="22">
        <x:f>IF(K12="","تکمیل نشده","OK")</x:f>
      </x:c>
      <x:c r="M12" s="28"/>
    </x:row>
    <x:row r="13" spans="1:13">
      <x:c r="A13" s="21">
        <x:v>2051</x:v>
      </x:c>
      <x:c r="B13" s="22" t="s">
        <x:v>1464</x:v>
      </x:c>
      <x:c r="C13" s="22" t="s">
        <x:v>1462</x:v>
      </x:c>
      <x:c r="D13" s="22" t="s">
        <x:v>194</x:v>
      </x:c>
      <x:c r="E13" s="22" t="s">
        <x:v>63</x:v>
      </x:c>
      <x:c r="F13" s="22" t="s">
        <x:v>1465</x:v>
      </x:c>
      <x:c r="G13" s="22">
        <x:v>1</x:v>
      </x:c>
      <x:c r="H13" s="23">
        <x:v>59768200</x:v>
      </x:c>
      <x:c r="I13" s="23">
        <x:v>0</x:v>
      </x:c>
      <x:c r="J13" s="23">
        <x:f>H13-I13</x:f>
      </x:c>
      <x:c r="K13" s="27"/>
      <x:c r="L13" s="22">
        <x:f>IF(K13="","تکمیل نشده","OK")</x:f>
      </x:c>
      <x:c r="M13" s="28"/>
    </x:row>
    <x:row r="14" spans="1:13">
      <x:c r="A14" s="21">
        <x:v>1835</x:v>
      </x:c>
      <x:c r="B14" s="22" t="s">
        <x:v>1466</x:v>
      </x:c>
      <x:c r="C14" s="22" t="s">
        <x:v>1462</x:v>
      </x:c>
      <x:c r="D14" s="22" t="s">
        <x:v>194</x:v>
      </x:c>
      <x:c r="E14" s="22" t="s">
        <x:v>497</x:v>
      </x:c>
      <x:c r="F14" s="22" t="s">
        <x:v>1467</x:v>
      </x:c>
      <x:c r="G14" s="22">
        <x:v>1</x:v>
      </x:c>
      <x:c r="H14" s="23">
        <x:v>0</x:v>
      </x:c>
      <x:c r="I14" s="23">
        <x:v>8</x:v>
      </x:c>
      <x:c r="J14" s="23">
        <x:f>H14-I14</x:f>
      </x:c>
      <x:c r="K14" s="27"/>
      <x:c r="L14" s="22">
        <x:f>IF(K14="","تکمیل نشده","OK")</x:f>
      </x:c>
      <x:c r="M14" s="28"/>
    </x:row>
    <x:row r="15" spans="1:13">
      <x:c r="A15" s="21">
        <x:v>2347</x:v>
      </x:c>
      <x:c r="B15" s="22" t="s">
        <x:v>1468</x:v>
      </x:c>
      <x:c r="C15" s="22" t="s">
        <x:v>1462</x:v>
      </x:c>
      <x:c r="D15" s="22" t="s">
        <x:v>199</x:v>
      </x:c>
      <x:c r="E15" s="22" t="s">
        <x:v>497</x:v>
      </x:c>
      <x:c r="F15" s="22" t="s">
        <x:v>1469</x:v>
      </x:c>
      <x:c r="G15" s="22">
        <x:v>1</x:v>
      </x:c>
      <x:c r="H15" s="23">
        <x:v>0</x:v>
      </x:c>
      <x:c r="I15" s="23">
        <x:v>250</x:v>
      </x:c>
      <x:c r="J15" s="23">
        <x:f>H15-I15</x:f>
      </x:c>
      <x:c r="K15" s="27"/>
      <x:c r="L15" s="22">
        <x:f>IF(K15="","تکمیل نشده","OK")</x:f>
      </x:c>
      <x:c r="M15" s="28"/>
    </x:row>
    <x:row r="16" spans="1:13">
      <x:c r="A16" s="21">
        <x:v>2130</x:v>
      </x:c>
      <x:c r="B16" s="22" t="s">
        <x:v>1470</x:v>
      </x:c>
      <x:c r="C16" s="22" t="s">
        <x:v>1462</x:v>
      </x:c>
      <x:c r="D16" s="22" t="s">
        <x:v>194</x:v>
      </x:c>
      <x:c r="E16" s="22" t="s">
        <x:v>63</x:v>
      </x:c>
      <x:c r="F16" s="22" t="s">
        <x:v>1471</x:v>
      </x:c>
      <x:c r="G16" s="22">
        <x:v>1</x:v>
      </x:c>
      <x:c r="H16" s="23">
        <x:v>153724684</x:v>
      </x:c>
      <x:c r="I16" s="23">
        <x:v>0</x:v>
      </x:c>
      <x:c r="J16" s="23">
        <x:f>H16-I16</x:f>
      </x:c>
      <x:c r="K16" s="27"/>
      <x:c r="L16" s="22">
        <x:f>IF(K16="","تکمیل نشده","OK")</x:f>
      </x:c>
      <x:c r="M16" s="28"/>
    </x:row>
    <x:row r="17" spans="1:13">
      <x:c r="A17" s="21">
        <x:v>1861</x:v>
      </x:c>
      <x:c r="B17" s="22" t="s">
        <x:v>1472</x:v>
      </x:c>
      <x:c r="C17" s="22" t="s">
        <x:v>1462</x:v>
      </x:c>
      <x:c r="D17" s="22" t="s">
        <x:v>194</x:v>
      </x:c>
      <x:c r="E17" s="22" t="s">
        <x:v>497</x:v>
      </x:c>
      <x:c r="F17" s="22" t="s">
        <x:v>221</x:v>
      </x:c>
      <x:c r="G17" s="22">
        <x:v>3</x:v>
      </x:c>
      <x:c r="H17" s="23">
        <x:v>10</x:v>
      </x:c>
      <x:c r="I17" s="23">
        <x:v>10010</x:v>
      </x:c>
      <x:c r="J17" s="23">
        <x:f>H17-I17</x:f>
      </x:c>
      <x:c r="K17" s="27"/>
      <x:c r="L17" s="22">
        <x:f>IF(K17="","تکمیل نشده","OK")</x:f>
      </x:c>
      <x:c r="M17" s="28"/>
    </x:row>
    <x:row r="18" spans="1:13">
      <x:c r="A18" s="21">
        <x:v>1837</x:v>
      </x:c>
      <x:c r="B18" s="22" t="s">
        <x:v>1473</x:v>
      </x:c>
      <x:c r="C18" s="22" t="s">
        <x:v>1462</x:v>
      </x:c>
      <x:c r="D18" s="22" t="s">
        <x:v>194</x:v>
      </x:c>
      <x:c r="E18" s="22" t="s">
        <x:v>497</x:v>
      </x:c>
      <x:c r="F18" s="22" t="s">
        <x:v>1474</x:v>
      </x:c>
      <x:c r="G18" s="22">
        <x:v>1</x:v>
      </x:c>
      <x:c r="H18" s="23">
        <x:v>0</x:v>
      </x:c>
      <x:c r="I18" s="23">
        <x:v>9000</x:v>
      </x:c>
      <x:c r="J18" s="23">
        <x:f>H18-I18</x:f>
      </x:c>
      <x:c r="K18" s="27"/>
      <x:c r="L18" s="22">
        <x:f>IF(K18="","تکمیل نشده","OK")</x:f>
      </x:c>
      <x:c r="M18" s="28"/>
    </x:row>
    <x:row r="19" spans="1:13">
      <x:c r="A19" s="21">
        <x:v>2052</x:v>
      </x:c>
      <x:c r="B19" s="22" t="s">
        <x:v>1475</x:v>
      </x:c>
      <x:c r="C19" s="22" t="s">
        <x:v>1462</x:v>
      </x:c>
      <x:c r="D19" s="22" t="s">
        <x:v>194</x:v>
      </x:c>
      <x:c r="E19" s="22" t="s">
        <x:v>63</x:v>
      </x:c>
      <x:c r="F19" s="22" t="s">
        <x:v>1476</x:v>
      </x:c>
      <x:c r="G19" s="22">
        <x:v>1</x:v>
      </x:c>
      <x:c r="H19" s="23">
        <x:v>76182080</x:v>
      </x:c>
      <x:c r="I19" s="23">
        <x:v>0</x:v>
      </x:c>
      <x:c r="J19" s="23">
        <x:f>H19-I19</x:f>
      </x:c>
      <x:c r="K19" s="27"/>
      <x:c r="L19" s="22">
        <x:f>IF(K19="","تکمیل نشده","OK")</x:f>
      </x:c>
      <x:c r="M19" s="28"/>
    </x:row>
    <x:row r="20" spans="1:13">
      <x:c r="A20" s="21">
        <x:v>1834</x:v>
      </x:c>
      <x:c r="B20" s="22" t="s">
        <x:v>1477</x:v>
      </x:c>
      <x:c r="C20" s="22" t="s">
        <x:v>1462</x:v>
      </x:c>
      <x:c r="D20" s="22" t="s">
        <x:v>194</x:v>
      </x:c>
      <x:c r="E20" s="22" t="s">
        <x:v>497</x:v>
      </x:c>
      <x:c r="F20" s="22" t="s">
        <x:v>1478</x:v>
      </x:c>
      <x:c r="G20" s="22">
        <x:v>1</x:v>
      </x:c>
      <x:c r="H20" s="23">
        <x:v>0</x:v>
      </x:c>
      <x:c r="I20" s="23">
        <x:v>5750000</x:v>
      </x:c>
      <x:c r="J20" s="23">
        <x:f>H20-I20</x:f>
      </x:c>
      <x:c r="K20" s="27"/>
      <x:c r="L20" s="22">
        <x:f>IF(K20="","تکمیل نشده","OK")</x:f>
      </x:c>
      <x:c r="M20" s="28"/>
    </x:row>
    <x:row r="21" spans="1:13">
      <x:c r="A21" s="21">
        <x:v>2346</x:v>
      </x:c>
      <x:c r="B21" s="22" t="s">
        <x:v>1479</x:v>
      </x:c>
      <x:c r="C21" s="22" t="s">
        <x:v>1462</x:v>
      </x:c>
      <x:c r="D21" s="22" t="s">
        <x:v>199</x:v>
      </x:c>
      <x:c r="E21" s="22" t="s">
        <x:v>497</x:v>
      </x:c>
      <x:c r="F21" s="22" t="s">
        <x:v>1480</x:v>
      </x:c>
      <x:c r="G21" s="22">
        <x:v>1</x:v>
      </x:c>
      <x:c r="H21" s="23">
        <x:v>0</x:v>
      </x:c>
      <x:c r="I21" s="23">
        <x:v>2000</x:v>
      </x:c>
      <x:c r="J21" s="23">
        <x:f>H21-I21</x:f>
      </x:c>
      <x:c r="K21" s="27"/>
      <x:c r="L21" s="22">
        <x:f>IF(K21="","تکمیل نشده","OK")</x:f>
      </x:c>
      <x:c r="M21" s="28"/>
    </x:row>
    <x:row r="22" spans="1:13">
      <x:c r="A22" s="21">
        <x:v>1862</x:v>
      </x:c>
      <x:c r="B22" s="22" t="s">
        <x:v>1481</x:v>
      </x:c>
      <x:c r="C22" s="22" t="s">
        <x:v>1462</x:v>
      </x:c>
      <x:c r="D22" s="22" t="s">
        <x:v>194</x:v>
      </x:c>
      <x:c r="E22" s="22" t="s">
        <x:v>497</x:v>
      </x:c>
      <x:c r="F22" s="22" t="s">
        <x:v>260</x:v>
      </x:c>
      <x:c r="G22" s="22">
        <x:v>4</x:v>
      </x:c>
      <x:c r="H22" s="23">
        <x:v>10000000030</x:v>
      </x:c>
      <x:c r="I22" s="23">
        <x:v>0</x:v>
      </x:c>
      <x:c r="J22" s="23">
        <x:f>H22-I22</x:f>
      </x:c>
      <x:c r="K22" s="27"/>
      <x:c r="L22" s="22">
        <x:f>IF(K22="","تکمیل نشده","OK")</x:f>
      </x:c>
      <x:c r="M22" s="28"/>
    </x:row>
    <x:row r="23" spans="1:13">
      <x:c r="A23" s="21">
        <x:v>2087</x:v>
      </x:c>
      <x:c r="B23" s="22" t="s">
        <x:v>1482</x:v>
      </x:c>
      <x:c r="C23" s="22" t="s">
        <x:v>1462</x:v>
      </x:c>
      <x:c r="D23" s="22" t="s">
        <x:v>194</x:v>
      </x:c>
      <x:c r="E23" s="22" t="s">
        <x:v>497</x:v>
      </x:c>
      <x:c r="F23" s="22" t="s">
        <x:v>260</x:v>
      </x:c>
      <x:c r="G23" s="22">
        <x:v>6</x:v>
      </x:c>
      <x:c r="H23" s="23">
        <x:v>2000070</x:v>
      </x:c>
      <x:c r="I23" s="23">
        <x:v>10000</x:v>
      </x:c>
      <x:c r="J23" s="23">
        <x:f>H23-I23</x:f>
      </x:c>
      <x:c r="K23" s="27"/>
      <x:c r="L23" s="22">
        <x:f>IF(K23="","تکمیل نشده","OK")</x:f>
      </x:c>
      <x:c r="M23" s="28"/>
    </x:row>
    <x:row r="24" spans="1:13">
      <x:c r="A24" s="21">
        <x:v>1836</x:v>
      </x:c>
      <x:c r="B24" s="22" t="s">
        <x:v>1483</x:v>
      </x:c>
      <x:c r="C24" s="22" t="s">
        <x:v>1462</x:v>
      </x:c>
      <x:c r="D24" s="22" t="s">
        <x:v>194</x:v>
      </x:c>
      <x:c r="E24" s="22" t="s">
        <x:v>497</x:v>
      </x:c>
      <x:c r="F24" s="22" t="s">
        <x:v>1474</x:v>
      </x:c>
      <x:c r="G24" s="22">
        <x:v>1</x:v>
      </x:c>
      <x:c r="H24" s="23">
        <x:v>10000</x:v>
      </x:c>
      <x:c r="I24" s="23">
        <x:v>0</x:v>
      </x:c>
      <x:c r="J24" s="23">
        <x:f>H24-I24</x:f>
      </x:c>
      <x:c r="K24" s="27"/>
      <x:c r="L24" s="22">
        <x:f>IF(K24="","تکمیل نشده","OK")</x:f>
      </x:c>
      <x:c r="M24" s="28"/>
    </x:row>
    <x:row r="25" spans="1:13">
      <x:c r="A25" s="21">
        <x:v>2246</x:v>
      </x:c>
      <x:c r="B25" s="22" t="s">
        <x:v>1484</x:v>
      </x:c>
      <x:c r="C25" s="22" t="s">
        <x:v>1462</x:v>
      </x:c>
      <x:c r="D25" s="22" t="s">
        <x:v>194</x:v>
      </x:c>
      <x:c r="E25" s="22" t="s">
        <x:v>497</x:v>
      </x:c>
      <x:c r="F25" s="22" t="s">
        <x:v>1485</x:v>
      </x:c>
      <x:c r="G25" s="22">
        <x:v>16</x:v>
      </x:c>
      <x:c r="H25" s="23">
        <x:v>75556665</x:v>
      </x:c>
      <x:c r="I25" s="23">
        <x:v>40607770</x:v>
      </x:c>
      <x:c r="J25" s="23">
        <x:f>H25-I25</x:f>
      </x:c>
      <x:c r="K25" s="27"/>
      <x:c r="L25" s="22">
        <x:f>IF(K25="","تکمیل نشده","OK")</x:f>
      </x:c>
      <x:c r="M25" s="28"/>
    </x:row>
    <x:row r="26" spans="1:13">
      <x:c r="A26" s="21">
        <x:v>1922</x:v>
      </x:c>
      <x:c r="B26" s="22" t="s">
        <x:v>1486</x:v>
      </x:c>
      <x:c r="C26" s="22" t="s">
        <x:v>1462</x:v>
      </x:c>
      <x:c r="D26" s="22" t="s">
        <x:v>194</x:v>
      </x:c>
      <x:c r="E26" s="22" t="s">
        <x:v>497</x:v>
      </x:c>
      <x:c r="F26" s="22" t="s">
        <x:v>260</x:v>
      </x:c>
      <x:c r="G26" s="22">
        <x:v>3</x:v>
      </x:c>
      <x:c r="H26" s="23">
        <x:v>30</x:v>
      </x:c>
      <x:c r="I26" s="23">
        <x:v>20</x:v>
      </x:c>
      <x:c r="J26" s="23">
        <x:f>H26-I26</x:f>
      </x:c>
      <x:c r="K26" s="27"/>
      <x:c r="L26" s="22">
        <x:f>IF(K26="","تکمیل نشده","OK")</x:f>
      </x:c>
      <x:c r="M26" s="28"/>
    </x:row>
    <x:row r="27" spans="1:13">
      <x:c r="A27" s="21">
        <x:v>1833</x:v>
      </x:c>
      <x:c r="B27" s="22" t="s">
        <x:v>1487</x:v>
      </x:c>
      <x:c r="C27" s="22" t="s">
        <x:v>1462</x:v>
      </x:c>
      <x:c r="D27" s="22" t="s">
        <x:v>194</x:v>
      </x:c>
      <x:c r="E27" s="22" t="s">
        <x:v>497</x:v>
      </x:c>
      <x:c r="F27" s="22" t="s">
        <x:v>1478</x:v>
      </x:c>
      <x:c r="G27" s="22">
        <x:v>1</x:v>
      </x:c>
      <x:c r="H27" s="23">
        <x:v>0</x:v>
      </x:c>
      <x:c r="I27" s="23">
        <x:v>200000000</x:v>
      </x:c>
      <x:c r="J27" s="23">
        <x:f>H27-I27</x:f>
      </x:c>
      <x:c r="K27" s="27"/>
      <x:c r="L27" s="22">
        <x:f>IF(K27="","تکمیل نشده","OK")</x:f>
      </x:c>
      <x:c r="M27" s="28"/>
    </x:row>
    <x:row r="28" spans="1:13">
      <x:c r="A28" s="21">
        <x:v>2186</x:v>
      </x:c>
      <x:c r="B28" s="22" t="s">
        <x:v>1488</x:v>
      </x:c>
      <x:c r="C28" s="22" t="s">
        <x:v>1489</x:v>
      </x:c>
      <x:c r="D28" s="22" t="s">
        <x:v>194</x:v>
      </x:c>
      <x:c r="E28" s="22" t="s">
        <x:v>497</x:v>
      </x:c>
      <x:c r="F28" s="22" t="s">
        <x:v>1490</x:v>
      </x:c>
      <x:c r="G28" s="22">
        <x:v>2</x:v>
      </x:c>
      <x:c r="H28" s="23">
        <x:v>20000000</x:v>
      </x:c>
      <x:c r="I28" s="23">
        <x:v>40000000</x:v>
      </x:c>
      <x:c r="J28" s="23">
        <x:f>H28-I28</x:f>
      </x:c>
      <x:c r="K28" s="27"/>
      <x:c r="L28" s="22">
        <x:f>IF(K28="","تکمیل نشده","OK")</x:f>
      </x:c>
      <x:c r="M28" s="28"/>
    </x:row>
    <x:row r="29" spans="1:13">
      <x:c r="A29" s="21">
        <x:v>2187</x:v>
      </x:c>
      <x:c r="B29" s="22" t="s">
        <x:v>1491</x:v>
      </x:c>
      <x:c r="C29" s="22" t="s">
        <x:v>1489</x:v>
      </x:c>
      <x:c r="D29" s="22" t="s">
        <x:v>194</x:v>
      </x:c>
      <x:c r="E29" s="22" t="s">
        <x:v>497</x:v>
      </x:c>
      <x:c r="F29" s="22" t="s">
        <x:v>1490</x:v>
      </x:c>
      <x:c r="G29" s="22">
        <x:v>21</x:v>
      </x:c>
      <x:c r="H29" s="23">
        <x:v>107630480</x:v>
      </x:c>
      <x:c r="I29" s="23">
        <x:v>80646360</x:v>
      </x:c>
      <x:c r="J29" s="23">
        <x:f>H29-I29</x:f>
      </x:c>
      <x:c r="K29" s="27"/>
      <x:c r="L29" s="22">
        <x:f>IF(K29="","تکمیل نشده","OK")</x:f>
      </x:c>
      <x:c r="M29" s="28"/>
    </x:row>
    <x:row r="30" spans="1:13">
      <x:c r="A30" s="21">
        <x:v>326</x:v>
      </x:c>
      <x:c r="B30" s="22" t="s">
        <x:v>1492</x:v>
      </x:c>
      <x:c r="C30" s="22" t="s">
        <x:v>1493</x:v>
      </x:c>
      <x:c r="D30" s="22" t="s">
        <x:v>194</x:v>
      </x:c>
      <x:c r="E30" s="22" t="s">
        <x:v>497</x:v>
      </x:c>
      <x:c r="F30" s="22" t="s">
        <x:v>1494</x:v>
      </x:c>
      <x:c r="G30" s="22">
        <x:v>24</x:v>
      </x:c>
      <x:c r="H30" s="23">
        <x:v>47389450</x:v>
      </x:c>
      <x:c r="I30" s="23">
        <x:v>50000000</x:v>
      </x:c>
      <x:c r="J30" s="23">
        <x:f>H30-I30</x:f>
      </x:c>
      <x:c r="K30" s="27"/>
      <x:c r="L30" s="22">
        <x:f>IF(K30="","تکمیل نشده","OK")</x:f>
      </x:c>
      <x:c r="M30" s="28"/>
    </x:row>
    <x:row r="31" spans="1:13">
      <x:c r="A31" s="21">
        <x:v>1344</x:v>
      </x:c>
      <x:c r="B31" s="22" t="s">
        <x:v>1495</x:v>
      </x:c>
      <x:c r="C31" s="22" t="s">
        <x:v>1496</x:v>
      </x:c>
      <x:c r="D31" s="22" t="s">
        <x:v>194</x:v>
      </x:c>
      <x:c r="E31" s="22" t="s">
        <x:v>497</x:v>
      </x:c>
      <x:c r="F31" s="22" t="s">
        <x:v>1497</x:v>
      </x:c>
      <x:c r="G31" s="22">
        <x:v>2</x:v>
      </x:c>
      <x:c r="H31" s="23">
        <x:v>1052000</x:v>
      </x:c>
      <x:c r="I31" s="23">
        <x:v>0</x:v>
      </x:c>
      <x:c r="J31" s="23">
        <x:f>H31-I31</x:f>
      </x:c>
      <x:c r="K31" s="27"/>
      <x:c r="L31" s="22">
        <x:f>IF(K31="","تکمیل نشده","OK")</x:f>
      </x:c>
      <x:c r="M31" s="28"/>
    </x:row>
    <x:row r="32" spans="1:13">
      <x:c r="A32" s="21">
        <x:v>2206</x:v>
      </x:c>
      <x:c r="B32" s="22" t="s">
        <x:v>1498</x:v>
      </x:c>
      <x:c r="C32" s="22" t="s">
        <x:v>1499</x:v>
      </x:c>
      <x:c r="D32" s="22" t="s">
        <x:v>194</x:v>
      </x:c>
      <x:c r="E32" s="22" t="s">
        <x:v>497</x:v>
      </x:c>
      <x:c r="F32" s="22" t="s">
        <x:v>1500</x:v>
      </x:c>
      <x:c r="G32" s="22">
        <x:v>1</x:v>
      </x:c>
      <x:c r="H32" s="23">
        <x:v>495462</x:v>
      </x:c>
      <x:c r="I32" s="23">
        <x:v>0</x:v>
      </x:c>
      <x:c r="J32" s="23">
        <x:f>H32-I32</x:f>
      </x:c>
      <x:c r="K32" s="27"/>
      <x:c r="L32" s="22">
        <x:f>IF(K32="","تکمیل نشده","OK")</x:f>
      </x:c>
      <x:c r="M32" s="28"/>
    </x:row>
    <x:row r="33" spans="1:13">
      <x:c r="A33" s="21">
        <x:v>2387</x:v>
      </x:c>
      <x:c r="B33" s="22" t="s">
        <x:v>1501</x:v>
      </x:c>
      <x:c r="C33" s="22" t="s">
        <x:v>1502</x:v>
      </x:c>
      <x:c r="D33" s="22" t="s">
        <x:v>199</x:v>
      </x:c>
      <x:c r="E33" s="22" t="s">
        <x:v>497</x:v>
      </x:c>
      <x:c r="F33" s="22" t="s">
        <x:v>1503</x:v>
      </x:c>
      <x:c r="G33" s="22">
        <x:v>1</x:v>
      </x:c>
      <x:c r="H33" s="23">
        <x:v>0</x:v>
      </x:c>
      <x:c r="I33" s="23">
        <x:v>10</x:v>
      </x:c>
      <x:c r="J33" s="23">
        <x:f>H33-I33</x:f>
      </x:c>
      <x:c r="K33" s="27"/>
      <x:c r="L33" s="22">
        <x:f>IF(K33="","تکمیل نشده","OK")</x:f>
      </x:c>
      <x:c r="M33" s="28"/>
    </x:row>
    <x:row r="34" spans="1:13">
      <x:c r="A34" s="29">
        <x:v>2386</x:v>
      </x:c>
      <x:c r="B34" s="30" t="s">
        <x:v>1504</x:v>
      </x:c>
      <x:c r="C34" s="30" t="s">
        <x:v>1502</x:v>
      </x:c>
      <x:c r="D34" s="30" t="s">
        <x:v>199</x:v>
      </x:c>
      <x:c r="E34" s="30" t="s">
        <x:v>497</x:v>
      </x:c>
      <x:c r="F34" s="30" t="s">
        <x:v>1503</x:v>
      </x:c>
      <x:c r="G34" s="30">
        <x:v>1</x:v>
      </x:c>
      <x:c r="H34" s="31">
        <x:v>0</x:v>
      </x:c>
      <x:c r="I34" s="31">
        <x:v>10</x:v>
      </x:c>
      <x:c r="J34" s="31">
        <x:f>H34-I34</x:f>
      </x:c>
      <x:c r="K34" s="35"/>
      <x:c r="L34" s="30">
        <x:f>IF(K34="","تکمیل نشده","OK")</x:f>
      </x:c>
      <x:c r="M34" s="36"/>
    </x:row>
  </x:sheetData>
  <x:autoFilter ref="A1:M34"/>
  <x:conditionalFormatting sqref="L2:L34">
    <x:cfRule type="cellIs" dxfId="0" priority="1" operator="equal">
      <x:formula>"OK"</x:formula>
    </x:cfRule>
    <x:cfRule type="notContainsBlanks" dxfId="1" priority="2">
      <x:formula>LEN(TRIM(L2))&gt;0</x:formula>
    </x:cfRule>
  </x:conditionalFormatting>
  <x:dataValidations count="1">
    <x:dataValidation type="list" errorStyle="stop" operator="between" allowBlank="1" showDropDown="0" showInputMessage="1" showErrorMessage="1" errorTitle="" error="" promptTitle="" prompt="" sqref="K2:K34">
      <x:formula1>"در سیستم قدیم اصلاح و تراز می‌شود,به‌صورت یادداشت منتقل شود,منتقل نشود"</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4"/>
  <x:sheetViews>
    <x:sheetView rightToLeft="1" workbookViewId="0">
      <x:pane xSplit="0" ySplit="1" topLeftCell="A2" activePane="bottomLeft" state="frozenSplit"/>
    </x:sheetView>
  </x:sheetViews>
  <x:sheetFormatPr defaultRowHeight="15"/>
  <x:cols>
    <x:col min="9" max="16384" width="9.140625" style="1" customWidth="1"/>
    <x:col min="1" max="1" width="12.710625" style="1" customWidth="1"/>
    <x:col min="2" max="3" width="10.710625" style="1" customWidth="1"/>
    <x:col min="4" max="4" width="26.710625" style="1" customWidth="1"/>
    <x:col min="5" max="5" width="34.710625" style="1" customWidth="1"/>
    <x:col min="6" max="6" width="24.710625" style="1" customWidth="1"/>
    <x:col min="7" max="7" width="16.710625" style="1" customWidth="1"/>
    <x:col min="8" max="8" width="34.710625" style="1" customWidth="1"/>
  </x:cols>
  <x:sheetData>
    <x:row r="1" spans="1:8" ht="45" customHeight="1">
      <x:c r="A1" s="11" t="s">
        <x:v>1505</x:v>
      </x:c>
      <x:c r="B1" s="11" t="s">
        <x:v>1506</x:v>
      </x:c>
      <x:c r="C1" s="11" t="s">
        <x:v>1429</x:v>
      </x:c>
      <x:c r="D1" s="11" t="s">
        <x:v>1507</x:v>
      </x:c>
      <x:c r="E1" s="11" t="s">
        <x:v>1508</x:v>
      </x:c>
      <x:c r="F1" s="12" t="s">
        <x:v>1509</x:v>
      </x:c>
      <x:c r="G1" s="11" t="s">
        <x:v>11</x:v>
      </x:c>
      <x:c r="H1" s="12" t="s">
        <x:v>13</x:v>
      </x:c>
    </x:row>
    <x:row r="2" spans="1:8">
      <x:c r="A2" s="13" t="s">
        <x:v>199</x:v>
      </x:c>
      <x:c r="B2" s="14">
        <x:v>7</x:v>
      </x:c>
      <x:c r="C2" s="14">
        <x:v>8</x:v>
      </x:c>
      <x:c r="D2" s="14" t="s">
        <x:v>1510</x:v>
      </x:c>
      <x:c r="E2" s="16" t="s">
        <x:v>1511</x:v>
      </x:c>
      <x:c r="F2" s="19"/>
      <x:c r="G2" s="14">
        <x:f>IF(F2="","تکمیل نشده","OK")</x:f>
      </x:c>
      <x:c r="H2" s="20"/>
    </x:row>
    <x:row r="3" spans="1:8">
      <x:c r="A3" s="21" t="s">
        <x:v>194</x:v>
      </x:c>
      <x:c r="B3" s="22">
        <x:v>764</x:v>
      </x:c>
      <x:c r="C3" s="22">
        <x:v>6121</x:v>
      </x:c>
      <x:c r="D3" s="22" t="s">
        <x:v>1512</x:v>
      </x:c>
      <x:c r="E3" s="24" t="s">
        <x:v>1513</x:v>
      </x:c>
      <x:c r="F3" s="27"/>
      <x:c r="G3" s="22">
        <x:f>IF(F3="","تکمیل نشده","OK")</x:f>
      </x:c>
      <x:c r="H3" s="28"/>
    </x:row>
    <x:row r="4" spans="1:8">
      <x:c r="A4" s="29" t="s">
        <x:v>334</x:v>
      </x:c>
      <x:c r="B4" s="30">
        <x:v>254</x:v>
      </x:c>
      <x:c r="C4" s="30">
        <x:v>1784</x:v>
      </x:c>
      <x:c r="D4" s="30" t="s">
        <x:v>1514</x:v>
      </x:c>
      <x:c r="E4" s="32" t="s">
        <x:v>1515</x:v>
      </x:c>
      <x:c r="F4" s="35"/>
      <x:c r="G4" s="30">
        <x:f>IF(F4="","تکمیل نشده","OK")</x:f>
      </x:c>
      <x:c r="H4" s="36"/>
    </x:row>
  </x:sheetData>
  <x:autoFilter ref="A1:H4"/>
  <x:conditionalFormatting sqref="G2:G4">
    <x:cfRule type="cellIs" dxfId="0" priority="1" operator="equal">
      <x:formula>"OK"</x:formula>
    </x:cfRule>
    <x:cfRule type="notContainsBlanks" dxfId="1" priority="2">
      <x:formula>LEN(TRIM(G2))&gt;0</x:formula>
    </x:cfRule>
  </x:conditionalFormatting>
  <x:dataValidations count="1">
    <x:dataValidation type="list" errorStyle="stop" operator="between" allowBlank="1" showDropDown="0" showInputMessage="1" showErrorMessage="1" errorTitle="" error="" promptTitle="" prompt="" sqref="F2:F4">
      <x:formula1>"1 - یادداشت,2 - موقت,3 - بررسی‌شده,4 - تأیید دائم,منتقل نشود"</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118"/>
  <x:sheetViews>
    <x:sheetView rightToLeft="1" workbookViewId="0">
      <x:pane xSplit="0" ySplit="1" topLeftCell="A2" activePane="bottomLeft" state="frozenSplit"/>
    </x:sheetView>
  </x:sheetViews>
  <x:sheetFormatPr defaultRowHeight="15"/>
  <x:cols>
    <x:col min="5" max="16384" width="9.140625" style="1" customWidth="1"/>
    <x:col min="1" max="1" width="8.710625" style="1" customWidth="1"/>
    <x:col min="2" max="2" width="10.710625" style="1" customWidth="1"/>
    <x:col min="3" max="3" width="46.710625" style="1" customWidth="1"/>
    <x:col min="4" max="4" width="10.710625" style="1" customWidth="1"/>
  </x:cols>
  <x:sheetData>
    <x:row r="1" spans="1:4" ht="45" customHeight="1">
      <x:c r="A1" s="11" t="s">
        <x:v>1516</x:v>
      </x:c>
      <x:c r="B1" s="11" t="s">
        <x:v>1517</x:v>
      </x:c>
      <x:c r="C1" s="11" t="s">
        <x:v>1141</x:v>
      </x:c>
      <x:c r="D1" s="11" t="s">
        <x:v>1518</x:v>
      </x:c>
    </x:row>
    <x:row r="2" spans="1:4">
      <x:c r="A2" s="13" t="s">
        <x:v>1519</x:v>
      </x:c>
      <x:c r="B2" s="14" t="s">
        <x:v>305</x:v>
      </x:c>
      <x:c r="C2" s="14" t="s">
        <x:v>1520</x:v>
      </x:c>
      <x:c r="D2" s="37" t="s">
        <x:v>497</x:v>
      </x:c>
    </x:row>
    <x:row r="3" spans="1:4">
      <x:c r="A3" s="21" t="s">
        <x:v>1521</x:v>
      </x:c>
      <x:c r="B3" s="22" t="s">
        <x:v>1522</x:v>
      </x:c>
      <x:c r="C3" s="22" t="s">
        <x:v>1523</x:v>
      </x:c>
      <x:c r="D3" s="38" t="s">
        <x:v>202</x:v>
      </x:c>
    </x:row>
    <x:row r="4" spans="1:4">
      <x:c r="A4" s="21" t="s">
        <x:v>1521</x:v>
      </x:c>
      <x:c r="B4" s="22" t="s">
        <x:v>1524</x:v>
      </x:c>
      <x:c r="C4" s="22" t="s">
        <x:v>1525</x:v>
      </x:c>
      <x:c r="D4" s="38" t="s">
        <x:v>202</x:v>
      </x:c>
    </x:row>
    <x:row r="5" spans="1:4">
      <x:c r="A5" s="21" t="s">
        <x:v>1521</x:v>
      </x:c>
      <x:c r="B5" s="22" t="s">
        <x:v>1526</x:v>
      </x:c>
      <x:c r="C5" s="22" t="s">
        <x:v>1527</x:v>
      </x:c>
      <x:c r="D5" s="38" t="s">
        <x:v>202</x:v>
      </x:c>
    </x:row>
    <x:row r="6" spans="1:4">
      <x:c r="A6" s="21" t="s">
        <x:v>1519</x:v>
      </x:c>
      <x:c r="B6" s="22" t="s">
        <x:v>14</x:v>
      </x:c>
      <x:c r="C6" s="22" t="s">
        <x:v>1528</x:v>
      </x:c>
      <x:c r="D6" s="38" t="s">
        <x:v>497</x:v>
      </x:c>
    </x:row>
    <x:row r="7" spans="1:4">
      <x:c r="A7" s="21" t="s">
        <x:v>1521</x:v>
      </x:c>
      <x:c r="B7" s="22" t="s">
        <x:v>1529</x:v>
      </x:c>
      <x:c r="C7" s="22" t="s">
        <x:v>1530</x:v>
      </x:c>
      <x:c r="D7" s="38" t="s">
        <x:v>14</x:v>
      </x:c>
    </x:row>
    <x:row r="8" spans="1:4">
      <x:c r="A8" s="21" t="s">
        <x:v>1531</x:v>
      </x:c>
      <x:c r="B8" s="22" t="s">
        <x:v>1532</x:v>
      </x:c>
      <x:c r="C8" s="22" t="s">
        <x:v>1533</x:v>
      </x:c>
      <x:c r="D8" s="38" t="s">
        <x:v>1529</x:v>
      </x:c>
    </x:row>
    <x:row r="9" spans="1:4">
      <x:c r="A9" s="21" t="s">
        <x:v>1519</x:v>
      </x:c>
      <x:c r="B9" s="22" t="s">
        <x:v>18</x:v>
      </x:c>
      <x:c r="C9" s="22" t="s">
        <x:v>1534</x:v>
      </x:c>
      <x:c r="D9" s="38" t="s">
        <x:v>497</x:v>
      </x:c>
    </x:row>
    <x:row r="10" spans="1:4">
      <x:c r="A10" s="21" t="s">
        <x:v>1519</x:v>
      </x:c>
      <x:c r="B10" s="22" t="s">
        <x:v>197</x:v>
      </x:c>
      <x:c r="C10" s="22" t="s">
        <x:v>1535</x:v>
      </x:c>
      <x:c r="D10" s="38" t="s">
        <x:v>497</x:v>
      </x:c>
    </x:row>
    <x:row r="11" spans="1:4">
      <x:c r="A11" s="21" t="s">
        <x:v>1521</x:v>
      </x:c>
      <x:c r="B11" s="22" t="s">
        <x:v>32</x:v>
      </x:c>
      <x:c r="C11" s="22" t="s">
        <x:v>33</x:v>
      </x:c>
      <x:c r="D11" s="38" t="s">
        <x:v>197</x:v>
      </x:c>
    </x:row>
    <x:row r="12" spans="1:4">
      <x:c r="A12" s="21" t="s">
        <x:v>1531</x:v>
      </x:c>
      <x:c r="B12" s="22" t="s">
        <x:v>1536</x:v>
      </x:c>
      <x:c r="C12" s="22" t="s">
        <x:v>33</x:v>
      </x:c>
      <x:c r="D12" s="38" t="s">
        <x:v>32</x:v>
      </x:c>
    </x:row>
    <x:row r="13" spans="1:4">
      <x:c r="A13" s="21" t="s">
        <x:v>1521</x:v>
      </x:c>
      <x:c r="B13" s="22" t="s">
        <x:v>36</x:v>
      </x:c>
      <x:c r="C13" s="22" t="s">
        <x:v>37</x:v>
      </x:c>
      <x:c r="D13" s="38" t="s">
        <x:v>197</x:v>
      </x:c>
    </x:row>
    <x:row r="14" spans="1:4">
      <x:c r="A14" s="21" t="s">
        <x:v>1531</x:v>
      </x:c>
      <x:c r="B14" s="22" t="s">
        <x:v>1537</x:v>
      </x:c>
      <x:c r="C14" s="22" t="s">
        <x:v>37</x:v>
      </x:c>
      <x:c r="D14" s="38" t="s">
        <x:v>36</x:v>
      </x:c>
    </x:row>
    <x:row r="15" spans="1:4">
      <x:c r="A15" s="21" t="s">
        <x:v>1521</x:v>
      </x:c>
      <x:c r="B15" s="22" t="s">
        <x:v>43</x:v>
      </x:c>
      <x:c r="C15" s="22" t="s">
        <x:v>44</x:v>
      </x:c>
      <x:c r="D15" s="38" t="s">
        <x:v>197</x:v>
      </x:c>
    </x:row>
    <x:row r="16" spans="1:4">
      <x:c r="A16" s="21" t="s">
        <x:v>1531</x:v>
      </x:c>
      <x:c r="B16" s="22" t="s">
        <x:v>1538</x:v>
      </x:c>
      <x:c r="C16" s="22" t="s">
        <x:v>367</x:v>
      </x:c>
      <x:c r="D16" s="38" t="s">
        <x:v>43</x:v>
      </x:c>
    </x:row>
    <x:row r="17" spans="1:4">
      <x:c r="A17" s="21" t="s">
        <x:v>1531</x:v>
      </x:c>
      <x:c r="B17" s="22" t="s">
        <x:v>1539</x:v>
      </x:c>
      <x:c r="C17" s="22" t="s">
        <x:v>1540</x:v>
      </x:c>
      <x:c r="D17" s="38" t="s">
        <x:v>43</x:v>
      </x:c>
    </x:row>
    <x:row r="18" spans="1:4">
      <x:c r="A18" s="21" t="s">
        <x:v>1531</x:v>
      </x:c>
      <x:c r="B18" s="22" t="s">
        <x:v>1541</x:v>
      </x:c>
      <x:c r="C18" s="22" t="s">
        <x:v>375</x:v>
      </x:c>
      <x:c r="D18" s="38" t="s">
        <x:v>43</x:v>
      </x:c>
    </x:row>
    <x:row r="19" spans="1:4">
      <x:c r="A19" s="21" t="s">
        <x:v>1519</x:v>
      </x:c>
      <x:c r="B19" s="22" t="s">
        <x:v>30</x:v>
      </x:c>
      <x:c r="C19" s="22" t="s">
        <x:v>1542</x:v>
      </x:c>
      <x:c r="D19" s="38" t="s">
        <x:v>497</x:v>
      </x:c>
    </x:row>
    <x:row r="20" spans="1:4">
      <x:c r="A20" s="21" t="s">
        <x:v>1521</x:v>
      </x:c>
      <x:c r="B20" s="22" t="s">
        <x:v>1543</x:v>
      </x:c>
      <x:c r="C20" s="22" t="s">
        <x:v>1544</x:v>
      </x:c>
      <x:c r="D20" s="38" t="s">
        <x:v>34</x:v>
      </x:c>
    </x:row>
    <x:row r="21" spans="1:4">
      <x:c r="A21" s="21" t="s">
        <x:v>1521</x:v>
      </x:c>
      <x:c r="B21" s="22" t="s">
        <x:v>1545</x:v>
      </x:c>
      <x:c r="C21" s="22" t="s">
        <x:v>1546</x:v>
      </x:c>
      <x:c r="D21" s="38" t="s">
        <x:v>41</x:v>
      </x:c>
    </x:row>
    <x:row r="22" spans="1:4">
      <x:c r="A22" s="21" t="s">
        <x:v>1531</x:v>
      </x:c>
      <x:c r="B22" s="22" t="s">
        <x:v>1547</x:v>
      </x:c>
      <x:c r="C22" s="22" t="s">
        <x:v>1548</x:v>
      </x:c>
      <x:c r="D22" s="38" t="s">
        <x:v>1545</x:v>
      </x:c>
    </x:row>
    <x:row r="23" spans="1:4">
      <x:c r="A23" s="21" t="s">
        <x:v>1519</x:v>
      </x:c>
      <x:c r="B23" s="22" t="s">
        <x:v>205</x:v>
      </x:c>
      <x:c r="C23" s="22" t="s">
        <x:v>1528</x:v>
      </x:c>
      <x:c r="D23" s="38" t="s">
        <x:v>497</x:v>
      </x:c>
    </x:row>
    <x:row r="24" spans="1:4">
      <x:c r="A24" s="21" t="s">
        <x:v>1521</x:v>
      </x:c>
      <x:c r="B24" s="22" t="s">
        <x:v>47</x:v>
      </x:c>
      <x:c r="C24" s="22" t="s">
        <x:v>48</x:v>
      </x:c>
      <x:c r="D24" s="38" t="s">
        <x:v>205</x:v>
      </x:c>
    </x:row>
    <x:row r="25" spans="1:4">
      <x:c r="A25" s="21" t="s">
        <x:v>1531</x:v>
      </x:c>
      <x:c r="B25" s="22" t="s">
        <x:v>1549</x:v>
      </x:c>
      <x:c r="C25" s="22" t="s">
        <x:v>1550</x:v>
      </x:c>
      <x:c r="D25" s="38" t="s">
        <x:v>47</x:v>
      </x:c>
    </x:row>
    <x:row r="26" spans="1:4">
      <x:c r="A26" s="21" t="s">
        <x:v>1531</x:v>
      </x:c>
      <x:c r="B26" s="22" t="s">
        <x:v>1551</x:v>
      </x:c>
      <x:c r="C26" s="22" t="s">
        <x:v>1552</x:v>
      </x:c>
      <x:c r="D26" s="38" t="s">
        <x:v>47</x:v>
      </x:c>
    </x:row>
    <x:row r="27" spans="1:4">
      <x:c r="A27" s="21" t="s">
        <x:v>1531</x:v>
      </x:c>
      <x:c r="B27" s="22" t="s">
        <x:v>1553</x:v>
      </x:c>
      <x:c r="C27" s="22" t="s">
        <x:v>1554</x:v>
      </x:c>
      <x:c r="D27" s="38" t="s">
        <x:v>47</x:v>
      </x:c>
    </x:row>
    <x:row r="28" spans="1:4">
      <x:c r="A28" s="21" t="s">
        <x:v>1531</x:v>
      </x:c>
      <x:c r="B28" s="22" t="s">
        <x:v>1555</x:v>
      </x:c>
      <x:c r="C28" s="22" t="s">
        <x:v>1556</x:v>
      </x:c>
      <x:c r="D28" s="38" t="s">
        <x:v>51</x:v>
      </x:c>
    </x:row>
    <x:row r="29" spans="1:4">
      <x:c r="A29" s="21" t="s">
        <x:v>1521</x:v>
      </x:c>
      <x:c r="B29" s="22" t="s">
        <x:v>54</x:v>
      </x:c>
      <x:c r="C29" s="22" t="s">
        <x:v>53</x:v>
      </x:c>
      <x:c r="D29" s="38" t="s">
        <x:v>205</x:v>
      </x:c>
    </x:row>
    <x:row r="30" spans="1:4">
      <x:c r="A30" s="21" t="s">
        <x:v>1531</x:v>
      </x:c>
      <x:c r="B30" s="22" t="s">
        <x:v>1557</x:v>
      </x:c>
      <x:c r="C30" s="22" t="s">
        <x:v>1558</x:v>
      </x:c>
      <x:c r="D30" s="38" t="s">
        <x:v>54</x:v>
      </x:c>
    </x:row>
    <x:row r="31" spans="1:4">
      <x:c r="A31" s="21" t="s">
        <x:v>1531</x:v>
      </x:c>
      <x:c r="B31" s="22" t="s">
        <x:v>1559</x:v>
      </x:c>
      <x:c r="C31" s="22" t="s">
        <x:v>1560</x:v>
      </x:c>
      <x:c r="D31" s="38" t="s">
        <x:v>54</x:v>
      </x:c>
    </x:row>
    <x:row r="32" spans="1:4">
      <x:c r="A32" s="21" t="s">
        <x:v>1531</x:v>
      </x:c>
      <x:c r="B32" s="22" t="s">
        <x:v>1561</x:v>
      </x:c>
      <x:c r="C32" s="22" t="s">
        <x:v>1562</x:v>
      </x:c>
      <x:c r="D32" s="38" t="s">
        <x:v>54</x:v>
      </x:c>
    </x:row>
    <x:row r="33" spans="1:4">
      <x:c r="A33" s="21" t="s">
        <x:v>1531</x:v>
      </x:c>
      <x:c r="B33" s="22" t="s">
        <x:v>1563</x:v>
      </x:c>
      <x:c r="C33" s="22" t="s">
        <x:v>1564</x:v>
      </x:c>
      <x:c r="D33" s="38" t="s">
        <x:v>54</x:v>
      </x:c>
    </x:row>
    <x:row r="34" spans="1:4">
      <x:c r="A34" s="21" t="s">
        <x:v>1531</x:v>
      </x:c>
      <x:c r="B34" s="22" t="s">
        <x:v>1565</x:v>
      </x:c>
      <x:c r="C34" s="22" t="s">
        <x:v>390</x:v>
      </x:c>
      <x:c r="D34" s="38" t="s">
        <x:v>54</x:v>
      </x:c>
    </x:row>
    <x:row r="35" spans="1:4">
      <x:c r="A35" s="21" t="s">
        <x:v>1531</x:v>
      </x:c>
      <x:c r="B35" s="22" t="s">
        <x:v>1566</x:v>
      </x:c>
      <x:c r="C35" s="22" t="s">
        <x:v>1567</x:v>
      </x:c>
      <x:c r="D35" s="38" t="s">
        <x:v>54</x:v>
      </x:c>
    </x:row>
    <x:row r="36" spans="1:4">
      <x:c r="A36" s="21" t="s">
        <x:v>1521</x:v>
      </x:c>
      <x:c r="B36" s="22" t="s">
        <x:v>57</x:v>
      </x:c>
      <x:c r="C36" s="22" t="s">
        <x:v>58</x:v>
      </x:c>
      <x:c r="D36" s="38" t="s">
        <x:v>205</x:v>
      </x:c>
    </x:row>
    <x:row r="37" spans="1:4">
      <x:c r="A37" s="21" t="s">
        <x:v>1531</x:v>
      </x:c>
      <x:c r="B37" s="22" t="s">
        <x:v>1568</x:v>
      </x:c>
      <x:c r="C37" s="22" t="s">
        <x:v>56</x:v>
      </x:c>
      <x:c r="D37" s="38" t="s">
        <x:v>57</x:v>
      </x:c>
    </x:row>
    <x:row r="38" spans="1:4">
      <x:c r="A38" s="21" t="s">
        <x:v>1531</x:v>
      </x:c>
      <x:c r="B38" s="22" t="s">
        <x:v>1569</x:v>
      </x:c>
      <x:c r="C38" s="22" t="s">
        <x:v>1570</x:v>
      </x:c>
      <x:c r="D38" s="38" t="s">
        <x:v>57</x:v>
      </x:c>
    </x:row>
    <x:row r="39" spans="1:4">
      <x:c r="A39" s="21" t="s">
        <x:v>1521</x:v>
      </x:c>
      <x:c r="B39" s="22" t="s">
        <x:v>61</x:v>
      </x:c>
      <x:c r="C39" s="22" t="s">
        <x:v>62</x:v>
      </x:c>
      <x:c r="D39" s="38" t="s">
        <x:v>205</x:v>
      </x:c>
    </x:row>
    <x:row r="40" spans="1:4">
      <x:c r="A40" s="21" t="s">
        <x:v>1521</x:v>
      </x:c>
      <x:c r="B40" s="22" t="s">
        <x:v>65</x:v>
      </x:c>
      <x:c r="C40" s="22" t="s">
        <x:v>64</x:v>
      </x:c>
      <x:c r="D40" s="38" t="s">
        <x:v>205</x:v>
      </x:c>
    </x:row>
    <x:row r="41" spans="1:4">
      <x:c r="A41" s="21" t="s">
        <x:v>1531</x:v>
      </x:c>
      <x:c r="B41" s="22" t="s">
        <x:v>1571</x:v>
      </x:c>
      <x:c r="C41" s="22" t="s">
        <x:v>1572</x:v>
      </x:c>
      <x:c r="D41" s="38" t="s">
        <x:v>65</x:v>
      </x:c>
    </x:row>
    <x:row r="42" spans="1:4">
      <x:c r="A42" s="21" t="s">
        <x:v>1531</x:v>
      </x:c>
      <x:c r="B42" s="22" t="s">
        <x:v>1573</x:v>
      </x:c>
      <x:c r="C42" s="22" t="s">
        <x:v>1574</x:v>
      </x:c>
      <x:c r="D42" s="38" t="s">
        <x:v>65</x:v>
      </x:c>
    </x:row>
    <x:row r="43" spans="1:4">
      <x:c r="A43" s="21" t="s">
        <x:v>1531</x:v>
      </x:c>
      <x:c r="B43" s="22" t="s">
        <x:v>1575</x:v>
      </x:c>
      <x:c r="C43" s="22" t="s">
        <x:v>1576</x:v>
      </x:c>
      <x:c r="D43" s="38" t="s">
        <x:v>65</x:v>
      </x:c>
    </x:row>
    <x:row r="44" spans="1:4">
      <x:c r="A44" s="21" t="s">
        <x:v>1521</x:v>
      </x:c>
      <x:c r="B44" s="22" t="s">
        <x:v>68</x:v>
      </x:c>
      <x:c r="C44" s="22" t="s">
        <x:v>69</x:v>
      </x:c>
      <x:c r="D44" s="38" t="s">
        <x:v>205</x:v>
      </x:c>
    </x:row>
    <x:row r="45" spans="1:4">
      <x:c r="A45" s="21" t="s">
        <x:v>1521</x:v>
      </x:c>
      <x:c r="B45" s="22" t="s">
        <x:v>1577</x:v>
      </x:c>
      <x:c r="C45" s="22" t="s">
        <x:v>1578</x:v>
      </x:c>
      <x:c r="D45" s="38" t="s">
        <x:v>205</x:v>
      </x:c>
    </x:row>
    <x:row r="46" spans="1:4">
      <x:c r="A46" s="21" t="s">
        <x:v>1519</x:v>
      </x:c>
      <x:c r="B46" s="22" t="s">
        <x:v>200</x:v>
      </x:c>
      <x:c r="C46" s="22" t="s">
        <x:v>1542</x:v>
      </x:c>
      <x:c r="D46" s="38" t="s">
        <x:v>497</x:v>
      </x:c>
    </x:row>
    <x:row r="47" spans="1:4">
      <x:c r="A47" s="21" t="s">
        <x:v>1521</x:v>
      </x:c>
      <x:c r="B47" s="22" t="s">
        <x:v>72</x:v>
      </x:c>
      <x:c r="C47" s="22" t="s">
        <x:v>71</x:v>
      </x:c>
      <x:c r="D47" s="38" t="s">
        <x:v>200</x:v>
      </x:c>
    </x:row>
    <x:row r="48" spans="1:4">
      <x:c r="A48" s="21" t="s">
        <x:v>1521</x:v>
      </x:c>
      <x:c r="B48" s="22" t="s">
        <x:v>75</x:v>
      </x:c>
      <x:c r="C48" s="22" t="s">
        <x:v>76</x:v>
      </x:c>
      <x:c r="D48" s="38" t="s">
        <x:v>200</x:v>
      </x:c>
    </x:row>
    <x:row r="49" spans="1:4">
      <x:c r="A49" s="21" t="s">
        <x:v>1531</x:v>
      </x:c>
      <x:c r="B49" s="22" t="s">
        <x:v>1579</x:v>
      </x:c>
      <x:c r="C49" s="22" t="s">
        <x:v>1580</x:v>
      </x:c>
      <x:c r="D49" s="38" t="s">
        <x:v>75</x:v>
      </x:c>
    </x:row>
    <x:row r="50" spans="1:4">
      <x:c r="A50" s="21" t="s">
        <x:v>1521</x:v>
      </x:c>
      <x:c r="B50" s="22" t="s">
        <x:v>79</x:v>
      </x:c>
      <x:c r="C50" s="22" t="s">
        <x:v>80</x:v>
      </x:c>
      <x:c r="D50" s="38" t="s">
        <x:v>200</x:v>
      </x:c>
    </x:row>
    <x:row r="51" spans="1:4">
      <x:c r="A51" s="21" t="s">
        <x:v>1521</x:v>
      </x:c>
      <x:c r="B51" s="22" t="s">
        <x:v>1581</x:v>
      </x:c>
      <x:c r="C51" s="22" t="s">
        <x:v>1582</x:v>
      </x:c>
      <x:c r="D51" s="38" t="s">
        <x:v>200</x:v>
      </x:c>
    </x:row>
    <x:row r="52" spans="1:4">
      <x:c r="A52" s="21" t="s">
        <x:v>1519</x:v>
      </x:c>
      <x:c r="B52" s="22" t="s">
        <x:v>207</x:v>
      </x:c>
      <x:c r="C52" s="22" t="s">
        <x:v>1583</x:v>
      </x:c>
      <x:c r="D52" s="38" t="s">
        <x:v>497</x:v>
      </x:c>
    </x:row>
    <x:row r="53" spans="1:4">
      <x:c r="A53" s="21" t="s">
        <x:v>1521</x:v>
      </x:c>
      <x:c r="B53" s="22" t="s">
        <x:v>83</x:v>
      </x:c>
      <x:c r="C53" s="22" t="s">
        <x:v>84</x:v>
      </x:c>
      <x:c r="D53" s="38" t="s">
        <x:v>207</x:v>
      </x:c>
    </x:row>
    <x:row r="54" spans="1:4">
      <x:c r="A54" s="21" t="s">
        <x:v>1519</x:v>
      </x:c>
      <x:c r="B54" s="22" t="s">
        <x:v>81</x:v>
      </x:c>
      <x:c r="C54" s="22" t="s">
        <x:v>1584</x:v>
      </x:c>
      <x:c r="D54" s="38" t="s">
        <x:v>497</x:v>
      </x:c>
    </x:row>
    <x:row r="55" spans="1:4">
      <x:c r="A55" s="21" t="s">
        <x:v>1521</x:v>
      </x:c>
      <x:c r="B55" s="22" t="s">
        <x:v>1585</x:v>
      </x:c>
      <x:c r="C55" s="22" t="s">
        <x:v>1586</x:v>
      </x:c>
      <x:c r="D55" s="38" t="s">
        <x:v>81</x:v>
      </x:c>
    </x:row>
    <x:row r="56" spans="1:4">
      <x:c r="A56" s="21" t="s">
        <x:v>1531</x:v>
      </x:c>
      <x:c r="B56" s="22" t="s">
        <x:v>1587</x:v>
      </x:c>
      <x:c r="C56" s="22" t="s">
        <x:v>1588</x:v>
      </x:c>
      <x:c r="D56" s="38" t="s">
        <x:v>1585</x:v>
      </x:c>
    </x:row>
    <x:row r="57" spans="1:4">
      <x:c r="A57" s="21" t="s">
        <x:v>1519</x:v>
      </x:c>
      <x:c r="B57" s="22" t="s">
        <x:v>209</x:v>
      </x:c>
      <x:c r="C57" s="22" t="s">
        <x:v>1589</x:v>
      </x:c>
      <x:c r="D57" s="38" t="s">
        <x:v>497</x:v>
      </x:c>
    </x:row>
    <x:row r="58" spans="1:4">
      <x:c r="A58" s="21" t="s">
        <x:v>1521</x:v>
      </x:c>
      <x:c r="B58" s="22" t="s">
        <x:v>87</x:v>
      </x:c>
      <x:c r="C58" s="22" t="s">
        <x:v>88</x:v>
      </x:c>
      <x:c r="D58" s="38" t="s">
        <x:v>209</x:v>
      </x:c>
    </x:row>
    <x:row r="59" spans="1:4">
      <x:c r="A59" s="21" t="s">
        <x:v>1531</x:v>
      </x:c>
      <x:c r="B59" s="22" t="s">
        <x:v>1590</x:v>
      </x:c>
      <x:c r="C59" s="22" t="s">
        <x:v>1591</x:v>
      </x:c>
      <x:c r="D59" s="38" t="s">
        <x:v>87</x:v>
      </x:c>
    </x:row>
    <x:row r="60" spans="1:4">
      <x:c r="A60" s="21" t="s">
        <x:v>1531</x:v>
      </x:c>
      <x:c r="B60" s="22" t="s">
        <x:v>1592</x:v>
      </x:c>
      <x:c r="C60" s="22" t="s">
        <x:v>1593</x:v>
      </x:c>
      <x:c r="D60" s="38" t="s">
        <x:v>87</x:v>
      </x:c>
    </x:row>
    <x:row r="61" spans="1:4">
      <x:c r="A61" s="21" t="s">
        <x:v>1531</x:v>
      </x:c>
      <x:c r="B61" s="22" t="s">
        <x:v>1594</x:v>
      </x:c>
      <x:c r="C61" s="22" t="s">
        <x:v>1595</x:v>
      </x:c>
      <x:c r="D61" s="38" t="s">
        <x:v>87</x:v>
      </x:c>
    </x:row>
    <x:row r="62" spans="1:4">
      <x:c r="A62" s="21" t="s">
        <x:v>1521</x:v>
      </x:c>
      <x:c r="B62" s="22" t="s">
        <x:v>91</x:v>
      </x:c>
      <x:c r="C62" s="22" t="s">
        <x:v>92</x:v>
      </x:c>
      <x:c r="D62" s="38" t="s">
        <x:v>209</x:v>
      </x:c>
    </x:row>
    <x:row r="63" spans="1:4">
      <x:c r="A63" s="21" t="s">
        <x:v>1531</x:v>
      </x:c>
      <x:c r="B63" s="22" t="s">
        <x:v>1596</x:v>
      </x:c>
      <x:c r="C63" s="22" t="s">
        <x:v>1597</x:v>
      </x:c>
      <x:c r="D63" s="38" t="s">
        <x:v>91</x:v>
      </x:c>
    </x:row>
    <x:row r="64" spans="1:4">
      <x:c r="A64" s="21" t="s">
        <x:v>1521</x:v>
      </x:c>
      <x:c r="B64" s="22" t="s">
        <x:v>95</x:v>
      </x:c>
      <x:c r="C64" s="22" t="s">
        <x:v>96</x:v>
      </x:c>
      <x:c r="D64" s="38" t="s">
        <x:v>209</x:v>
      </x:c>
    </x:row>
    <x:row r="65" spans="1:4">
      <x:c r="A65" s="21" t="s">
        <x:v>1531</x:v>
      </x:c>
      <x:c r="B65" s="22" t="s">
        <x:v>1598</x:v>
      </x:c>
      <x:c r="C65" s="22" t="s">
        <x:v>1599</x:v>
      </x:c>
      <x:c r="D65" s="38" t="s">
        <x:v>95</x:v>
      </x:c>
    </x:row>
    <x:row r="66" spans="1:4">
      <x:c r="A66" s="21" t="s">
        <x:v>1531</x:v>
      </x:c>
      <x:c r="B66" s="22" t="s">
        <x:v>1600</x:v>
      </x:c>
      <x:c r="C66" s="22" t="s">
        <x:v>1601</x:v>
      </x:c>
      <x:c r="D66" s="38" t="s">
        <x:v>95</x:v>
      </x:c>
    </x:row>
    <x:row r="67" spans="1:4">
      <x:c r="A67" s="21" t="s">
        <x:v>1531</x:v>
      </x:c>
      <x:c r="B67" s="22" t="s">
        <x:v>1602</x:v>
      </x:c>
      <x:c r="C67" s="22" t="s">
        <x:v>1603</x:v>
      </x:c>
      <x:c r="D67" s="38" t="s">
        <x:v>95</x:v>
      </x:c>
    </x:row>
    <x:row r="68" spans="1:4">
      <x:c r="A68" s="21" t="s">
        <x:v>1531</x:v>
      </x:c>
      <x:c r="B68" s="22" t="s">
        <x:v>1604</x:v>
      </x:c>
      <x:c r="C68" s="22" t="s">
        <x:v>1605</x:v>
      </x:c>
      <x:c r="D68" s="38" t="s">
        <x:v>95</x:v>
      </x:c>
    </x:row>
    <x:row r="69" spans="1:4">
      <x:c r="A69" s="21" t="s">
        <x:v>1531</x:v>
      </x:c>
      <x:c r="B69" s="22" t="s">
        <x:v>1606</x:v>
      </x:c>
      <x:c r="C69" s="22" t="s">
        <x:v>1607</x:v>
      </x:c>
      <x:c r="D69" s="38" t="s">
        <x:v>95</x:v>
      </x:c>
    </x:row>
    <x:row r="70" spans="1:4">
      <x:c r="A70" s="21" t="s">
        <x:v>1531</x:v>
      </x:c>
      <x:c r="B70" s="22" t="s">
        <x:v>1608</x:v>
      </x:c>
      <x:c r="C70" s="22" t="s">
        <x:v>1609</x:v>
      </x:c>
      <x:c r="D70" s="38" t="s">
        <x:v>95</x:v>
      </x:c>
    </x:row>
    <x:row r="71" spans="1:4">
      <x:c r="A71" s="21" t="s">
        <x:v>1531</x:v>
      </x:c>
      <x:c r="B71" s="22" t="s">
        <x:v>1610</x:v>
      </x:c>
      <x:c r="C71" s="22" t="s">
        <x:v>1611</x:v>
      </x:c>
      <x:c r="D71" s="38" t="s">
        <x:v>95</x:v>
      </x:c>
    </x:row>
    <x:row r="72" spans="1:4">
      <x:c r="A72" s="21" t="s">
        <x:v>1531</x:v>
      </x:c>
      <x:c r="B72" s="22" t="s">
        <x:v>1612</x:v>
      </x:c>
      <x:c r="C72" s="22" t="s">
        <x:v>1613</x:v>
      </x:c>
      <x:c r="D72" s="38" t="s">
        <x:v>95</x:v>
      </x:c>
    </x:row>
    <x:row r="73" spans="1:4">
      <x:c r="A73" s="21" t="s">
        <x:v>1521</x:v>
      </x:c>
      <x:c r="B73" s="22" t="s">
        <x:v>99</x:v>
      </x:c>
      <x:c r="C73" s="22" t="s">
        <x:v>100</x:v>
      </x:c>
      <x:c r="D73" s="38" t="s">
        <x:v>209</x:v>
      </x:c>
    </x:row>
    <x:row r="74" spans="1:4">
      <x:c r="A74" s="21" t="s">
        <x:v>1531</x:v>
      </x:c>
      <x:c r="B74" s="22" t="s">
        <x:v>1614</x:v>
      </x:c>
      <x:c r="C74" s="22" t="s">
        <x:v>1615</x:v>
      </x:c>
      <x:c r="D74" s="38" t="s">
        <x:v>99</x:v>
      </x:c>
    </x:row>
    <x:row r="75" spans="1:4">
      <x:c r="A75" s="21" t="s">
        <x:v>1521</x:v>
      </x:c>
      <x:c r="B75" s="22" t="s">
        <x:v>103</x:v>
      </x:c>
      <x:c r="C75" s="22" t="s">
        <x:v>102</x:v>
      </x:c>
      <x:c r="D75" s="38" t="s">
        <x:v>209</x:v>
      </x:c>
    </x:row>
    <x:row r="76" spans="1:4">
      <x:c r="A76" s="21" t="s">
        <x:v>1531</x:v>
      </x:c>
      <x:c r="B76" s="22" t="s">
        <x:v>1616</x:v>
      </x:c>
      <x:c r="C76" s="22" t="s">
        <x:v>1617</x:v>
      </x:c>
      <x:c r="D76" s="38" t="s">
        <x:v>103</x:v>
      </x:c>
    </x:row>
    <x:row r="77" spans="1:4">
      <x:c r="A77" s="21" t="s">
        <x:v>1531</x:v>
      </x:c>
      <x:c r="B77" s="22" t="s">
        <x:v>1618</x:v>
      </x:c>
      <x:c r="C77" s="22" t="s">
        <x:v>1619</x:v>
      </x:c>
      <x:c r="D77" s="38" t="s">
        <x:v>103</x:v>
      </x:c>
    </x:row>
    <x:row r="78" spans="1:4">
      <x:c r="A78" s="21" t="s">
        <x:v>1531</x:v>
      </x:c>
      <x:c r="B78" s="22" t="s">
        <x:v>1620</x:v>
      </x:c>
      <x:c r="C78" s="22" t="s">
        <x:v>1621</x:v>
      </x:c>
      <x:c r="D78" s="38" t="s">
        <x:v>103</x:v>
      </x:c>
    </x:row>
    <x:row r="79" spans="1:4">
      <x:c r="A79" s="21" t="s">
        <x:v>1531</x:v>
      </x:c>
      <x:c r="B79" s="22" t="s">
        <x:v>1622</x:v>
      </x:c>
      <x:c r="C79" s="22" t="s">
        <x:v>1623</x:v>
      </x:c>
      <x:c r="D79" s="38" t="s">
        <x:v>103</x:v>
      </x:c>
    </x:row>
    <x:row r="80" spans="1:4">
      <x:c r="A80" s="21" t="s">
        <x:v>1531</x:v>
      </x:c>
      <x:c r="B80" s="22" t="s">
        <x:v>1624</x:v>
      </x:c>
      <x:c r="C80" s="22" t="s">
        <x:v>1625</x:v>
      </x:c>
      <x:c r="D80" s="38" t="s">
        <x:v>103</x:v>
      </x:c>
    </x:row>
    <x:row r="81" spans="1:4">
      <x:c r="A81" s="21" t="s">
        <x:v>1531</x:v>
      </x:c>
      <x:c r="B81" s="22" t="s">
        <x:v>1626</x:v>
      </x:c>
      <x:c r="C81" s="22" t="s">
        <x:v>1627</x:v>
      </x:c>
      <x:c r="D81" s="38" t="s">
        <x:v>103</x:v>
      </x:c>
    </x:row>
    <x:row r="82" spans="1:4">
      <x:c r="A82" s="21" t="s">
        <x:v>1531</x:v>
      </x:c>
      <x:c r="B82" s="22" t="s">
        <x:v>1628</x:v>
      </x:c>
      <x:c r="C82" s="22" t="s">
        <x:v>1629</x:v>
      </x:c>
      <x:c r="D82" s="38" t="s">
        <x:v>103</x:v>
      </x:c>
    </x:row>
    <x:row r="83" spans="1:4">
      <x:c r="A83" s="21" t="s">
        <x:v>1531</x:v>
      </x:c>
      <x:c r="B83" s="22" t="s">
        <x:v>1630</x:v>
      </x:c>
      <x:c r="C83" s="22" t="s">
        <x:v>1631</x:v>
      </x:c>
      <x:c r="D83" s="38" t="s">
        <x:v>103</x:v>
      </x:c>
    </x:row>
    <x:row r="84" spans="1:4">
      <x:c r="A84" s="21" t="s">
        <x:v>1521</x:v>
      </x:c>
      <x:c r="B84" s="22" t="s">
        <x:v>109</x:v>
      </x:c>
      <x:c r="C84" s="22" t="s">
        <x:v>110</x:v>
      </x:c>
      <x:c r="D84" s="38" t="s">
        <x:v>209</x:v>
      </x:c>
    </x:row>
    <x:row r="85" spans="1:4">
      <x:c r="A85" s="21" t="s">
        <x:v>1531</x:v>
      </x:c>
      <x:c r="B85" s="22" t="s">
        <x:v>1632</x:v>
      </x:c>
      <x:c r="C85" s="22" t="s">
        <x:v>1633</x:v>
      </x:c>
      <x:c r="D85" s="38" t="s">
        <x:v>109</x:v>
      </x:c>
    </x:row>
    <x:row r="86" spans="1:4">
      <x:c r="A86" s="21" t="s">
        <x:v>1531</x:v>
      </x:c>
      <x:c r="B86" s="22" t="s">
        <x:v>1634</x:v>
      </x:c>
      <x:c r="C86" s="22" t="s">
        <x:v>1635</x:v>
      </x:c>
      <x:c r="D86" s="38" t="s">
        <x:v>109</x:v>
      </x:c>
    </x:row>
    <x:row r="87" spans="1:4">
      <x:c r="A87" s="21" t="s">
        <x:v>1519</x:v>
      </x:c>
      <x:c r="B87" s="22" t="s">
        <x:v>362</x:v>
      </x:c>
      <x:c r="C87" s="22" t="s">
        <x:v>1636</x:v>
      </x:c>
      <x:c r="D87" s="38" t="s">
        <x:v>497</x:v>
      </x:c>
    </x:row>
    <x:row r="88" spans="1:4">
      <x:c r="A88" s="21" t="s">
        <x:v>1521</x:v>
      </x:c>
      <x:c r="B88" s="22" t="s">
        <x:v>113</x:v>
      </x:c>
      <x:c r="C88" s="22" t="s">
        <x:v>114</x:v>
      </x:c>
      <x:c r="D88" s="38" t="s">
        <x:v>362</x:v>
      </x:c>
    </x:row>
    <x:row r="89" spans="1:4">
      <x:c r="A89" s="21" t="s">
        <x:v>1531</x:v>
      </x:c>
      <x:c r="B89" s="22" t="s">
        <x:v>1637</x:v>
      </x:c>
      <x:c r="C89" s="22" t="s">
        <x:v>114</x:v>
      </x:c>
      <x:c r="D89" s="38" t="s">
        <x:v>113</x:v>
      </x:c>
    </x:row>
    <x:row r="90" spans="1:4">
      <x:c r="A90" s="21" t="s">
        <x:v>1521</x:v>
      </x:c>
      <x:c r="B90" s="22" t="s">
        <x:v>117</x:v>
      </x:c>
      <x:c r="C90" s="22" t="s">
        <x:v>118</x:v>
      </x:c>
      <x:c r="D90" s="38" t="s">
        <x:v>362</x:v>
      </x:c>
    </x:row>
    <x:row r="91" spans="1:4">
      <x:c r="A91" s="21" t="s">
        <x:v>1531</x:v>
      </x:c>
      <x:c r="B91" s="22" t="s">
        <x:v>1638</x:v>
      </x:c>
      <x:c r="C91" s="22" t="s">
        <x:v>1639</x:v>
      </x:c>
      <x:c r="D91" s="38" t="s">
        <x:v>117</x:v>
      </x:c>
    </x:row>
    <x:row r="92" spans="1:4">
      <x:c r="A92" s="21" t="s">
        <x:v>1531</x:v>
      </x:c>
      <x:c r="B92" s="22" t="s">
        <x:v>1640</x:v>
      </x:c>
      <x:c r="C92" s="22" t="s">
        <x:v>1641</x:v>
      </x:c>
      <x:c r="D92" s="38" t="s">
        <x:v>117</x:v>
      </x:c>
    </x:row>
    <x:row r="93" spans="1:4">
      <x:c r="A93" s="21" t="s">
        <x:v>1531</x:v>
      </x:c>
      <x:c r="B93" s="22" t="s">
        <x:v>1642</x:v>
      </x:c>
      <x:c r="C93" s="22" t="s">
        <x:v>1643</x:v>
      </x:c>
      <x:c r="D93" s="38" t="s">
        <x:v>117</x:v>
      </x:c>
    </x:row>
    <x:row r="94" spans="1:4">
      <x:c r="A94" s="21" t="s">
        <x:v>1521</x:v>
      </x:c>
      <x:c r="B94" s="22" t="s">
        <x:v>121</x:v>
      </x:c>
      <x:c r="C94" s="22" t="s">
        <x:v>122</x:v>
      </x:c>
      <x:c r="D94" s="38" t="s">
        <x:v>362</x:v>
      </x:c>
    </x:row>
    <x:row r="95" spans="1:4">
      <x:c r="A95" s="21" t="s">
        <x:v>1521</x:v>
      </x:c>
      <x:c r="B95" s="22" t="s">
        <x:v>1644</x:v>
      </x:c>
      <x:c r="C95" s="22" t="s">
        <x:v>1645</x:v>
      </x:c>
      <x:c r="D95" s="38" t="s">
        <x:v>362</x:v>
      </x:c>
    </x:row>
    <x:row r="96" spans="1:4">
      <x:c r="A96" s="21" t="s">
        <x:v>1521</x:v>
      </x:c>
      <x:c r="B96" s="22" t="s">
        <x:v>1646</x:v>
      </x:c>
      <x:c r="C96" s="22" t="s">
        <x:v>1647</x:v>
      </x:c>
      <x:c r="D96" s="38" t="s">
        <x:v>362</x:v>
      </x:c>
    </x:row>
    <x:row r="97" spans="1:4">
      <x:c r="A97" s="21" t="s">
        <x:v>1521</x:v>
      </x:c>
      <x:c r="B97" s="22" t="s">
        <x:v>125</x:v>
      </x:c>
      <x:c r="C97" s="22" t="s">
        <x:v>126</x:v>
      </x:c>
      <x:c r="D97" s="38" t="s">
        <x:v>362</x:v>
      </x:c>
    </x:row>
    <x:row r="98" spans="1:4">
      <x:c r="A98" s="21" t="s">
        <x:v>1521</x:v>
      </x:c>
      <x:c r="B98" s="22" t="s">
        <x:v>1648</x:v>
      </x:c>
      <x:c r="C98" s="22" t="s">
        <x:v>1649</x:v>
      </x:c>
      <x:c r="D98" s="38" t="s">
        <x:v>362</x:v>
      </x:c>
    </x:row>
    <x:row r="99" spans="1:4">
      <x:c r="A99" s="21" t="s">
        <x:v>1521</x:v>
      </x:c>
      <x:c r="B99" s="22" t="s">
        <x:v>129</x:v>
      </x:c>
      <x:c r="C99" s="22" t="s">
        <x:v>130</x:v>
      </x:c>
      <x:c r="D99" s="38" t="s">
        <x:v>362</x:v>
      </x:c>
    </x:row>
    <x:row r="100" spans="1:4">
      <x:c r="A100" s="21" t="s">
        <x:v>1521</x:v>
      </x:c>
      <x:c r="B100" s="22" t="s">
        <x:v>133</x:v>
      </x:c>
      <x:c r="C100" s="22" t="s">
        <x:v>134</x:v>
      </x:c>
      <x:c r="D100" s="38" t="s">
        <x:v>362</x:v>
      </x:c>
    </x:row>
    <x:row r="101" spans="1:4">
      <x:c r="A101" s="21" t="s">
        <x:v>1521</x:v>
      </x:c>
      <x:c r="B101" s="22" t="s">
        <x:v>137</x:v>
      </x:c>
      <x:c r="C101" s="22" t="s">
        <x:v>136</x:v>
      </x:c>
      <x:c r="D101" s="38" t="s">
        <x:v>211</x:v>
      </x:c>
    </x:row>
    <x:row r="102" spans="1:4">
      <x:c r="A102" s="21" t="s">
        <x:v>1521</x:v>
      </x:c>
      <x:c r="B102" s="22" t="s">
        <x:v>140</x:v>
      </x:c>
      <x:c r="C102" s="22" t="s">
        <x:v>141</x:v>
      </x:c>
      <x:c r="D102" s="38" t="s">
        <x:v>211</x:v>
      </x:c>
    </x:row>
    <x:row r="103" spans="1:4">
      <x:c r="A103" s="21" t="s">
        <x:v>1521</x:v>
      </x:c>
      <x:c r="B103" s="22" t="s">
        <x:v>144</x:v>
      </x:c>
      <x:c r="C103" s="22" t="s">
        <x:v>145</x:v>
      </x:c>
      <x:c r="D103" s="38" t="s">
        <x:v>211</x:v>
      </x:c>
    </x:row>
    <x:row r="104" spans="1:4">
      <x:c r="A104" s="21" t="s">
        <x:v>1521</x:v>
      </x:c>
      <x:c r="B104" s="22" t="s">
        <x:v>1650</x:v>
      </x:c>
      <x:c r="C104" s="22" t="s">
        <x:v>1651</x:v>
      </x:c>
      <x:c r="D104" s="38" t="s">
        <x:v>211</x:v>
      </x:c>
    </x:row>
    <x:row r="105" spans="1:4">
      <x:c r="A105" s="21" t="s">
        <x:v>1519</x:v>
      </x:c>
      <x:c r="B105" s="22" t="s">
        <x:v>1652</x:v>
      </x:c>
      <x:c r="C105" s="22" t="s">
        <x:v>1653</x:v>
      </x:c>
      <x:c r="D105" s="38" t="s">
        <x:v>497</x:v>
      </x:c>
    </x:row>
    <x:row r="106" spans="1:4">
      <x:c r="A106" s="21" t="s">
        <x:v>1519</x:v>
      </x:c>
      <x:c r="B106" s="22" t="s">
        <x:v>213</x:v>
      </x:c>
      <x:c r="C106" s="22" t="s">
        <x:v>1654</x:v>
      </x:c>
      <x:c r="D106" s="38" t="s">
        <x:v>497</x:v>
      </x:c>
    </x:row>
    <x:row r="107" spans="1:4">
      <x:c r="A107" s="21" t="s">
        <x:v>1521</x:v>
      </x:c>
      <x:c r="B107" s="22" t="s">
        <x:v>151</x:v>
      </x:c>
      <x:c r="C107" s="22" t="s">
        <x:v>150</x:v>
      </x:c>
      <x:c r="D107" s="38" t="s">
        <x:v>213</x:v>
      </x:c>
    </x:row>
    <x:row r="108" spans="1:4">
      <x:c r="A108" s="21" t="s">
        <x:v>1521</x:v>
      </x:c>
      <x:c r="B108" s="22" t="s">
        <x:v>154</x:v>
      </x:c>
      <x:c r="C108" s="22" t="s">
        <x:v>153</x:v>
      </x:c>
      <x:c r="D108" s="38" t="s">
        <x:v>213</x:v>
      </x:c>
    </x:row>
    <x:row r="109" spans="1:4">
      <x:c r="A109" s="21" t="s">
        <x:v>1521</x:v>
      </x:c>
      <x:c r="B109" s="22" t="s">
        <x:v>157</x:v>
      </x:c>
      <x:c r="C109" s="22" t="s">
        <x:v>156</x:v>
      </x:c>
      <x:c r="D109" s="38" t="s">
        <x:v>213</x:v>
      </x:c>
    </x:row>
    <x:row r="110" spans="1:4">
      <x:c r="A110" s="21" t="s">
        <x:v>1521</x:v>
      </x:c>
      <x:c r="B110" s="22" t="s">
        <x:v>1655</x:v>
      </x:c>
      <x:c r="C110" s="22" t="s">
        <x:v>1656</x:v>
      </x:c>
      <x:c r="D110" s="38" t="s">
        <x:v>213</x:v>
      </x:c>
    </x:row>
    <x:row r="111" spans="1:4">
      <x:c r="A111" s="21" t="s">
        <x:v>1521</x:v>
      </x:c>
      <x:c r="B111" s="22" t="s">
        <x:v>160</x:v>
      </x:c>
      <x:c r="C111" s="22" t="s">
        <x:v>161</x:v>
      </x:c>
      <x:c r="D111" s="38" t="s">
        <x:v>213</x:v>
      </x:c>
    </x:row>
    <x:row r="112" spans="1:4">
      <x:c r="A112" s="21" t="s">
        <x:v>1521</x:v>
      </x:c>
      <x:c r="B112" s="22" t="s">
        <x:v>164</x:v>
      </x:c>
      <x:c r="C112" s="22" t="s">
        <x:v>165</x:v>
      </x:c>
      <x:c r="D112" s="38" t="s">
        <x:v>213</x:v>
      </x:c>
    </x:row>
    <x:row r="113" spans="1:4">
      <x:c r="A113" s="21" t="s">
        <x:v>1521</x:v>
      </x:c>
      <x:c r="B113" s="22" t="s">
        <x:v>168</x:v>
      </x:c>
      <x:c r="C113" s="22" t="s">
        <x:v>169</x:v>
      </x:c>
      <x:c r="D113" s="38" t="s">
        <x:v>213</x:v>
      </x:c>
    </x:row>
    <x:row r="114" spans="1:4">
      <x:c r="A114" s="21" t="s">
        <x:v>1521</x:v>
      </x:c>
      <x:c r="B114" s="22" t="s">
        <x:v>172</x:v>
      </x:c>
      <x:c r="C114" s="22" t="s">
        <x:v>173</x:v>
      </x:c>
      <x:c r="D114" s="38" t="s">
        <x:v>213</x:v>
      </x:c>
    </x:row>
    <x:row r="115" spans="1:4">
      <x:c r="A115" s="21" t="s">
        <x:v>1521</x:v>
      </x:c>
      <x:c r="B115" s="22" t="s">
        <x:v>176</x:v>
      </x:c>
      <x:c r="C115" s="22" t="s">
        <x:v>177</x:v>
      </x:c>
      <x:c r="D115" s="38" t="s">
        <x:v>213</x:v>
      </x:c>
    </x:row>
    <x:row r="116" spans="1:4">
      <x:c r="A116" s="21" t="s">
        <x:v>1519</x:v>
      </x:c>
      <x:c r="B116" s="22" t="s">
        <x:v>152</x:v>
      </x:c>
      <x:c r="C116" s="22" t="s">
        <x:v>1657</x:v>
      </x:c>
      <x:c r="D116" s="38" t="s">
        <x:v>497</x:v>
      </x:c>
    </x:row>
    <x:row r="117" spans="1:4">
      <x:c r="A117" s="21" t="s">
        <x:v>1521</x:v>
      </x:c>
      <x:c r="B117" s="22" t="s">
        <x:v>1658</x:v>
      </x:c>
      <x:c r="C117" s="22" t="s">
        <x:v>1659</x:v>
      </x:c>
      <x:c r="D117" s="38" t="s">
        <x:v>152</x:v>
      </x:c>
    </x:row>
    <x:row r="118" spans="1:4">
      <x:c r="A118" s="29" t="s">
        <x:v>1531</x:v>
      </x:c>
      <x:c r="B118" s="30" t="s">
        <x:v>1660</x:v>
      </x:c>
      <x:c r="C118" s="30" t="s">
        <x:v>1661</x:v>
      </x:c>
      <x:c r="D118" s="39" t="s">
        <x:v>1658</x:v>
      </x:c>
    </x:row>
  </x:sheetData>
  <x:autoFilter ref="A1:D118"/>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4">
      <vt:lpstr>راهنما</vt:lpstr>
      <vt:lpstr>تطبیق کل</vt:lpstr>
      <vt:lpstr>تطبیق معین</vt:lpstr>
      <vt:lpstr>تفصیلی‌ها</vt:lpstr>
      <vt:lpstr>فعالیت و مرکز هزینه</vt:lpstr>
      <vt:lpstr>اسناد ناتراز</vt:lpstr>
      <vt:lpstr>وضعیت سند</vt:lpstr>
      <vt:lpstr>درخت جدید</vt:lpstr>
      <vt:lpstr>راهنما!Print_Area</vt:lpstr>
      <vt:lpstr>راهنما!Print_Titles</vt:lpstr>
      <vt:lpstr>تطبیق کل!Print_Area</vt:lpstr>
      <vt:lpstr>تطبیق کل!Print_Titles</vt:lpstr>
      <vt:lpstr>تطبیق معین!Print_Area</vt:lpstr>
      <vt:lpstr>تطبیق معین!Print_Titles</vt:lpstr>
      <vt:lpstr>تفصیلی‌ها!Print_Area</vt:lpstr>
      <vt:lpstr>تفصیلی‌ها!Print_Titles</vt:lpstr>
      <vt:lpstr>فعالیت و مرکز هزینه!Print_Area</vt:lpstr>
      <vt:lpstr>فعالیت و مرکز هزینه!Print_Titles</vt:lpstr>
      <vt:lpstr>اسناد ناتراز!Print_Area</vt:lpstr>
      <vt:lpstr>اسناد ناتراز!Print_Titles</vt:lpstr>
      <vt:lpstr>وضعیت سند!Print_Area</vt:lpstr>
      <vt:lpstr>وضعیت سند!Print_Titles</vt:lpstr>
      <vt:lpstr>درخت جدید!Print_Area</vt:lpstr>
      <vt:lpstr>درخت جدید!Print_Titles</vt:lpstr>
    </vt:vector>
  </ap:TitlesOfParts>
  <ap:HeadingPairs>
    <vt:vector baseType="variant" size="4">
      <vt:variant>
        <vt:lpstr>Worksheets</vt:lpstr>
      </vt:variant>
      <vt:variant>
        <vt:i4>8</vt:i4>
      </vt:variant>
      <vt:variant>
        <vt:lpstr>Named Ranges</vt:lpstr>
      </vt:variant>
      <vt:variant>
        <vt:i4>16</vt:i4>
      </vt:variant>
    </vt:vector>
  </ap:HeadingPairs>
  <ap:DocSecurity>0</ap:DocSecurity>
  <ap:ScaleCrop>false</ap:ScaleCrop>
</ap:Properties>
</file>