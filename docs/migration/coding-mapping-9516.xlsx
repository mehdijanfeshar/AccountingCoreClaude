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499ecb31d04a2a" /><Relationship Type="http://schemas.openxmlformats.org/officeDocument/2006/relationships/extended-properties" Target="/docProps/app.xml" Id="rId1" /><Relationship Type="http://schemas.openxmlformats.org/package/2006/relationships/metadata/core-properties" Target="/package/services/metadata/core-properties/a2a04a162d6f4794a8bf0df32e7436d0.psmdcp" Id="Rffd494a20e8b489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جزء و ریز"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معین'!$A$1:$W$313</x:definedName>
    <x:definedName name="_xlnm._FilterDatabase" localSheetId="3" hidden="1">تفصیلی‌ها!$A$1:$S$514</x:definedName>
    <x:definedName name="_xlnm._FilterDatabase" localSheetId="4" hidden="1">'جزء و ریز'!$A$1:$H$134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جدید'!$A$1:$E$154</x:definedName>
  </x:definedNames>
  <x:calcPr calcId="125725"/>
</x:workbook>
</file>

<file path=xl/calcChain.xml><?xml version="1.0" encoding="utf-8"?>
<x:calcChain xmlns:x="http://schemas.openxmlformats.org/spreadsheetml/2006/main">
  <x:c r="B24" i="1"/>
  <x:c r="B25" i="1"/>
  <x:c r="B26" i="1"/>
  <x:c r="B27" i="1"/>
  <x:c r="B28" i="1"/>
  <x:c r="B29" i="1"/>
  <x:c r="B30" i="1"/>
  <x:c r="K2" i="2"/>
  <x:c r="L2" i="2"/>
  <x:c r="K3" i="2"/>
  <x:c r="L3" i="2"/>
  <x:c r="K4" i="2"/>
  <x:c r="L4" i="2"/>
  <x:c r="K5" i="2"/>
  <x:c r="L5" i="2"/>
  <x:c r="K6" i="2"/>
  <x:c r="L6" i="2"/>
  <x:c r="K7" i="2"/>
  <x:c r="L7" i="2"/>
  <x:c r="K8" i="2"/>
  <x:c r="L8" i="2"/>
  <x:c r="K9" i="2"/>
  <x:c r="L9" i="2"/>
  <x:c r="K10" i="2"/>
  <x:c r="L10" i="2"/>
  <x:c r="K11" i="2"/>
  <x:c r="L11" i="2"/>
  <x:c r="K12" i="2"/>
  <x:c r="L12" i="2"/>
  <x:c r="K13" i="2"/>
  <x:c r="L13" i="2"/>
  <x:c r="K14" i="2"/>
  <x:c r="L14" i="2"/>
  <x:c r="K15" i="2"/>
  <x:c r="L15" i="2"/>
  <x:c r="K16" i="2"/>
  <x:c r="L16" i="2"/>
  <x:c r="K17" i="2"/>
  <x:c r="L17" i="2"/>
  <x:c r="K18" i="2"/>
  <x:c r="L18" i="2"/>
  <x:c r="K19" i="2"/>
  <x:c r="L19" i="2"/>
  <x:c r="K20" i="2"/>
  <x:c r="L20" i="2"/>
  <x:c r="K21" i="2"/>
  <x:c r="L21" i="2"/>
  <x:c r="K22" i="2"/>
  <x:c r="L22" i="2"/>
  <x:c r="K23" i="2"/>
  <x:c r="L23" i="2"/>
  <x:c r="K24" i="2"/>
  <x:c r="L24" i="2"/>
  <x:c r="K25" i="2"/>
  <x:c r="L25" i="2"/>
  <x:c r="K26" i="2"/>
  <x:c r="L26" i="2"/>
  <x:c r="K27" i="2"/>
  <x:c r="L27" i="2"/>
  <x:c r="K28" i="2"/>
  <x:c r="L28" i="2"/>
  <x:c r="K29" i="2"/>
  <x:c r="L29" i="2"/>
  <x:c r="K30" i="2"/>
  <x:c r="L30" i="2"/>
  <x:c r="K31" i="2"/>
  <x:c r="L31" i="2"/>
  <x:c r="K32" i="2"/>
  <x:c r="L32" i="2"/>
  <x:c r="K33" i="2"/>
  <x:c r="L33" i="2"/>
  <x:c r="K34" i="2"/>
  <x:c r="L34" i="2"/>
  <x:c r="K35" i="2"/>
  <x:c r="L35" i="2"/>
  <x:c r="K36" i="2"/>
  <x:c r="L36" i="2"/>
  <x:c r="K37" i="2"/>
  <x:c r="L37" i="2"/>
  <x:c r="K38" i="2"/>
  <x:c r="L38" i="2"/>
  <x:c r="K39" i="2"/>
  <x:c r="L39" i="2"/>
  <x:c r="K40" i="2"/>
  <x:c r="L40" i="2"/>
  <x:c r="K41" i="2"/>
  <x:c r="L41" i="2"/>
  <x:c r="K42" i="2"/>
  <x:c r="L42" i="2"/>
  <x:c r="K43" i="2"/>
  <x:c r="L43" i="2"/>
  <x:c r="K44" i="2"/>
  <x:c r="L44" i="2"/>
  <x:c r="K45" i="2"/>
  <x:c r="L45" i="2"/>
  <x:c r="K46" i="2"/>
  <x:c r="L46" i="2"/>
  <x:c r="M2" i="3"/>
  <x:c r="O2" i="3"/>
  <x:c r="T2" i="3"/>
  <x:c r="U2" i="3"/>
  <x:c r="M3" i="3"/>
  <x:c r="O3" i="3"/>
  <x:c r="T3" i="3"/>
  <x:c r="U3" i="3"/>
  <x:c r="M4" i="3"/>
  <x:c r="O4" i="3"/>
  <x:c r="T4" i="3"/>
  <x:c r="U4" i="3"/>
  <x:c r="M5" i="3"/>
  <x:c r="O5" i="3"/>
  <x:c r="T5" i="3"/>
  <x:c r="U5" i="3"/>
  <x:c r="M6" i="3"/>
  <x:c r="O6" i="3"/>
  <x:c r="T6" i="3"/>
  <x:c r="U6" i="3"/>
  <x:c r="M7" i="3"/>
  <x:c r="O7" i="3"/>
  <x:c r="T7" i="3"/>
  <x:c r="U7" i="3"/>
  <x:c r="M8" i="3"/>
  <x:c r="O8" i="3"/>
  <x:c r="T8" i="3"/>
  <x:c r="U8" i="3"/>
  <x:c r="M9" i="3"/>
  <x:c r="O9" i="3"/>
  <x:c r="T9" i="3"/>
  <x:c r="U9" i="3"/>
  <x:c r="M10" i="3"/>
  <x:c r="O10" i="3"/>
  <x:c r="T10" i="3"/>
  <x:c r="U10" i="3"/>
  <x:c r="M11" i="3"/>
  <x:c r="O11" i="3"/>
  <x:c r="T11" i="3"/>
  <x:c r="U11" i="3"/>
  <x:c r="M12" i="3"/>
  <x:c r="O12" i="3"/>
  <x:c r="T12" i="3"/>
  <x:c r="U12" i="3"/>
  <x:c r="M13" i="3"/>
  <x:c r="O13" i="3"/>
  <x:c r="T13" i="3"/>
  <x:c r="U13" i="3"/>
  <x:c r="M14" i="3"/>
  <x:c r="O14" i="3"/>
  <x:c r="T14" i="3"/>
  <x:c r="U14" i="3"/>
  <x:c r="M15" i="3"/>
  <x:c r="O15" i="3"/>
  <x:c r="T15" i="3"/>
  <x:c r="U15" i="3"/>
  <x:c r="M16" i="3"/>
  <x:c r="O16" i="3"/>
  <x:c r="T16" i="3"/>
  <x:c r="U16" i="3"/>
  <x:c r="M17" i="3"/>
  <x:c r="O17" i="3"/>
  <x:c r="T17" i="3"/>
  <x:c r="U17" i="3"/>
  <x:c r="M18" i="3"/>
  <x:c r="O18" i="3"/>
  <x:c r="T18" i="3"/>
  <x:c r="U18" i="3"/>
  <x:c r="M19" i="3"/>
  <x:c r="O19" i="3"/>
  <x:c r="T19" i="3"/>
  <x:c r="U19" i="3"/>
  <x:c r="M20" i="3"/>
  <x:c r="O20" i="3"/>
  <x:c r="T20" i="3"/>
  <x:c r="U20" i="3"/>
  <x:c r="M21" i="3"/>
  <x:c r="O21" i="3"/>
  <x:c r="T21" i="3"/>
  <x:c r="U21" i="3"/>
  <x:c r="M22" i="3"/>
  <x:c r="O22" i="3"/>
  <x:c r="T22" i="3"/>
  <x:c r="U22" i="3"/>
  <x:c r="M23" i="3"/>
  <x:c r="O23" i="3"/>
  <x:c r="T23" i="3"/>
  <x:c r="U23" i="3"/>
  <x:c r="M24" i="3"/>
  <x:c r="O24" i="3"/>
  <x:c r="T24" i="3"/>
  <x:c r="U24" i="3"/>
  <x:c r="M25" i="3"/>
  <x:c r="O25" i="3"/>
  <x:c r="T25" i="3"/>
  <x:c r="U25" i="3"/>
  <x:c r="M26" i="3"/>
  <x:c r="O26" i="3"/>
  <x:c r="T26" i="3"/>
  <x:c r="U26" i="3"/>
  <x:c r="M27" i="3"/>
  <x:c r="O27" i="3"/>
  <x:c r="T27" i="3"/>
  <x:c r="U27" i="3"/>
  <x:c r="M28" i="3"/>
  <x:c r="O28" i="3"/>
  <x:c r="T28" i="3"/>
  <x:c r="U28" i="3"/>
  <x:c r="M29" i="3"/>
  <x:c r="O29" i="3"/>
  <x:c r="T29" i="3"/>
  <x:c r="U29" i="3"/>
  <x:c r="M30" i="3"/>
  <x:c r="O30" i="3"/>
  <x:c r="T30" i="3"/>
  <x:c r="U30" i="3"/>
  <x:c r="M31" i="3"/>
  <x:c r="O31" i="3"/>
  <x:c r="T31" i="3"/>
  <x:c r="U31" i="3"/>
  <x:c r="M32" i="3"/>
  <x:c r="O32" i="3"/>
  <x:c r="T32" i="3"/>
  <x:c r="U32" i="3"/>
  <x:c r="M33" i="3"/>
  <x:c r="O33" i="3"/>
  <x:c r="T33" i="3"/>
  <x:c r="U33" i="3"/>
  <x:c r="M34" i="3"/>
  <x:c r="O34" i="3"/>
  <x:c r="T34" i="3"/>
  <x:c r="U34" i="3"/>
  <x:c r="M35" i="3"/>
  <x:c r="O35" i="3"/>
  <x:c r="T35" i="3"/>
  <x:c r="U35" i="3"/>
  <x:c r="M36" i="3"/>
  <x:c r="O36" i="3"/>
  <x:c r="T36" i="3"/>
  <x:c r="U36" i="3"/>
  <x:c r="M37" i="3"/>
  <x:c r="O37" i="3"/>
  <x:c r="T37" i="3"/>
  <x:c r="U37" i="3"/>
  <x:c r="M38" i="3"/>
  <x:c r="O38" i="3"/>
  <x:c r="T38" i="3"/>
  <x:c r="U38" i="3"/>
  <x:c r="M39" i="3"/>
  <x:c r="O39" i="3"/>
  <x:c r="T39" i="3"/>
  <x:c r="U39" i="3"/>
  <x:c r="M40" i="3"/>
  <x:c r="O40" i="3"/>
  <x:c r="T40" i="3"/>
  <x:c r="U40" i="3"/>
  <x:c r="M41" i="3"/>
  <x:c r="O41" i="3"/>
  <x:c r="T41" i="3"/>
  <x:c r="U41" i="3"/>
  <x:c r="M42" i="3"/>
  <x:c r="O42" i="3"/>
  <x:c r="T42" i="3"/>
  <x:c r="U42" i="3"/>
  <x:c r="M43" i="3"/>
  <x:c r="O43" i="3"/>
  <x:c r="T43" i="3"/>
  <x:c r="U43" i="3"/>
  <x:c r="M44" i="3"/>
  <x:c r="O44" i="3"/>
  <x:c r="T44" i="3"/>
  <x:c r="U44" i="3"/>
  <x:c r="M45" i="3"/>
  <x:c r="O45" i="3"/>
  <x:c r="T45" i="3"/>
  <x:c r="U45" i="3"/>
  <x:c r="M46" i="3"/>
  <x:c r="O46" i="3"/>
  <x:c r="T46" i="3"/>
  <x:c r="U46" i="3"/>
  <x:c r="M47" i="3"/>
  <x:c r="O47" i="3"/>
  <x:c r="T47" i="3"/>
  <x:c r="U47" i="3"/>
  <x:c r="M48" i="3"/>
  <x:c r="O48" i="3"/>
  <x:c r="T48" i="3"/>
  <x:c r="U48" i="3"/>
  <x:c r="M49" i="3"/>
  <x:c r="O49" i="3"/>
  <x:c r="T49" i="3"/>
  <x:c r="U49" i="3"/>
  <x:c r="M50" i="3"/>
  <x:c r="O50" i="3"/>
  <x:c r="T50" i="3"/>
  <x:c r="U50" i="3"/>
  <x:c r="M51" i="3"/>
  <x:c r="O51" i="3"/>
  <x:c r="T51" i="3"/>
  <x:c r="U51" i="3"/>
  <x:c r="M52" i="3"/>
  <x:c r="O52" i="3"/>
  <x:c r="T52" i="3"/>
  <x:c r="U52" i="3"/>
  <x:c r="M53" i="3"/>
  <x:c r="O53" i="3"/>
  <x:c r="T53" i="3"/>
  <x:c r="U53" i="3"/>
  <x:c r="M54" i="3"/>
  <x:c r="O54" i="3"/>
  <x:c r="T54" i="3"/>
  <x:c r="U54" i="3"/>
  <x:c r="M55" i="3"/>
  <x:c r="O55" i="3"/>
  <x:c r="T55" i="3"/>
  <x:c r="U55" i="3"/>
  <x:c r="M56" i="3"/>
  <x:c r="O56" i="3"/>
  <x:c r="T56" i="3"/>
  <x:c r="U56" i="3"/>
  <x:c r="M57" i="3"/>
  <x:c r="O57" i="3"/>
  <x:c r="T57" i="3"/>
  <x:c r="U57" i="3"/>
  <x:c r="M58" i="3"/>
  <x:c r="O58" i="3"/>
  <x:c r="T58" i="3"/>
  <x:c r="U58" i="3"/>
  <x:c r="M59" i="3"/>
  <x:c r="O59" i="3"/>
  <x:c r="T59" i="3"/>
  <x:c r="U59" i="3"/>
  <x:c r="M60" i="3"/>
  <x:c r="O60" i="3"/>
  <x:c r="T60" i="3"/>
  <x:c r="U60" i="3"/>
  <x:c r="M61" i="3"/>
  <x:c r="O61" i="3"/>
  <x:c r="T61" i="3"/>
  <x:c r="U61" i="3"/>
  <x:c r="M62" i="3"/>
  <x:c r="O62" i="3"/>
  <x:c r="T62" i="3"/>
  <x:c r="U62" i="3"/>
  <x:c r="M63" i="3"/>
  <x:c r="O63" i="3"/>
  <x:c r="T63" i="3"/>
  <x:c r="U63" i="3"/>
  <x:c r="M64" i="3"/>
  <x:c r="O64" i="3"/>
  <x:c r="T64" i="3"/>
  <x:c r="U64" i="3"/>
  <x:c r="M65" i="3"/>
  <x:c r="O65" i="3"/>
  <x:c r="T65" i="3"/>
  <x:c r="U65" i="3"/>
  <x:c r="M66" i="3"/>
  <x:c r="O66" i="3"/>
  <x:c r="T66" i="3"/>
  <x:c r="U66" i="3"/>
  <x:c r="M67" i="3"/>
  <x:c r="O67" i="3"/>
  <x:c r="T67" i="3"/>
  <x:c r="U67" i="3"/>
  <x:c r="M68" i="3"/>
  <x:c r="O68" i="3"/>
  <x:c r="T68" i="3"/>
  <x:c r="U68" i="3"/>
  <x:c r="M69" i="3"/>
  <x:c r="O69" i="3"/>
  <x:c r="T69" i="3"/>
  <x:c r="U69" i="3"/>
  <x:c r="M70" i="3"/>
  <x:c r="O70" i="3"/>
  <x:c r="T70" i="3"/>
  <x:c r="U70" i="3"/>
  <x:c r="M71" i="3"/>
  <x:c r="O71" i="3"/>
  <x:c r="T71" i="3"/>
  <x:c r="U71" i="3"/>
  <x:c r="M72" i="3"/>
  <x:c r="O72" i="3"/>
  <x:c r="T72" i="3"/>
  <x:c r="U72" i="3"/>
  <x:c r="M73" i="3"/>
  <x:c r="O73" i="3"/>
  <x:c r="T73" i="3"/>
  <x:c r="U73" i="3"/>
  <x:c r="M74" i="3"/>
  <x:c r="O74" i="3"/>
  <x:c r="T74" i="3"/>
  <x:c r="U74" i="3"/>
  <x:c r="M75" i="3"/>
  <x:c r="O75" i="3"/>
  <x:c r="T75" i="3"/>
  <x:c r="U75" i="3"/>
  <x:c r="M76" i="3"/>
  <x:c r="O76" i="3"/>
  <x:c r="T76" i="3"/>
  <x:c r="U76" i="3"/>
  <x:c r="M77" i="3"/>
  <x:c r="O77" i="3"/>
  <x:c r="T77" i="3"/>
  <x:c r="U77" i="3"/>
  <x:c r="M78" i="3"/>
  <x:c r="O78" i="3"/>
  <x:c r="T78" i="3"/>
  <x:c r="U78" i="3"/>
  <x:c r="M79" i="3"/>
  <x:c r="O79" i="3"/>
  <x:c r="T79" i="3"/>
  <x:c r="U79" i="3"/>
  <x:c r="M80" i="3"/>
  <x:c r="O80" i="3"/>
  <x:c r="T80" i="3"/>
  <x:c r="U80" i="3"/>
  <x:c r="M81" i="3"/>
  <x:c r="O81" i="3"/>
  <x:c r="T81" i="3"/>
  <x:c r="U81" i="3"/>
  <x:c r="M82" i="3"/>
  <x:c r="O82" i="3"/>
  <x:c r="T82" i="3"/>
  <x:c r="U82" i="3"/>
  <x:c r="M83" i="3"/>
  <x:c r="O83" i="3"/>
  <x:c r="T83" i="3"/>
  <x:c r="U83" i="3"/>
  <x:c r="M84" i="3"/>
  <x:c r="O84" i="3"/>
  <x:c r="T84" i="3"/>
  <x:c r="U84" i="3"/>
  <x:c r="M85" i="3"/>
  <x:c r="O85" i="3"/>
  <x:c r="T85" i="3"/>
  <x:c r="U85" i="3"/>
  <x:c r="M86" i="3"/>
  <x:c r="O86" i="3"/>
  <x:c r="T86" i="3"/>
  <x:c r="U86" i="3"/>
  <x:c r="M87" i="3"/>
  <x:c r="O87" i="3"/>
  <x:c r="T87" i="3"/>
  <x:c r="U87" i="3"/>
  <x:c r="M88" i="3"/>
  <x:c r="O88" i="3"/>
  <x:c r="T88" i="3"/>
  <x:c r="U88" i="3"/>
  <x:c r="M89" i="3"/>
  <x:c r="O89" i="3"/>
  <x:c r="T89" i="3"/>
  <x:c r="U89" i="3"/>
  <x:c r="M90" i="3"/>
  <x:c r="O90" i="3"/>
  <x:c r="T90" i="3"/>
  <x:c r="U90" i="3"/>
  <x:c r="M91" i="3"/>
  <x:c r="O91" i="3"/>
  <x:c r="T91" i="3"/>
  <x:c r="U91" i="3"/>
  <x:c r="M92" i="3"/>
  <x:c r="O92" i="3"/>
  <x:c r="T92" i="3"/>
  <x:c r="U92" i="3"/>
  <x:c r="M93" i="3"/>
  <x:c r="O93" i="3"/>
  <x:c r="T93" i="3"/>
  <x:c r="U93" i="3"/>
  <x:c r="M94" i="3"/>
  <x:c r="O94" i="3"/>
  <x:c r="T94" i="3"/>
  <x:c r="U94" i="3"/>
  <x:c r="M95" i="3"/>
  <x:c r="O95" i="3"/>
  <x:c r="T95" i="3"/>
  <x:c r="U95" i="3"/>
  <x:c r="M96" i="3"/>
  <x:c r="O96" i="3"/>
  <x:c r="T96" i="3"/>
  <x:c r="U96" i="3"/>
  <x:c r="M97" i="3"/>
  <x:c r="O97" i="3"/>
  <x:c r="T97" i="3"/>
  <x:c r="U97" i="3"/>
  <x:c r="M98" i="3"/>
  <x:c r="O98" i="3"/>
  <x:c r="T98" i="3"/>
  <x:c r="U98" i="3"/>
  <x:c r="M99" i="3"/>
  <x:c r="O99" i="3"/>
  <x:c r="T99" i="3"/>
  <x:c r="U99" i="3"/>
  <x:c r="M100" i="3"/>
  <x:c r="O100" i="3"/>
  <x:c r="T100" i="3"/>
  <x:c r="U100" i="3"/>
  <x:c r="M101" i="3"/>
  <x:c r="O101" i="3"/>
  <x:c r="T101" i="3"/>
  <x:c r="U101" i="3"/>
  <x:c r="M102" i="3"/>
  <x:c r="O102" i="3"/>
  <x:c r="T102" i="3"/>
  <x:c r="U102" i="3"/>
  <x:c r="M103" i="3"/>
  <x:c r="O103" i="3"/>
  <x:c r="T103" i="3"/>
  <x:c r="U103" i="3"/>
  <x:c r="M104" i="3"/>
  <x:c r="O104" i="3"/>
  <x:c r="T104" i="3"/>
  <x:c r="U104" i="3"/>
  <x:c r="M105" i="3"/>
  <x:c r="O105" i="3"/>
  <x:c r="T105" i="3"/>
  <x:c r="U105" i="3"/>
  <x:c r="M106" i="3"/>
  <x:c r="O106" i="3"/>
  <x:c r="T106" i="3"/>
  <x:c r="U106" i="3"/>
  <x:c r="M107" i="3"/>
  <x:c r="O107" i="3"/>
  <x:c r="T107" i="3"/>
  <x:c r="U107" i="3"/>
  <x:c r="M108" i="3"/>
  <x:c r="O108" i="3"/>
  <x:c r="T108" i="3"/>
  <x:c r="U108" i="3"/>
  <x:c r="M109" i="3"/>
  <x:c r="O109" i="3"/>
  <x:c r="T109" i="3"/>
  <x:c r="U109" i="3"/>
  <x:c r="M110" i="3"/>
  <x:c r="O110" i="3"/>
  <x:c r="T110" i="3"/>
  <x:c r="U110" i="3"/>
  <x:c r="M111" i="3"/>
  <x:c r="O111" i="3"/>
  <x:c r="T111" i="3"/>
  <x:c r="U111" i="3"/>
  <x:c r="M112" i="3"/>
  <x:c r="O112" i="3"/>
  <x:c r="T112" i="3"/>
  <x:c r="U112" i="3"/>
  <x:c r="M113" i="3"/>
  <x:c r="O113" i="3"/>
  <x:c r="T113" i="3"/>
  <x:c r="U113" i="3"/>
  <x:c r="M114" i="3"/>
  <x:c r="O114" i="3"/>
  <x:c r="T114" i="3"/>
  <x:c r="U114" i="3"/>
  <x:c r="M115" i="3"/>
  <x:c r="O115" i="3"/>
  <x:c r="T115" i="3"/>
  <x:c r="U115" i="3"/>
  <x:c r="M116" i="3"/>
  <x:c r="O116" i="3"/>
  <x:c r="T116" i="3"/>
  <x:c r="U116" i="3"/>
  <x:c r="M117" i="3"/>
  <x:c r="O117" i="3"/>
  <x:c r="T117" i="3"/>
  <x:c r="U117" i="3"/>
  <x:c r="M118" i="3"/>
  <x:c r="O118" i="3"/>
  <x:c r="T118" i="3"/>
  <x:c r="U118" i="3"/>
  <x:c r="M119" i="3"/>
  <x:c r="O119" i="3"/>
  <x:c r="T119" i="3"/>
  <x:c r="U119" i="3"/>
  <x:c r="M120" i="3"/>
  <x:c r="O120" i="3"/>
  <x:c r="T120" i="3"/>
  <x:c r="U120" i="3"/>
  <x:c r="M121" i="3"/>
  <x:c r="O121" i="3"/>
  <x:c r="T121" i="3"/>
  <x:c r="U121" i="3"/>
  <x:c r="M122" i="3"/>
  <x:c r="O122" i="3"/>
  <x:c r="T122" i="3"/>
  <x:c r="U122" i="3"/>
  <x:c r="M123" i="3"/>
  <x:c r="O123" i="3"/>
  <x:c r="T123" i="3"/>
  <x:c r="U123" i="3"/>
  <x:c r="M124" i="3"/>
  <x:c r="O124" i="3"/>
  <x:c r="T124" i="3"/>
  <x:c r="U124" i="3"/>
  <x:c r="M125" i="3"/>
  <x:c r="O125" i="3"/>
  <x:c r="T125" i="3"/>
  <x:c r="U125" i="3"/>
  <x:c r="M126" i="3"/>
  <x:c r="O126" i="3"/>
  <x:c r="T126" i="3"/>
  <x:c r="U126" i="3"/>
  <x:c r="M127" i="3"/>
  <x:c r="O127" i="3"/>
  <x:c r="T127" i="3"/>
  <x:c r="U127" i="3"/>
  <x:c r="M128" i="3"/>
  <x:c r="O128" i="3"/>
  <x:c r="T128" i="3"/>
  <x:c r="U128" i="3"/>
  <x:c r="M129" i="3"/>
  <x:c r="O129" i="3"/>
  <x:c r="T129" i="3"/>
  <x:c r="U129" i="3"/>
  <x:c r="M130" i="3"/>
  <x:c r="O130" i="3"/>
  <x:c r="T130" i="3"/>
  <x:c r="U130" i="3"/>
  <x:c r="M131" i="3"/>
  <x:c r="O131" i="3"/>
  <x:c r="T131" i="3"/>
  <x:c r="U131" i="3"/>
  <x:c r="M132" i="3"/>
  <x:c r="O132" i="3"/>
  <x:c r="T132" i="3"/>
  <x:c r="U132" i="3"/>
  <x:c r="M133" i="3"/>
  <x:c r="O133" i="3"/>
  <x:c r="T133" i="3"/>
  <x:c r="U133" i="3"/>
  <x:c r="M134" i="3"/>
  <x:c r="O134" i="3"/>
  <x:c r="T134" i="3"/>
  <x:c r="U134" i="3"/>
  <x:c r="M135" i="3"/>
  <x:c r="O135" i="3"/>
  <x:c r="T135" i="3"/>
  <x:c r="U135" i="3"/>
  <x:c r="M136" i="3"/>
  <x:c r="O136" i="3"/>
  <x:c r="T136" i="3"/>
  <x:c r="U136" i="3"/>
  <x:c r="M137" i="3"/>
  <x:c r="O137" i="3"/>
  <x:c r="T137" i="3"/>
  <x:c r="U137" i="3"/>
  <x:c r="M138" i="3"/>
  <x:c r="O138" i="3"/>
  <x:c r="T138" i="3"/>
  <x:c r="U138" i="3"/>
  <x:c r="M139" i="3"/>
  <x:c r="O139" i="3"/>
  <x:c r="T139" i="3"/>
  <x:c r="U139" i="3"/>
  <x:c r="M140" i="3"/>
  <x:c r="O140" i="3"/>
  <x:c r="T140" i="3"/>
  <x:c r="U140" i="3"/>
  <x:c r="M141" i="3"/>
  <x:c r="O141" i="3"/>
  <x:c r="T141" i="3"/>
  <x:c r="U141" i="3"/>
  <x:c r="M142" i="3"/>
  <x:c r="O142" i="3"/>
  <x:c r="T142" i="3"/>
  <x:c r="U142" i="3"/>
  <x:c r="M143" i="3"/>
  <x:c r="O143" i="3"/>
  <x:c r="T143" i="3"/>
  <x:c r="U143" i="3"/>
  <x:c r="M144" i="3"/>
  <x:c r="O144" i="3"/>
  <x:c r="T144" i="3"/>
  <x:c r="U144" i="3"/>
  <x:c r="M145" i="3"/>
  <x:c r="O145" i="3"/>
  <x:c r="T145" i="3"/>
  <x:c r="U145" i="3"/>
  <x:c r="M146" i="3"/>
  <x:c r="O146" i="3"/>
  <x:c r="T146" i="3"/>
  <x:c r="U146" i="3"/>
  <x:c r="M147" i="3"/>
  <x:c r="O147" i="3"/>
  <x:c r="T147" i="3"/>
  <x:c r="U147" i="3"/>
  <x:c r="M148" i="3"/>
  <x:c r="O148" i="3"/>
  <x:c r="T148" i="3"/>
  <x:c r="U148" i="3"/>
  <x:c r="M149" i="3"/>
  <x:c r="O149" i="3"/>
  <x:c r="T149" i="3"/>
  <x:c r="U149" i="3"/>
  <x:c r="M150" i="3"/>
  <x:c r="O150" i="3"/>
  <x:c r="T150" i="3"/>
  <x:c r="U150" i="3"/>
  <x:c r="M151" i="3"/>
  <x:c r="O151" i="3"/>
  <x:c r="T151" i="3"/>
  <x:c r="U151" i="3"/>
  <x:c r="M152" i="3"/>
  <x:c r="O152" i="3"/>
  <x:c r="T152" i="3"/>
  <x:c r="U152" i="3"/>
  <x:c r="M153" i="3"/>
  <x:c r="O153" i="3"/>
  <x:c r="T153" i="3"/>
  <x:c r="U153" i="3"/>
  <x:c r="M154" i="3"/>
  <x:c r="O154" i="3"/>
  <x:c r="T154" i="3"/>
  <x:c r="U154" i="3"/>
  <x:c r="M155" i="3"/>
  <x:c r="O155" i="3"/>
  <x:c r="T155" i="3"/>
  <x:c r="U155" i="3"/>
  <x:c r="M156" i="3"/>
  <x:c r="O156" i="3"/>
  <x:c r="T156" i="3"/>
  <x:c r="U156" i="3"/>
  <x:c r="M157" i="3"/>
  <x:c r="O157" i="3"/>
  <x:c r="T157" i="3"/>
  <x:c r="U157" i="3"/>
  <x:c r="M158" i="3"/>
  <x:c r="O158" i="3"/>
  <x:c r="T158" i="3"/>
  <x:c r="U158" i="3"/>
  <x:c r="M159" i="3"/>
  <x:c r="O159" i="3"/>
  <x:c r="T159" i="3"/>
  <x:c r="U159" i="3"/>
  <x:c r="M160" i="3"/>
  <x:c r="O160" i="3"/>
  <x:c r="T160" i="3"/>
  <x:c r="U160" i="3"/>
  <x:c r="M161" i="3"/>
  <x:c r="O161" i="3"/>
  <x:c r="T161" i="3"/>
  <x:c r="U161" i="3"/>
  <x:c r="M162" i="3"/>
  <x:c r="O162" i="3"/>
  <x:c r="T162" i="3"/>
  <x:c r="U162" i="3"/>
  <x:c r="M163" i="3"/>
  <x:c r="O163" i="3"/>
  <x:c r="T163" i="3"/>
  <x:c r="U163" i="3"/>
  <x:c r="M164" i="3"/>
  <x:c r="O164" i="3"/>
  <x:c r="T164" i="3"/>
  <x:c r="U164" i="3"/>
  <x:c r="M165" i="3"/>
  <x:c r="O165" i="3"/>
  <x:c r="T165" i="3"/>
  <x:c r="U165" i="3"/>
  <x:c r="M166" i="3"/>
  <x:c r="O166" i="3"/>
  <x:c r="T166" i="3"/>
  <x:c r="U166" i="3"/>
  <x:c r="M167" i="3"/>
  <x:c r="O167" i="3"/>
  <x:c r="T167" i="3"/>
  <x:c r="U167" i="3"/>
  <x:c r="M168" i="3"/>
  <x:c r="O168" i="3"/>
  <x:c r="T168" i="3"/>
  <x:c r="U168" i="3"/>
  <x:c r="M169" i="3"/>
  <x:c r="O169" i="3"/>
  <x:c r="T169" i="3"/>
  <x:c r="U169" i="3"/>
  <x:c r="M170" i="3"/>
  <x:c r="O170" i="3"/>
  <x:c r="T170" i="3"/>
  <x:c r="U170" i="3"/>
  <x:c r="M171" i="3"/>
  <x:c r="O171" i="3"/>
  <x:c r="T171" i="3"/>
  <x:c r="U171" i="3"/>
  <x:c r="M172" i="3"/>
  <x:c r="O172" i="3"/>
  <x:c r="T172" i="3"/>
  <x:c r="U172" i="3"/>
  <x:c r="M173" i="3"/>
  <x:c r="O173" i="3"/>
  <x:c r="T173" i="3"/>
  <x:c r="U173" i="3"/>
  <x:c r="M174" i="3"/>
  <x:c r="O174" i="3"/>
  <x:c r="T174" i="3"/>
  <x:c r="U174" i="3"/>
  <x:c r="M175" i="3"/>
  <x:c r="O175" i="3"/>
  <x:c r="T175" i="3"/>
  <x:c r="U175" i="3"/>
  <x:c r="M176" i="3"/>
  <x:c r="O176" i="3"/>
  <x:c r="T176" i="3"/>
  <x:c r="U176" i="3"/>
  <x:c r="M177" i="3"/>
  <x:c r="O177" i="3"/>
  <x:c r="T177" i="3"/>
  <x:c r="U177" i="3"/>
  <x:c r="M178" i="3"/>
  <x:c r="O178" i="3"/>
  <x:c r="T178" i="3"/>
  <x:c r="U178" i="3"/>
  <x:c r="M179" i="3"/>
  <x:c r="O179" i="3"/>
  <x:c r="T179" i="3"/>
  <x:c r="U179" i="3"/>
  <x:c r="M180" i="3"/>
  <x:c r="O180" i="3"/>
  <x:c r="T180" i="3"/>
  <x:c r="U180" i="3"/>
  <x:c r="M181" i="3"/>
  <x:c r="O181" i="3"/>
  <x:c r="T181" i="3"/>
  <x:c r="U181" i="3"/>
  <x:c r="M182" i="3"/>
  <x:c r="O182" i="3"/>
  <x:c r="T182" i="3"/>
  <x:c r="U182" i="3"/>
  <x:c r="M183" i="3"/>
  <x:c r="O183" i="3"/>
  <x:c r="T183" i="3"/>
  <x:c r="U183" i="3"/>
  <x:c r="M184" i="3"/>
  <x:c r="O184" i="3"/>
  <x:c r="T184" i="3"/>
  <x:c r="U184" i="3"/>
  <x:c r="M185" i="3"/>
  <x:c r="O185" i="3"/>
  <x:c r="T185" i="3"/>
  <x:c r="U185" i="3"/>
  <x:c r="M186" i="3"/>
  <x:c r="O186" i="3"/>
  <x:c r="T186" i="3"/>
  <x:c r="U186" i="3"/>
  <x:c r="M187" i="3"/>
  <x:c r="O187" i="3"/>
  <x:c r="T187" i="3"/>
  <x:c r="U187" i="3"/>
  <x:c r="M188" i="3"/>
  <x:c r="O188" i="3"/>
  <x:c r="T188" i="3"/>
  <x:c r="U188" i="3"/>
  <x:c r="M189" i="3"/>
  <x:c r="O189" i="3"/>
  <x:c r="T189" i="3"/>
  <x:c r="U189" i="3"/>
  <x:c r="M190" i="3"/>
  <x:c r="O190" i="3"/>
  <x:c r="T190" i="3"/>
  <x:c r="U190" i="3"/>
  <x:c r="M191" i="3"/>
  <x:c r="O191" i="3"/>
  <x:c r="T191" i="3"/>
  <x:c r="U191" i="3"/>
  <x:c r="M192" i="3"/>
  <x:c r="O192" i="3"/>
  <x:c r="T192" i="3"/>
  <x:c r="U192" i="3"/>
  <x:c r="M193" i="3"/>
  <x:c r="O193" i="3"/>
  <x:c r="T193" i="3"/>
  <x:c r="U193" i="3"/>
  <x:c r="M194" i="3"/>
  <x:c r="O194" i="3"/>
  <x:c r="T194" i="3"/>
  <x:c r="U194" i="3"/>
  <x:c r="M195" i="3"/>
  <x:c r="O195" i="3"/>
  <x:c r="T195" i="3"/>
  <x:c r="U195" i="3"/>
  <x:c r="M196" i="3"/>
  <x:c r="O196" i="3"/>
  <x:c r="T196" i="3"/>
  <x:c r="U196" i="3"/>
  <x:c r="M197" i="3"/>
  <x:c r="O197" i="3"/>
  <x:c r="T197" i="3"/>
  <x:c r="U197" i="3"/>
  <x:c r="M198" i="3"/>
  <x:c r="O198" i="3"/>
  <x:c r="T198" i="3"/>
  <x:c r="U198" i="3"/>
  <x:c r="M199" i="3"/>
  <x:c r="O199" i="3"/>
  <x:c r="T199" i="3"/>
  <x:c r="U199" i="3"/>
  <x:c r="M200" i="3"/>
  <x:c r="O200" i="3"/>
  <x:c r="T200" i="3"/>
  <x:c r="U200" i="3"/>
  <x:c r="M201" i="3"/>
  <x:c r="O201" i="3"/>
  <x:c r="T201" i="3"/>
  <x:c r="U201" i="3"/>
  <x:c r="M202" i="3"/>
  <x:c r="O202" i="3"/>
  <x:c r="T202" i="3"/>
  <x:c r="U202" i="3"/>
  <x:c r="M203" i="3"/>
  <x:c r="O203" i="3"/>
  <x:c r="T203" i="3"/>
  <x:c r="U203" i="3"/>
  <x:c r="M204" i="3"/>
  <x:c r="O204" i="3"/>
  <x:c r="T204" i="3"/>
  <x:c r="U204" i="3"/>
  <x:c r="M205" i="3"/>
  <x:c r="O205" i="3"/>
  <x:c r="T205" i="3"/>
  <x:c r="U205" i="3"/>
  <x:c r="M206" i="3"/>
  <x:c r="O206" i="3"/>
  <x:c r="T206" i="3"/>
  <x:c r="U206" i="3"/>
  <x:c r="M207" i="3"/>
  <x:c r="O207" i="3"/>
  <x:c r="T207" i="3"/>
  <x:c r="U207" i="3"/>
  <x:c r="M208" i="3"/>
  <x:c r="O208" i="3"/>
  <x:c r="T208" i="3"/>
  <x:c r="U208" i="3"/>
  <x:c r="M209" i="3"/>
  <x:c r="O209" i="3"/>
  <x:c r="T209" i="3"/>
  <x:c r="U209" i="3"/>
  <x:c r="M210" i="3"/>
  <x:c r="O210" i="3"/>
  <x:c r="T210" i="3"/>
  <x:c r="U210" i="3"/>
  <x:c r="M211" i="3"/>
  <x:c r="O211" i="3"/>
  <x:c r="T211" i="3"/>
  <x:c r="U211" i="3"/>
  <x:c r="M212" i="3"/>
  <x:c r="O212" i="3"/>
  <x:c r="T212" i="3"/>
  <x:c r="U212" i="3"/>
  <x:c r="M213" i="3"/>
  <x:c r="O213" i="3"/>
  <x:c r="T213" i="3"/>
  <x:c r="U213" i="3"/>
  <x:c r="M214" i="3"/>
  <x:c r="O214" i="3"/>
  <x:c r="T214" i="3"/>
  <x:c r="U214" i="3"/>
  <x:c r="M215" i="3"/>
  <x:c r="O215" i="3"/>
  <x:c r="T215" i="3"/>
  <x:c r="U215" i="3"/>
  <x:c r="M216" i="3"/>
  <x:c r="O216" i="3"/>
  <x:c r="T216" i="3"/>
  <x:c r="U216" i="3"/>
  <x:c r="M217" i="3"/>
  <x:c r="O217" i="3"/>
  <x:c r="T217" i="3"/>
  <x:c r="U217" i="3"/>
  <x:c r="M218" i="3"/>
  <x:c r="O218" i="3"/>
  <x:c r="T218" i="3"/>
  <x:c r="U218" i="3"/>
  <x:c r="M219" i="3"/>
  <x:c r="O219" i="3"/>
  <x:c r="T219" i="3"/>
  <x:c r="U219" i="3"/>
  <x:c r="M220" i="3"/>
  <x:c r="O220" i="3"/>
  <x:c r="T220" i="3"/>
  <x:c r="U220" i="3"/>
  <x:c r="M221" i="3"/>
  <x:c r="O221" i="3"/>
  <x:c r="T221" i="3"/>
  <x:c r="U221" i="3"/>
  <x:c r="M222" i="3"/>
  <x:c r="O222" i="3"/>
  <x:c r="T222" i="3"/>
  <x:c r="U222" i="3"/>
  <x:c r="M223" i="3"/>
  <x:c r="O223" i="3"/>
  <x:c r="T223" i="3"/>
  <x:c r="U223" i="3"/>
  <x:c r="M224" i="3"/>
  <x:c r="O224" i="3"/>
  <x:c r="T224" i="3"/>
  <x:c r="U224" i="3"/>
  <x:c r="M225" i="3"/>
  <x:c r="O225" i="3"/>
  <x:c r="T225" i="3"/>
  <x:c r="U225" i="3"/>
  <x:c r="M226" i="3"/>
  <x:c r="O226" i="3"/>
  <x:c r="T226" i="3"/>
  <x:c r="U226" i="3"/>
  <x:c r="M227" i="3"/>
  <x:c r="O227" i="3"/>
  <x:c r="T227" i="3"/>
  <x:c r="U227" i="3"/>
  <x:c r="M228" i="3"/>
  <x:c r="O228" i="3"/>
  <x:c r="T228" i="3"/>
  <x:c r="U228" i="3"/>
  <x:c r="M229" i="3"/>
  <x:c r="O229" i="3"/>
  <x:c r="T229" i="3"/>
  <x:c r="U229" i="3"/>
  <x:c r="M230" i="3"/>
  <x:c r="O230" i="3"/>
  <x:c r="T230" i="3"/>
  <x:c r="U230" i="3"/>
  <x:c r="M231" i="3"/>
  <x:c r="O231" i="3"/>
  <x:c r="T231" i="3"/>
  <x:c r="U231" i="3"/>
  <x:c r="M232" i="3"/>
  <x:c r="O232" i="3"/>
  <x:c r="T232" i="3"/>
  <x:c r="U232" i="3"/>
  <x:c r="M233" i="3"/>
  <x:c r="O233" i="3"/>
  <x:c r="T233" i="3"/>
  <x:c r="U233" i="3"/>
  <x:c r="M234" i="3"/>
  <x:c r="O234" i="3"/>
  <x:c r="T234" i="3"/>
  <x:c r="U234" i="3"/>
  <x:c r="M235" i="3"/>
  <x:c r="O235" i="3"/>
  <x:c r="T235" i="3"/>
  <x:c r="U235" i="3"/>
  <x:c r="M236" i="3"/>
  <x:c r="O236" i="3"/>
  <x:c r="T236" i="3"/>
  <x:c r="U236" i="3"/>
  <x:c r="M237" i="3"/>
  <x:c r="O237" i="3"/>
  <x:c r="T237" i="3"/>
  <x:c r="U237" i="3"/>
  <x:c r="M238" i="3"/>
  <x:c r="O238" i="3"/>
  <x:c r="T238" i="3"/>
  <x:c r="U238" i="3"/>
  <x:c r="M239" i="3"/>
  <x:c r="O239" i="3"/>
  <x:c r="T239" i="3"/>
  <x:c r="U239" i="3"/>
  <x:c r="M240" i="3"/>
  <x:c r="O240" i="3"/>
  <x:c r="T240" i="3"/>
  <x:c r="U240" i="3"/>
  <x:c r="M241" i="3"/>
  <x:c r="O241" i="3"/>
  <x:c r="T241" i="3"/>
  <x:c r="U241" i="3"/>
  <x:c r="M242" i="3"/>
  <x:c r="O242" i="3"/>
  <x:c r="T242" i="3"/>
  <x:c r="U242" i="3"/>
  <x:c r="M243" i="3"/>
  <x:c r="O243" i="3"/>
  <x:c r="T243" i="3"/>
  <x:c r="U243" i="3"/>
  <x:c r="M244" i="3"/>
  <x:c r="O244" i="3"/>
  <x:c r="T244" i="3"/>
  <x:c r="U244" i="3"/>
  <x:c r="M245" i="3"/>
  <x:c r="O245" i="3"/>
  <x:c r="T245" i="3"/>
  <x:c r="U245" i="3"/>
  <x:c r="M246" i="3"/>
  <x:c r="O246" i="3"/>
  <x:c r="T246" i="3"/>
  <x:c r="U246" i="3"/>
  <x:c r="M247" i="3"/>
  <x:c r="O247" i="3"/>
  <x:c r="T247" i="3"/>
  <x:c r="U247" i="3"/>
  <x:c r="M248" i="3"/>
  <x:c r="O248" i="3"/>
  <x:c r="T248" i="3"/>
  <x:c r="U248" i="3"/>
  <x:c r="M249" i="3"/>
  <x:c r="O249" i="3"/>
  <x:c r="T249" i="3"/>
  <x:c r="U249" i="3"/>
  <x:c r="M250" i="3"/>
  <x:c r="O250" i="3"/>
  <x:c r="T250" i="3"/>
  <x:c r="U250" i="3"/>
  <x:c r="M251" i="3"/>
  <x:c r="O251" i="3"/>
  <x:c r="T251" i="3"/>
  <x:c r="U251" i="3"/>
  <x:c r="M252" i="3"/>
  <x:c r="O252" i="3"/>
  <x:c r="T252" i="3"/>
  <x:c r="U252" i="3"/>
  <x:c r="M253" i="3"/>
  <x:c r="O253" i="3"/>
  <x:c r="T253" i="3"/>
  <x:c r="U253" i="3"/>
  <x:c r="M254" i="3"/>
  <x:c r="O254" i="3"/>
  <x:c r="T254" i="3"/>
  <x:c r="U254" i="3"/>
  <x:c r="M255" i="3"/>
  <x:c r="O255" i="3"/>
  <x:c r="T255" i="3"/>
  <x:c r="U255" i="3"/>
  <x:c r="M256" i="3"/>
  <x:c r="O256" i="3"/>
  <x:c r="T256" i="3"/>
  <x:c r="U256" i="3"/>
  <x:c r="M257" i="3"/>
  <x:c r="O257" i="3"/>
  <x:c r="T257" i="3"/>
  <x:c r="U257" i="3"/>
  <x:c r="M258" i="3"/>
  <x:c r="O258" i="3"/>
  <x:c r="T258" i="3"/>
  <x:c r="U258" i="3"/>
  <x:c r="M259" i="3"/>
  <x:c r="O259" i="3"/>
  <x:c r="T259" i="3"/>
  <x:c r="U259" i="3"/>
  <x:c r="M260" i="3"/>
  <x:c r="O260" i="3"/>
  <x:c r="T260" i="3"/>
  <x:c r="U260" i="3"/>
  <x:c r="M261" i="3"/>
  <x:c r="O261" i="3"/>
  <x:c r="T261" i="3"/>
  <x:c r="U261" i="3"/>
  <x:c r="M262" i="3"/>
  <x:c r="O262" i="3"/>
  <x:c r="T262" i="3"/>
  <x:c r="U262" i="3"/>
  <x:c r="M263" i="3"/>
  <x:c r="O263" i="3"/>
  <x:c r="T263" i="3"/>
  <x:c r="U263" i="3"/>
  <x:c r="M264" i="3"/>
  <x:c r="O264" i="3"/>
  <x:c r="T264" i="3"/>
  <x:c r="U264" i="3"/>
  <x:c r="M265" i="3"/>
  <x:c r="O265" i="3"/>
  <x:c r="T265" i="3"/>
  <x:c r="U265" i="3"/>
  <x:c r="M266" i="3"/>
  <x:c r="O266" i="3"/>
  <x:c r="T266" i="3"/>
  <x:c r="U266" i="3"/>
  <x:c r="M267" i="3"/>
  <x:c r="O267" i="3"/>
  <x:c r="T267" i="3"/>
  <x:c r="U267" i="3"/>
  <x:c r="M268" i="3"/>
  <x:c r="O268" i="3"/>
  <x:c r="T268" i="3"/>
  <x:c r="U268" i="3"/>
  <x:c r="M269" i="3"/>
  <x:c r="O269" i="3"/>
  <x:c r="T269" i="3"/>
  <x:c r="U269" i="3"/>
  <x:c r="M270" i="3"/>
  <x:c r="O270" i="3"/>
  <x:c r="T270" i="3"/>
  <x:c r="U270" i="3"/>
  <x:c r="M271" i="3"/>
  <x:c r="O271" i="3"/>
  <x:c r="T271" i="3"/>
  <x:c r="U271" i="3"/>
  <x:c r="M272" i="3"/>
  <x:c r="O272" i="3"/>
  <x:c r="T272" i="3"/>
  <x:c r="U272" i="3"/>
  <x:c r="M273" i="3"/>
  <x:c r="O273" i="3"/>
  <x:c r="T273" i="3"/>
  <x:c r="U273" i="3"/>
  <x:c r="M274" i="3"/>
  <x:c r="O274" i="3"/>
  <x:c r="T274" i="3"/>
  <x:c r="U274" i="3"/>
  <x:c r="M275" i="3"/>
  <x:c r="O275" i="3"/>
  <x:c r="T275" i="3"/>
  <x:c r="U275" i="3"/>
  <x:c r="M276" i="3"/>
  <x:c r="O276" i="3"/>
  <x:c r="T276" i="3"/>
  <x:c r="U276" i="3"/>
  <x:c r="M277" i="3"/>
  <x:c r="O277" i="3"/>
  <x:c r="T277" i="3"/>
  <x:c r="U277" i="3"/>
  <x:c r="M278" i="3"/>
  <x:c r="O278" i="3"/>
  <x:c r="T278" i="3"/>
  <x:c r="U278" i="3"/>
  <x:c r="M279" i="3"/>
  <x:c r="O279" i="3"/>
  <x:c r="T279" i="3"/>
  <x:c r="U279" i="3"/>
  <x:c r="M280" i="3"/>
  <x:c r="O280" i="3"/>
  <x:c r="T280" i="3"/>
  <x:c r="U280" i="3"/>
  <x:c r="M281" i="3"/>
  <x:c r="O281" i="3"/>
  <x:c r="T281" i="3"/>
  <x:c r="U281" i="3"/>
  <x:c r="M282" i="3"/>
  <x:c r="O282" i="3"/>
  <x:c r="T282" i="3"/>
  <x:c r="U282" i="3"/>
  <x:c r="M283" i="3"/>
  <x:c r="O283" i="3"/>
  <x:c r="T283" i="3"/>
  <x:c r="U283" i="3"/>
  <x:c r="M284" i="3"/>
  <x:c r="O284" i="3"/>
  <x:c r="T284" i="3"/>
  <x:c r="U284" i="3"/>
  <x:c r="M285" i="3"/>
  <x:c r="O285" i="3"/>
  <x:c r="T285" i="3"/>
  <x:c r="U285" i="3"/>
  <x:c r="M286" i="3"/>
  <x:c r="O286" i="3"/>
  <x:c r="T286" i="3"/>
  <x:c r="U286" i="3"/>
  <x:c r="M287" i="3"/>
  <x:c r="O287" i="3"/>
  <x:c r="T287" i="3"/>
  <x:c r="U287" i="3"/>
  <x:c r="M288" i="3"/>
  <x:c r="O288" i="3"/>
  <x:c r="T288" i="3"/>
  <x:c r="U288" i="3"/>
  <x:c r="M289" i="3"/>
  <x:c r="O289" i="3"/>
  <x:c r="T289" i="3"/>
  <x:c r="U289" i="3"/>
  <x:c r="M290" i="3"/>
  <x:c r="O290" i="3"/>
  <x:c r="T290" i="3"/>
  <x:c r="U290" i="3"/>
  <x:c r="M291" i="3"/>
  <x:c r="O291" i="3"/>
  <x:c r="T291" i="3"/>
  <x:c r="U291" i="3"/>
  <x:c r="M292" i="3"/>
  <x:c r="O292" i="3"/>
  <x:c r="T292" i="3"/>
  <x:c r="U292" i="3"/>
  <x:c r="M293" i="3"/>
  <x:c r="O293" i="3"/>
  <x:c r="T293" i="3"/>
  <x:c r="U293" i="3"/>
  <x:c r="M294" i="3"/>
  <x:c r="O294" i="3"/>
  <x:c r="T294" i="3"/>
  <x:c r="U294" i="3"/>
  <x:c r="M295" i="3"/>
  <x:c r="O295" i="3"/>
  <x:c r="T295" i="3"/>
  <x:c r="U295" i="3"/>
  <x:c r="M296" i="3"/>
  <x:c r="O296" i="3"/>
  <x:c r="T296" i="3"/>
  <x:c r="U296" i="3"/>
  <x:c r="M297" i="3"/>
  <x:c r="O297" i="3"/>
  <x:c r="T297" i="3"/>
  <x:c r="U297" i="3"/>
  <x:c r="M298" i="3"/>
  <x:c r="O298" i="3"/>
  <x:c r="T298" i="3"/>
  <x:c r="U298" i="3"/>
  <x:c r="M299" i="3"/>
  <x:c r="O299" i="3"/>
  <x:c r="T299" i="3"/>
  <x:c r="U299" i="3"/>
  <x:c r="M300" i="3"/>
  <x:c r="O300" i="3"/>
  <x:c r="T300" i="3"/>
  <x:c r="U300" i="3"/>
  <x:c r="M301" i="3"/>
  <x:c r="O301" i="3"/>
  <x:c r="T301" i="3"/>
  <x:c r="U301" i="3"/>
  <x:c r="M302" i="3"/>
  <x:c r="O302" i="3"/>
  <x:c r="T302" i="3"/>
  <x:c r="U302" i="3"/>
  <x:c r="M303" i="3"/>
  <x:c r="O303" i="3"/>
  <x:c r="T303" i="3"/>
  <x:c r="U303" i="3"/>
  <x:c r="M304" i="3"/>
  <x:c r="O304" i="3"/>
  <x:c r="T304" i="3"/>
  <x:c r="U304" i="3"/>
  <x:c r="M305" i="3"/>
  <x:c r="O305" i="3"/>
  <x:c r="T305" i="3"/>
  <x:c r="U305" i="3"/>
  <x:c r="M306" i="3"/>
  <x:c r="O306" i="3"/>
  <x:c r="T306" i="3"/>
  <x:c r="U306" i="3"/>
  <x:c r="M307" i="3"/>
  <x:c r="O307" i="3"/>
  <x:c r="T307" i="3"/>
  <x:c r="U307" i="3"/>
  <x:c r="M308" i="3"/>
  <x:c r="O308" i="3"/>
  <x:c r="T308" i="3"/>
  <x:c r="U308" i="3"/>
  <x:c r="M309" i="3"/>
  <x:c r="O309" i="3"/>
  <x:c r="T309" i="3"/>
  <x:c r="U309" i="3"/>
  <x:c r="M310" i="3"/>
  <x:c r="O310" i="3"/>
  <x:c r="T310" i="3"/>
  <x:c r="U310" i="3"/>
  <x:c r="M311" i="3"/>
  <x:c r="O311" i="3"/>
  <x:c r="T311" i="3"/>
  <x:c r="U311" i="3"/>
  <x:c r="M312" i="3"/>
  <x:c r="O312" i="3"/>
  <x:c r="T312" i="3"/>
  <x:c r="U312" i="3"/>
  <x:c r="M313" i="3"/>
  <x:c r="O313" i="3"/>
  <x:c r="T313" i="3"/>
  <x:c r="U313" i="3"/>
  <x:c r="J2" i="4"/>
  <x:c r="R2" i="4"/>
  <x:c r="J3" i="4"/>
  <x:c r="R3" i="4"/>
  <x:c r="J4" i="4"/>
  <x:c r="R4" i="4"/>
  <x:c r="J5" i="4"/>
  <x:c r="R5" i="4"/>
  <x:c r="J6" i="4"/>
  <x:c r="R6" i="4"/>
  <x:c r="J7" i="4"/>
  <x:c r="R7" i="4"/>
  <x:c r="J8" i="4"/>
  <x:c r="R8" i="4"/>
  <x:c r="J9" i="4"/>
  <x:c r="R9" i="4"/>
  <x:c r="J10" i="4"/>
  <x:c r="R10" i="4"/>
  <x:c r="J11" i="4"/>
  <x:c r="R11" i="4"/>
  <x:c r="J12" i="4"/>
  <x:c r="R12" i="4"/>
  <x:c r="J13" i="4"/>
  <x:c r="R13" i="4"/>
  <x:c r="J14" i="4"/>
  <x:c r="R14" i="4"/>
  <x:c r="J15" i="4"/>
  <x:c r="R15" i="4"/>
  <x:c r="J16" i="4"/>
  <x:c r="R16" i="4"/>
  <x:c r="J17" i="4"/>
  <x:c r="R17" i="4"/>
  <x:c r="J18" i="4"/>
  <x:c r="R18" i="4"/>
  <x:c r="J19" i="4"/>
  <x:c r="R19" i="4"/>
  <x:c r="J20" i="4"/>
  <x:c r="R20" i="4"/>
  <x:c r="J21" i="4"/>
  <x:c r="R21" i="4"/>
  <x:c r="J22" i="4"/>
  <x:c r="R22" i="4"/>
  <x:c r="J23" i="4"/>
  <x:c r="R23" i="4"/>
  <x:c r="J24" i="4"/>
  <x:c r="R24" i="4"/>
  <x:c r="J25" i="4"/>
  <x:c r="R25" i="4"/>
  <x:c r="J26" i="4"/>
  <x:c r="R26" i="4"/>
  <x:c r="J27" i="4"/>
  <x:c r="R27" i="4"/>
  <x:c r="J28" i="4"/>
  <x:c r="R28" i="4"/>
  <x:c r="J29" i="4"/>
  <x:c r="R29" i="4"/>
  <x:c r="J30" i="4"/>
  <x:c r="R30" i="4"/>
  <x:c r="J31" i="4"/>
  <x:c r="R31" i="4"/>
  <x:c r="J32" i="4"/>
  <x:c r="R32" i="4"/>
  <x:c r="J33" i="4"/>
  <x:c r="R33" i="4"/>
  <x:c r="J34" i="4"/>
  <x:c r="R34" i="4"/>
  <x:c r="J35" i="4"/>
  <x:c r="R35" i="4"/>
  <x:c r="J36" i="4"/>
  <x:c r="R36" i="4"/>
  <x:c r="J37" i="4"/>
  <x:c r="R37" i="4"/>
  <x:c r="J38" i="4"/>
  <x:c r="R38" i="4"/>
  <x:c r="J39" i="4"/>
  <x:c r="R39" i="4"/>
  <x:c r="J40" i="4"/>
  <x:c r="R40" i="4"/>
  <x:c r="J41" i="4"/>
  <x:c r="R41" i="4"/>
  <x:c r="J42" i="4"/>
  <x:c r="R42" i="4"/>
  <x:c r="J43" i="4"/>
  <x:c r="R43" i="4"/>
  <x:c r="J44" i="4"/>
  <x:c r="R44" i="4"/>
  <x:c r="J45" i="4"/>
  <x:c r="R45" i="4"/>
  <x:c r="J46" i="4"/>
  <x:c r="R46" i="4"/>
  <x:c r="J47" i="4"/>
  <x:c r="R47" i="4"/>
  <x:c r="J48" i="4"/>
  <x:c r="R48" i="4"/>
  <x:c r="J49" i="4"/>
  <x:c r="R49" i="4"/>
  <x:c r="J50" i="4"/>
  <x:c r="R50" i="4"/>
  <x:c r="J51" i="4"/>
  <x:c r="R51" i="4"/>
  <x:c r="J52" i="4"/>
  <x:c r="R52" i="4"/>
  <x:c r="J53" i="4"/>
  <x:c r="R53" i="4"/>
  <x:c r="J54" i="4"/>
  <x:c r="R54" i="4"/>
  <x:c r="J55" i="4"/>
  <x:c r="R55" i="4"/>
  <x:c r="J56" i="4"/>
  <x:c r="R56" i="4"/>
  <x:c r="J57" i="4"/>
  <x:c r="R57" i="4"/>
  <x:c r="J58" i="4"/>
  <x:c r="R58" i="4"/>
  <x:c r="J59" i="4"/>
  <x:c r="R59" i="4"/>
  <x:c r="J60" i="4"/>
  <x:c r="R60" i="4"/>
  <x:c r="J61" i="4"/>
  <x:c r="R61" i="4"/>
  <x:c r="J62" i="4"/>
  <x:c r="R62" i="4"/>
  <x:c r="J63" i="4"/>
  <x:c r="R63" i="4"/>
  <x:c r="J64" i="4"/>
  <x:c r="R64" i="4"/>
  <x:c r="J65" i="4"/>
  <x:c r="R65" i="4"/>
  <x:c r="J66" i="4"/>
  <x:c r="R66" i="4"/>
  <x:c r="J67" i="4"/>
  <x:c r="R67" i="4"/>
  <x:c r="J68" i="4"/>
  <x:c r="R68" i="4"/>
  <x:c r="J69" i="4"/>
  <x:c r="R69" i="4"/>
  <x:c r="J70" i="4"/>
  <x:c r="R70" i="4"/>
  <x:c r="J71" i="4"/>
  <x:c r="R71" i="4"/>
  <x:c r="J72" i="4"/>
  <x:c r="R72" i="4"/>
  <x:c r="J73" i="4"/>
  <x:c r="R73" i="4"/>
  <x:c r="J74" i="4"/>
  <x:c r="R74" i="4"/>
  <x:c r="J75" i="4"/>
  <x:c r="R75" i="4"/>
  <x:c r="J76" i="4"/>
  <x:c r="R76" i="4"/>
  <x:c r="J77" i="4"/>
  <x:c r="R77" i="4"/>
  <x:c r="J78" i="4"/>
  <x:c r="R78" i="4"/>
  <x:c r="J79" i="4"/>
  <x:c r="R79" i="4"/>
  <x:c r="J80" i="4"/>
  <x:c r="R80" i="4"/>
  <x:c r="J81" i="4"/>
  <x:c r="R81" i="4"/>
  <x:c r="J82" i="4"/>
  <x:c r="R82" i="4"/>
  <x:c r="J83" i="4"/>
  <x:c r="R83" i="4"/>
  <x:c r="J84" i="4"/>
  <x:c r="R84" i="4"/>
  <x:c r="J85" i="4"/>
  <x:c r="R85" i="4"/>
  <x:c r="J86" i="4"/>
  <x:c r="R86" i="4"/>
  <x:c r="J87" i="4"/>
  <x:c r="R87" i="4"/>
  <x:c r="J88" i="4"/>
  <x:c r="R88" i="4"/>
  <x:c r="J89" i="4"/>
  <x:c r="R89" i="4"/>
  <x:c r="J90" i="4"/>
  <x:c r="R90" i="4"/>
  <x:c r="J91" i="4"/>
  <x:c r="R91" i="4"/>
  <x:c r="J92" i="4"/>
  <x:c r="R92" i="4"/>
  <x:c r="J93" i="4"/>
  <x:c r="R93" i="4"/>
  <x:c r="J94" i="4"/>
  <x:c r="R94" i="4"/>
  <x:c r="J95" i="4"/>
  <x:c r="R95" i="4"/>
  <x:c r="J96" i="4"/>
  <x:c r="R96" i="4"/>
  <x:c r="J97" i="4"/>
  <x:c r="R97" i="4"/>
  <x:c r="J98" i="4"/>
  <x:c r="R98" i="4"/>
  <x:c r="J99" i="4"/>
  <x:c r="R99" i="4"/>
  <x:c r="J100" i="4"/>
  <x:c r="R100" i="4"/>
  <x:c r="J101" i="4"/>
  <x:c r="R101" i="4"/>
  <x:c r="J102" i="4"/>
  <x:c r="R102" i="4"/>
  <x:c r="J103" i="4"/>
  <x:c r="R103" i="4"/>
  <x:c r="J104" i="4"/>
  <x:c r="R104" i="4"/>
  <x:c r="J105" i="4"/>
  <x:c r="R105" i="4"/>
  <x:c r="J106" i="4"/>
  <x:c r="R106" i="4"/>
  <x:c r="J107" i="4"/>
  <x:c r="R107" i="4"/>
  <x:c r="J108" i="4"/>
  <x:c r="R108" i="4"/>
  <x:c r="J109" i="4"/>
  <x:c r="R109" i="4"/>
  <x:c r="J110" i="4"/>
  <x:c r="R110" i="4"/>
  <x:c r="J111" i="4"/>
  <x:c r="R111" i="4"/>
  <x:c r="J112" i="4"/>
  <x:c r="R112" i="4"/>
  <x:c r="J113" i="4"/>
  <x:c r="R113" i="4"/>
  <x:c r="J114" i="4"/>
  <x:c r="R114" i="4"/>
  <x:c r="J115" i="4"/>
  <x:c r="R115" i="4"/>
  <x:c r="J116" i="4"/>
  <x:c r="R116" i="4"/>
  <x:c r="J117" i="4"/>
  <x:c r="R117" i="4"/>
  <x:c r="J118" i="4"/>
  <x:c r="R118" i="4"/>
  <x:c r="J119" i="4"/>
  <x:c r="R119" i="4"/>
  <x:c r="J120" i="4"/>
  <x:c r="R120" i="4"/>
  <x:c r="J121" i="4"/>
  <x:c r="R121" i="4"/>
  <x:c r="J122" i="4"/>
  <x:c r="R122" i="4"/>
  <x:c r="J123" i="4"/>
  <x:c r="R123" i="4"/>
  <x:c r="J124" i="4"/>
  <x:c r="R124" i="4"/>
  <x:c r="J125" i="4"/>
  <x:c r="R125" i="4"/>
  <x:c r="J126" i="4"/>
  <x:c r="R126" i="4"/>
  <x:c r="J127" i="4"/>
  <x:c r="R127" i="4"/>
  <x:c r="J128" i="4"/>
  <x:c r="R128" i="4"/>
  <x:c r="J129" i="4"/>
  <x:c r="R129" i="4"/>
  <x:c r="J130" i="4"/>
  <x:c r="R130" i="4"/>
  <x:c r="J131" i="4"/>
  <x:c r="R131" i="4"/>
  <x:c r="J132" i="4"/>
  <x:c r="R132" i="4"/>
  <x:c r="J133" i="4"/>
  <x:c r="R133" i="4"/>
  <x:c r="J134" i="4"/>
  <x:c r="R134" i="4"/>
  <x:c r="J135" i="4"/>
  <x:c r="R135" i="4"/>
  <x:c r="J136" i="4"/>
  <x:c r="R136" i="4"/>
  <x:c r="J137" i="4"/>
  <x:c r="R137" i="4"/>
  <x:c r="J138" i="4"/>
  <x:c r="R138" i="4"/>
  <x:c r="J139" i="4"/>
  <x:c r="R139" i="4"/>
  <x:c r="J140" i="4"/>
  <x:c r="R140" i="4"/>
  <x:c r="J141" i="4"/>
  <x:c r="R141" i="4"/>
  <x:c r="J142" i="4"/>
  <x:c r="R142" i="4"/>
  <x:c r="J143" i="4"/>
  <x:c r="R143" i="4"/>
  <x:c r="J144" i="4"/>
  <x:c r="R144" i="4"/>
  <x:c r="J145" i="4"/>
  <x:c r="R145" i="4"/>
  <x:c r="J146" i="4"/>
  <x:c r="R146" i="4"/>
  <x:c r="J147" i="4"/>
  <x:c r="R147" i="4"/>
  <x:c r="J148" i="4"/>
  <x:c r="R148" i="4"/>
  <x:c r="J149" i="4"/>
  <x:c r="R149" i="4"/>
  <x:c r="J150" i="4"/>
  <x:c r="R150" i="4"/>
  <x:c r="J151" i="4"/>
  <x:c r="R151" i="4"/>
  <x:c r="J152" i="4"/>
  <x:c r="R152" i="4"/>
  <x:c r="J153" i="4"/>
  <x:c r="R153" i="4"/>
  <x:c r="J154" i="4"/>
  <x:c r="R154" i="4"/>
  <x:c r="J155" i="4"/>
  <x:c r="R155" i="4"/>
  <x:c r="J156" i="4"/>
  <x:c r="R156" i="4"/>
  <x:c r="J157" i="4"/>
  <x:c r="R157" i="4"/>
  <x:c r="J158" i="4"/>
  <x:c r="R158" i="4"/>
  <x:c r="J159" i="4"/>
  <x:c r="R159" i="4"/>
  <x:c r="J160" i="4"/>
  <x:c r="R160" i="4"/>
  <x:c r="J161" i="4"/>
  <x:c r="R161" i="4"/>
  <x:c r="J162" i="4"/>
  <x:c r="R162" i="4"/>
  <x:c r="J163" i="4"/>
  <x:c r="R163" i="4"/>
  <x:c r="J164" i="4"/>
  <x:c r="R164" i="4"/>
  <x:c r="J165" i="4"/>
  <x:c r="R165" i="4"/>
  <x:c r="J166" i="4"/>
  <x:c r="R166" i="4"/>
  <x:c r="J167" i="4"/>
  <x:c r="R167" i="4"/>
  <x:c r="J168" i="4"/>
  <x:c r="R168" i="4"/>
  <x:c r="J169" i="4"/>
  <x:c r="R169" i="4"/>
  <x:c r="J170" i="4"/>
  <x:c r="R170" i="4"/>
  <x:c r="J171" i="4"/>
  <x:c r="R171" i="4"/>
  <x:c r="J172" i="4"/>
  <x:c r="R172" i="4"/>
  <x:c r="J173" i="4"/>
  <x:c r="R173" i="4"/>
  <x:c r="J174" i="4"/>
  <x:c r="R174" i="4"/>
  <x:c r="J175" i="4"/>
  <x:c r="R175" i="4"/>
  <x:c r="J176" i="4"/>
  <x:c r="R176" i="4"/>
  <x:c r="J177" i="4"/>
  <x:c r="R177" i="4"/>
  <x:c r="J178" i="4"/>
  <x:c r="R178" i="4"/>
  <x:c r="J179" i="4"/>
  <x:c r="R179" i="4"/>
  <x:c r="J180" i="4"/>
  <x:c r="R180" i="4"/>
  <x:c r="J181" i="4"/>
  <x:c r="R181" i="4"/>
  <x:c r="J182" i="4"/>
  <x:c r="R182" i="4"/>
  <x:c r="J183" i="4"/>
  <x:c r="R183" i="4"/>
  <x:c r="J184" i="4"/>
  <x:c r="R184" i="4"/>
  <x:c r="J185" i="4"/>
  <x:c r="R185" i="4"/>
  <x:c r="J186" i="4"/>
  <x:c r="R186" i="4"/>
  <x:c r="J187" i="4"/>
  <x:c r="R187" i="4"/>
  <x:c r="J188" i="4"/>
  <x:c r="R188" i="4"/>
  <x:c r="J189" i="4"/>
  <x:c r="R189" i="4"/>
  <x:c r="J190" i="4"/>
  <x:c r="R190" i="4"/>
  <x:c r="J191" i="4"/>
  <x:c r="R191" i="4"/>
  <x:c r="J192" i="4"/>
  <x:c r="R192" i="4"/>
  <x:c r="J193" i="4"/>
  <x:c r="R193" i="4"/>
  <x:c r="J194" i="4"/>
  <x:c r="R194" i="4"/>
  <x:c r="J195" i="4"/>
  <x:c r="R195" i="4"/>
  <x:c r="J196" i="4"/>
  <x:c r="R196" i="4"/>
  <x:c r="J197" i="4"/>
  <x:c r="R197" i="4"/>
  <x:c r="J198" i="4"/>
  <x:c r="R198" i="4"/>
  <x:c r="J199" i="4"/>
  <x:c r="R199" i="4"/>
  <x:c r="J200" i="4"/>
  <x:c r="R200" i="4"/>
  <x:c r="J201" i="4"/>
  <x:c r="R201" i="4"/>
  <x:c r="J202" i="4"/>
  <x:c r="R202" i="4"/>
  <x:c r="J203" i="4"/>
  <x:c r="R203" i="4"/>
  <x:c r="J204" i="4"/>
  <x:c r="R204" i="4"/>
  <x:c r="J205" i="4"/>
  <x:c r="R205" i="4"/>
  <x:c r="J206" i="4"/>
  <x:c r="R206" i="4"/>
  <x:c r="J207" i="4"/>
  <x:c r="R207" i="4"/>
  <x:c r="J208" i="4"/>
  <x:c r="R208" i="4"/>
  <x:c r="J209" i="4"/>
  <x:c r="R209" i="4"/>
  <x:c r="J210" i="4"/>
  <x:c r="R210" i="4"/>
  <x:c r="J211" i="4"/>
  <x:c r="R211" i="4"/>
  <x:c r="J212" i="4"/>
  <x:c r="R212" i="4"/>
  <x:c r="J213" i="4"/>
  <x:c r="R213" i="4"/>
  <x:c r="J214" i="4"/>
  <x:c r="R214" i="4"/>
  <x:c r="J215" i="4"/>
  <x:c r="R215" i="4"/>
  <x:c r="J216" i="4"/>
  <x:c r="R216" i="4"/>
  <x:c r="J217" i="4"/>
  <x:c r="R217" i="4"/>
  <x:c r="J218" i="4"/>
  <x:c r="R218" i="4"/>
  <x:c r="J219" i="4"/>
  <x:c r="R219" i="4"/>
  <x:c r="J220" i="4"/>
  <x:c r="R220" i="4"/>
  <x:c r="J221" i="4"/>
  <x:c r="R221" i="4"/>
  <x:c r="J222" i="4"/>
  <x:c r="R222" i="4"/>
  <x:c r="J223" i="4"/>
  <x:c r="R223" i="4"/>
  <x:c r="J224" i="4"/>
  <x:c r="R224" i="4"/>
  <x:c r="J225" i="4"/>
  <x:c r="R225" i="4"/>
  <x:c r="J226" i="4"/>
  <x:c r="R226" i="4"/>
  <x:c r="J227" i="4"/>
  <x:c r="R227" i="4"/>
  <x:c r="J228" i="4"/>
  <x:c r="R228" i="4"/>
  <x:c r="J229" i="4"/>
  <x:c r="R229" i="4"/>
  <x:c r="J230" i="4"/>
  <x:c r="R230" i="4"/>
  <x:c r="J231" i="4"/>
  <x:c r="R231" i="4"/>
  <x:c r="J232" i="4"/>
  <x:c r="R232" i="4"/>
  <x:c r="J233" i="4"/>
  <x:c r="R233" i="4"/>
  <x:c r="J234" i="4"/>
  <x:c r="R234" i="4"/>
  <x:c r="J235" i="4"/>
  <x:c r="R235" i="4"/>
  <x:c r="J236" i="4"/>
  <x:c r="R236" i="4"/>
  <x:c r="J237" i="4"/>
  <x:c r="R237" i="4"/>
  <x:c r="J238" i="4"/>
  <x:c r="R238" i="4"/>
  <x:c r="J239" i="4"/>
  <x:c r="R239" i="4"/>
  <x:c r="J240" i="4"/>
  <x:c r="R240" i="4"/>
  <x:c r="J241" i="4"/>
  <x:c r="R241" i="4"/>
  <x:c r="J242" i="4"/>
  <x:c r="R242" i="4"/>
  <x:c r="J243" i="4"/>
  <x:c r="R243" i="4"/>
  <x:c r="J244" i="4"/>
  <x:c r="R244" i="4"/>
  <x:c r="J245" i="4"/>
  <x:c r="R245" i="4"/>
  <x:c r="J246" i="4"/>
  <x:c r="R246" i="4"/>
  <x:c r="J247" i="4"/>
  <x:c r="R247" i="4"/>
  <x:c r="J248" i="4"/>
  <x:c r="R248" i="4"/>
  <x:c r="J249" i="4"/>
  <x:c r="R249" i="4"/>
  <x:c r="J250" i="4"/>
  <x:c r="R250" i="4"/>
  <x:c r="J251" i="4"/>
  <x:c r="R251" i="4"/>
  <x:c r="J252" i="4"/>
  <x:c r="R252" i="4"/>
  <x:c r="J253" i="4"/>
  <x:c r="R253" i="4"/>
  <x:c r="J254" i="4"/>
  <x:c r="R254" i="4"/>
  <x:c r="J255" i="4"/>
  <x:c r="R255" i="4"/>
  <x:c r="J256" i="4"/>
  <x:c r="R256" i="4"/>
  <x:c r="J257" i="4"/>
  <x:c r="R257" i="4"/>
  <x:c r="J258" i="4"/>
  <x:c r="R258" i="4"/>
  <x:c r="J259" i="4"/>
  <x:c r="R259" i="4"/>
  <x:c r="J260" i="4"/>
  <x:c r="R260" i="4"/>
  <x:c r="J261" i="4"/>
  <x:c r="R261" i="4"/>
  <x:c r="J262" i="4"/>
  <x:c r="R262" i="4"/>
  <x:c r="J263" i="4"/>
  <x:c r="R263" i="4"/>
  <x:c r="J264" i="4"/>
  <x:c r="R264" i="4"/>
  <x:c r="J265" i="4"/>
  <x:c r="R265" i="4"/>
  <x:c r="J266" i="4"/>
  <x:c r="R266" i="4"/>
  <x:c r="J267" i="4"/>
  <x:c r="R267" i="4"/>
  <x:c r="J268" i="4"/>
  <x:c r="R268" i="4"/>
  <x:c r="J269" i="4"/>
  <x:c r="R269" i="4"/>
  <x:c r="J270" i="4"/>
  <x:c r="R270" i="4"/>
  <x:c r="J271" i="4"/>
  <x:c r="R271" i="4"/>
  <x:c r="J272" i="4"/>
  <x:c r="R272" i="4"/>
  <x:c r="J273" i="4"/>
  <x:c r="R273" i="4"/>
  <x:c r="J274" i="4"/>
  <x:c r="R274" i="4"/>
  <x:c r="J275" i="4"/>
  <x:c r="R275" i="4"/>
  <x:c r="J276" i="4"/>
  <x:c r="R276" i="4"/>
  <x:c r="J277" i="4"/>
  <x:c r="R277" i="4"/>
  <x:c r="J278" i="4"/>
  <x:c r="R278" i="4"/>
  <x:c r="J279" i="4"/>
  <x:c r="R279" i="4"/>
  <x:c r="J280" i="4"/>
  <x:c r="R280" i="4"/>
  <x:c r="J281" i="4"/>
  <x:c r="R281" i="4"/>
  <x:c r="J282" i="4"/>
  <x:c r="R282" i="4"/>
  <x:c r="J283" i="4"/>
  <x:c r="R283" i="4"/>
  <x:c r="J284" i="4"/>
  <x:c r="R284" i="4"/>
  <x:c r="J285" i="4"/>
  <x:c r="R285" i="4"/>
  <x:c r="J286" i="4"/>
  <x:c r="R286" i="4"/>
  <x:c r="J287" i="4"/>
  <x:c r="R287" i="4"/>
  <x:c r="J288" i="4"/>
  <x:c r="R288" i="4"/>
  <x:c r="J289" i="4"/>
  <x:c r="R289" i="4"/>
  <x:c r="J290" i="4"/>
  <x:c r="R290" i="4"/>
  <x:c r="J291" i="4"/>
  <x:c r="R291" i="4"/>
  <x:c r="J292" i="4"/>
  <x:c r="R292" i="4"/>
  <x:c r="J293" i="4"/>
  <x:c r="R293" i="4"/>
  <x:c r="J294" i="4"/>
  <x:c r="R294" i="4"/>
  <x:c r="J295" i="4"/>
  <x:c r="R295" i="4"/>
  <x:c r="J296" i="4"/>
  <x:c r="R296" i="4"/>
  <x:c r="J297" i="4"/>
  <x:c r="R297" i="4"/>
  <x:c r="J298" i="4"/>
  <x:c r="R298" i="4"/>
  <x:c r="J299" i="4"/>
  <x:c r="R299" i="4"/>
  <x:c r="J300" i="4"/>
  <x:c r="R300" i="4"/>
  <x:c r="J301" i="4"/>
  <x:c r="R301" i="4"/>
  <x:c r="J302" i="4"/>
  <x:c r="R302" i="4"/>
  <x:c r="J303" i="4"/>
  <x:c r="R303" i="4"/>
  <x:c r="J304" i="4"/>
  <x:c r="R304" i="4"/>
  <x:c r="J305" i="4"/>
  <x:c r="R305" i="4"/>
  <x:c r="J306" i="4"/>
  <x:c r="R306" i="4"/>
  <x:c r="J307" i="4"/>
  <x:c r="R307" i="4"/>
  <x:c r="J308" i="4"/>
  <x:c r="R308" i="4"/>
  <x:c r="J309" i="4"/>
  <x:c r="R309" i="4"/>
  <x:c r="J310" i="4"/>
  <x:c r="R310" i="4"/>
  <x:c r="J311" i="4"/>
  <x:c r="R311" i="4"/>
  <x:c r="J312" i="4"/>
  <x:c r="R312" i="4"/>
  <x:c r="J313" i="4"/>
  <x:c r="R313" i="4"/>
  <x:c r="J314" i="4"/>
  <x:c r="R314" i="4"/>
  <x:c r="J315" i="4"/>
  <x:c r="R315" i="4"/>
  <x:c r="J316" i="4"/>
  <x:c r="R316" i="4"/>
  <x:c r="J317" i="4"/>
  <x:c r="R317" i="4"/>
  <x:c r="J318" i="4"/>
  <x:c r="R318" i="4"/>
  <x:c r="J319" i="4"/>
  <x:c r="R319" i="4"/>
  <x:c r="J320" i="4"/>
  <x:c r="R320" i="4"/>
  <x:c r="J321" i="4"/>
  <x:c r="R321" i="4"/>
  <x:c r="J322" i="4"/>
  <x:c r="R322" i="4"/>
  <x:c r="J323" i="4"/>
  <x:c r="R323" i="4"/>
  <x:c r="J324" i="4"/>
  <x:c r="R324" i="4"/>
  <x:c r="J325" i="4"/>
  <x:c r="R325" i="4"/>
  <x:c r="J326" i="4"/>
  <x:c r="R326" i="4"/>
  <x:c r="J327" i="4"/>
  <x:c r="R327" i="4"/>
  <x:c r="J328" i="4"/>
  <x:c r="R328" i="4"/>
  <x:c r="J329" i="4"/>
  <x:c r="R329" i="4"/>
  <x:c r="J330" i="4"/>
  <x:c r="R330" i="4"/>
  <x:c r="J331" i="4"/>
  <x:c r="R331" i="4"/>
  <x:c r="J332" i="4"/>
  <x:c r="R332" i="4"/>
  <x:c r="J333" i="4"/>
  <x:c r="R333" i="4"/>
  <x:c r="J334" i="4"/>
  <x:c r="R334" i="4"/>
  <x:c r="J335" i="4"/>
  <x:c r="R335" i="4"/>
  <x:c r="J336" i="4"/>
  <x:c r="R336" i="4"/>
  <x:c r="J337" i="4"/>
  <x:c r="R337" i="4"/>
  <x:c r="J338" i="4"/>
  <x:c r="R338" i="4"/>
  <x:c r="J339" i="4"/>
  <x:c r="R339" i="4"/>
  <x:c r="J340" i="4"/>
  <x:c r="R340" i="4"/>
  <x:c r="J341" i="4"/>
  <x:c r="R341" i="4"/>
  <x:c r="J342" i="4"/>
  <x:c r="R342" i="4"/>
  <x:c r="J343" i="4"/>
  <x:c r="R343" i="4"/>
  <x:c r="J344" i="4"/>
  <x:c r="R344" i="4"/>
  <x:c r="J345" i="4"/>
  <x:c r="R345" i="4"/>
  <x:c r="J346" i="4"/>
  <x:c r="R346" i="4"/>
  <x:c r="J347" i="4"/>
  <x:c r="R347" i="4"/>
  <x:c r="J348" i="4"/>
  <x:c r="R348" i="4"/>
  <x:c r="J349" i="4"/>
  <x:c r="R349" i="4"/>
  <x:c r="J350" i="4"/>
  <x:c r="R350" i="4"/>
  <x:c r="J351" i="4"/>
  <x:c r="R351" i="4"/>
  <x:c r="J352" i="4"/>
  <x:c r="R352" i="4"/>
  <x:c r="J353" i="4"/>
  <x:c r="R353" i="4"/>
  <x:c r="J354" i="4"/>
  <x:c r="R354" i="4"/>
  <x:c r="J355" i="4"/>
  <x:c r="R355" i="4"/>
  <x:c r="J356" i="4"/>
  <x:c r="R356" i="4"/>
  <x:c r="J357" i="4"/>
  <x:c r="R357" i="4"/>
  <x:c r="J358" i="4"/>
  <x:c r="R358" i="4"/>
  <x:c r="J359" i="4"/>
  <x:c r="R359" i="4"/>
  <x:c r="J360" i="4"/>
  <x:c r="R360" i="4"/>
  <x:c r="J361" i="4"/>
  <x:c r="R361" i="4"/>
  <x:c r="J362" i="4"/>
  <x:c r="R362" i="4"/>
  <x:c r="J363" i="4"/>
  <x:c r="R363" i="4"/>
  <x:c r="J364" i="4"/>
  <x:c r="R364" i="4"/>
  <x:c r="J365" i="4"/>
  <x:c r="R365" i="4"/>
  <x:c r="J366" i="4"/>
  <x:c r="R366" i="4"/>
  <x:c r="J367" i="4"/>
  <x:c r="R367" i="4"/>
  <x:c r="J368" i="4"/>
  <x:c r="R368" i="4"/>
  <x:c r="J369" i="4"/>
  <x:c r="R369" i="4"/>
  <x:c r="J370" i="4"/>
  <x:c r="R370" i="4"/>
  <x:c r="J371" i="4"/>
  <x:c r="R371" i="4"/>
  <x:c r="J372" i="4"/>
  <x:c r="R372" i="4"/>
  <x:c r="J373" i="4"/>
  <x:c r="R373" i="4"/>
  <x:c r="J374" i="4"/>
  <x:c r="R374" i="4"/>
  <x:c r="J375" i="4"/>
  <x:c r="R375" i="4"/>
  <x:c r="J376" i="4"/>
  <x:c r="R376" i="4"/>
  <x:c r="J377" i="4"/>
  <x:c r="R377" i="4"/>
  <x:c r="J378" i="4"/>
  <x:c r="R378" i="4"/>
  <x:c r="J379" i="4"/>
  <x:c r="R379" i="4"/>
  <x:c r="J380" i="4"/>
  <x:c r="R380" i="4"/>
  <x:c r="J381" i="4"/>
  <x:c r="R381" i="4"/>
  <x:c r="J382" i="4"/>
  <x:c r="R382" i="4"/>
  <x:c r="J383" i="4"/>
  <x:c r="R383" i="4"/>
  <x:c r="J384" i="4"/>
  <x:c r="R384" i="4"/>
  <x:c r="J385" i="4"/>
  <x:c r="R385" i="4"/>
  <x:c r="J386" i="4"/>
  <x:c r="R386" i="4"/>
  <x:c r="J387" i="4"/>
  <x:c r="R387" i="4"/>
  <x:c r="J388" i="4"/>
  <x:c r="R388" i="4"/>
  <x:c r="J389" i="4"/>
  <x:c r="R389" i="4"/>
  <x:c r="J390" i="4"/>
  <x:c r="R390" i="4"/>
  <x:c r="J391" i="4"/>
  <x:c r="R391" i="4"/>
  <x:c r="J392" i="4"/>
  <x:c r="R392" i="4"/>
  <x:c r="J393" i="4"/>
  <x:c r="R393" i="4"/>
  <x:c r="J394" i="4"/>
  <x:c r="R394" i="4"/>
  <x:c r="J395" i="4"/>
  <x:c r="R395" i="4"/>
  <x:c r="J396" i="4"/>
  <x:c r="R396" i="4"/>
  <x:c r="J397" i="4"/>
  <x:c r="R397" i="4"/>
  <x:c r="J398" i="4"/>
  <x:c r="R398" i="4"/>
  <x:c r="J399" i="4"/>
  <x:c r="R399" i="4"/>
  <x:c r="J400" i="4"/>
  <x:c r="R400" i="4"/>
  <x:c r="J401" i="4"/>
  <x:c r="R401" i="4"/>
  <x:c r="J402" i="4"/>
  <x:c r="R402" i="4"/>
  <x:c r="J403" i="4"/>
  <x:c r="R403" i="4"/>
  <x:c r="J404" i="4"/>
  <x:c r="R404" i="4"/>
  <x:c r="J405" i="4"/>
  <x:c r="R405" i="4"/>
  <x:c r="J406" i="4"/>
  <x:c r="R406" i="4"/>
  <x:c r="J407" i="4"/>
  <x:c r="R407" i="4"/>
  <x:c r="J408" i="4"/>
  <x:c r="R408" i="4"/>
  <x:c r="J409" i="4"/>
  <x:c r="R409" i="4"/>
  <x:c r="J410" i="4"/>
  <x:c r="R410" i="4"/>
  <x:c r="J411" i="4"/>
  <x:c r="R411" i="4"/>
  <x:c r="J412" i="4"/>
  <x:c r="R412" i="4"/>
  <x:c r="J413" i="4"/>
  <x:c r="R413" i="4"/>
  <x:c r="J414" i="4"/>
  <x:c r="R414" i="4"/>
  <x:c r="J415" i="4"/>
  <x:c r="R415" i="4"/>
  <x:c r="J416" i="4"/>
  <x:c r="R416" i="4"/>
  <x:c r="J417" i="4"/>
  <x:c r="R417" i="4"/>
  <x:c r="J418" i="4"/>
  <x:c r="R418" i="4"/>
  <x:c r="J419" i="4"/>
  <x:c r="R419" i="4"/>
  <x:c r="J420" i="4"/>
  <x:c r="R420" i="4"/>
  <x:c r="J421" i="4"/>
  <x:c r="R421" i="4"/>
  <x:c r="J422" i="4"/>
  <x:c r="R422" i="4"/>
  <x:c r="J423" i="4"/>
  <x:c r="R423" i="4"/>
  <x:c r="J424" i="4"/>
  <x:c r="R424" i="4"/>
  <x:c r="J425" i="4"/>
  <x:c r="R425" i="4"/>
  <x:c r="J426" i="4"/>
  <x:c r="R426" i="4"/>
  <x:c r="J427" i="4"/>
  <x:c r="R427" i="4"/>
  <x:c r="J428" i="4"/>
  <x:c r="R428" i="4"/>
  <x:c r="J429" i="4"/>
  <x:c r="R429" i="4"/>
  <x:c r="J430" i="4"/>
  <x:c r="R430" i="4"/>
  <x:c r="J431" i="4"/>
  <x:c r="R431" i="4"/>
  <x:c r="J432" i="4"/>
  <x:c r="R432" i="4"/>
  <x:c r="J433" i="4"/>
  <x:c r="R433" i="4"/>
  <x:c r="J434" i="4"/>
  <x:c r="R434" i="4"/>
  <x:c r="J435" i="4"/>
  <x:c r="R435" i="4"/>
  <x:c r="J436" i="4"/>
  <x:c r="R436" i="4"/>
  <x:c r="J437" i="4"/>
  <x:c r="R437" i="4"/>
  <x:c r="J438" i="4"/>
  <x:c r="R438" i="4"/>
  <x:c r="J439" i="4"/>
  <x:c r="R439" i="4"/>
  <x:c r="J440" i="4"/>
  <x:c r="R440" i="4"/>
  <x:c r="J441" i="4"/>
  <x:c r="R441" i="4"/>
  <x:c r="J442" i="4"/>
  <x:c r="R442" i="4"/>
  <x:c r="J443" i="4"/>
  <x:c r="R443" i="4"/>
  <x:c r="J444" i="4"/>
  <x:c r="R444" i="4"/>
  <x:c r="J445" i="4"/>
  <x:c r="R445" i="4"/>
  <x:c r="J446" i="4"/>
  <x:c r="R446" i="4"/>
  <x:c r="J447" i="4"/>
  <x:c r="R447" i="4"/>
  <x:c r="J448" i="4"/>
  <x:c r="R448" i="4"/>
  <x:c r="J449" i="4"/>
  <x:c r="R449" i="4"/>
  <x:c r="J450" i="4"/>
  <x:c r="R450" i="4"/>
  <x:c r="J451" i="4"/>
  <x:c r="R451" i="4"/>
  <x:c r="J452" i="4"/>
  <x:c r="R452" i="4"/>
  <x:c r="J453" i="4"/>
  <x:c r="R453" i="4"/>
  <x:c r="J454" i="4"/>
  <x:c r="R454" i="4"/>
  <x:c r="J455" i="4"/>
  <x:c r="R455" i="4"/>
  <x:c r="J456" i="4"/>
  <x:c r="R456" i="4"/>
  <x:c r="J457" i="4"/>
  <x:c r="R457" i="4"/>
  <x:c r="J458" i="4"/>
  <x:c r="R458" i="4"/>
  <x:c r="J459" i="4"/>
  <x:c r="R459" i="4"/>
  <x:c r="J460" i="4"/>
  <x:c r="R460" i="4"/>
  <x:c r="J461" i="4"/>
  <x:c r="R461" i="4"/>
  <x:c r="J462" i="4"/>
  <x:c r="R462" i="4"/>
  <x:c r="J463" i="4"/>
  <x:c r="R463" i="4"/>
  <x:c r="J464" i="4"/>
  <x:c r="R464" i="4"/>
  <x:c r="J465" i="4"/>
  <x:c r="R465" i="4"/>
  <x:c r="J466" i="4"/>
  <x:c r="R466" i="4"/>
  <x:c r="J467" i="4"/>
  <x:c r="R467" i="4"/>
  <x:c r="J468" i="4"/>
  <x:c r="R468" i="4"/>
  <x:c r="J469" i="4"/>
  <x:c r="R469" i="4"/>
  <x:c r="J470" i="4"/>
  <x:c r="R470" i="4"/>
  <x:c r="J471" i="4"/>
  <x:c r="R471" i="4"/>
  <x:c r="J472" i="4"/>
  <x:c r="R472" i="4"/>
  <x:c r="J473" i="4"/>
  <x:c r="R473" i="4"/>
  <x:c r="J474" i="4"/>
  <x:c r="R474" i="4"/>
  <x:c r="J475" i="4"/>
  <x:c r="R475" i="4"/>
  <x:c r="J476" i="4"/>
  <x:c r="R476" i="4"/>
  <x:c r="J477" i="4"/>
  <x:c r="R477" i="4"/>
  <x:c r="J478" i="4"/>
  <x:c r="R478" i="4"/>
  <x:c r="J479" i="4"/>
  <x:c r="R479" i="4"/>
  <x:c r="J480" i="4"/>
  <x:c r="R480" i="4"/>
  <x:c r="J481" i="4"/>
  <x:c r="R481" i="4"/>
  <x:c r="J482" i="4"/>
  <x:c r="R482" i="4"/>
  <x:c r="J483" i="4"/>
  <x:c r="R483" i="4"/>
  <x:c r="J484" i="4"/>
  <x:c r="R484" i="4"/>
  <x:c r="J485" i="4"/>
  <x:c r="R485" i="4"/>
  <x:c r="J486" i="4"/>
  <x:c r="R486" i="4"/>
  <x:c r="J487" i="4"/>
  <x:c r="R487" i="4"/>
  <x:c r="J488" i="4"/>
  <x:c r="R488" i="4"/>
  <x:c r="J489" i="4"/>
  <x:c r="R489" i="4"/>
  <x:c r="J490" i="4"/>
  <x:c r="R490" i="4"/>
  <x:c r="J491" i="4"/>
  <x:c r="R491" i="4"/>
  <x:c r="J492" i="4"/>
  <x:c r="R492" i="4"/>
  <x:c r="J493" i="4"/>
  <x:c r="R493" i="4"/>
  <x:c r="J494" i="4"/>
  <x:c r="R494" i="4"/>
  <x:c r="J495" i="4"/>
  <x:c r="R495" i="4"/>
  <x:c r="J496" i="4"/>
  <x:c r="R496" i="4"/>
  <x:c r="J497" i="4"/>
  <x:c r="R497" i="4"/>
  <x:c r="J498" i="4"/>
  <x:c r="R498" i="4"/>
  <x:c r="J499" i="4"/>
  <x:c r="R499" i="4"/>
  <x:c r="J500" i="4"/>
  <x:c r="R500" i="4"/>
  <x:c r="J501" i="4"/>
  <x:c r="R501" i="4"/>
  <x:c r="J502" i="4"/>
  <x:c r="R502" i="4"/>
  <x:c r="J503" i="4"/>
  <x:c r="R503" i="4"/>
  <x:c r="J504" i="4"/>
  <x:c r="R504" i="4"/>
  <x:c r="J505" i="4"/>
  <x:c r="R505" i="4"/>
  <x:c r="J506" i="4"/>
  <x:c r="R506" i="4"/>
  <x:c r="J507" i="4"/>
  <x:c r="R507" i="4"/>
  <x:c r="J508" i="4"/>
  <x:c r="R508" i="4"/>
  <x:c r="J509" i="4"/>
  <x:c r="R509" i="4"/>
  <x:c r="J510" i="4"/>
  <x:c r="R510" i="4"/>
  <x:c r="J511" i="4"/>
  <x:c r="R511" i="4"/>
  <x:c r="J512" i="4"/>
  <x:c r="R512" i="4"/>
  <x:c r="J513" i="4"/>
  <x:c r="R513" i="4"/>
  <x:c r="J514" i="4"/>
  <x:c r="R514" i="4"/>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<x:sst xmlns:x="http://schemas.openxmlformats.org/spreadsheetml/2006/main">
  <x:si>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</x:si>
  <x:si>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</x:si>
  <x:si>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</x:si>
  <x:si>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</x:si>
  <x:si>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</x:si>
  <x:si>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</x:si>
  <x:si>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</x:si>
  <x:si>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</x:si>
  <x:si>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</x:si>
  <x:si>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</x:si>
  <x:si>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</x:si>
  <x:si>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</x:si>
  <x:si>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</x:si>
  <x:si>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</x:si>
  <x:si>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</x:si>
  <x:si>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</x:si>
  <x:si>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</x:si>
  <x:si>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جدید نیست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</x:si>
  <x:si>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</x:si>
  <x:si>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</x:si>
  <x:si>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</x:si>
  <x:si>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</x:si>
  <x:si>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</x:si>
  <x:si>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</x:si>
  <x:si>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</x:si>
  <x:si>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</x:si>
  <x:si>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</x:si>
  <x:si>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</x:si>
  <x:si>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</x:si>
  <x:si>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</x:si>
  <x:si>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</x:si>
  <x:si>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</x:si>
  <x:si>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</x:si>
  <x:si>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</x:si>
  <x:si>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</x:si>
  <x:si>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</x:si>
  <x:si>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</x:si>
  <x:si>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</x:si>
  <x:si>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</x:si>
  <x:si>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</x:si>
  <x:si>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</x:si>
  <x:si>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</x:si>
  <x:si>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</x:si>
  <x:si>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</x:si>
  <x:si>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</x:si>
  <x:si>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</x:si>
  <x:si>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</x:si>
  <x:si>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</x:si>
  <x:si>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</x:si>
  <x:si>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</x:si>
  <x:si>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</x:si>
  <x:si>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</x:si>
  <x:si>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test</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</x:si>
  <x:si>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</x:si>
  <x:si>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</x:si>
  <x:si>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</x:si>
  <x:si>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</x:si>
  <x:si>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</x:si>
  <x:si>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</x:si>
  <x:si>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</x:si>
  <x:si>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</x:si>
  <x:si>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</x:si>
  <x:si>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</x:si>
  <x:si>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</x:si>
  <x:si>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</x:si>
  <x:si>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</x:si>
  <x:si>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</x:si>
  <x:si>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</x:si>
  <x:si>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</x:si>
  <x:si>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</x:si>
  <x:si>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</x:si>
  <x:si>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</x:si>
  <x:si>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</x:si>
  <x:si>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</x:si>
  <x:si>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</x:si>
  <x:si>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</x:si>
  <x:si>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</x:si>
  <x:si>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</x:si>
  <x:si>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</x:si>
  <x:si>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</x:si>
  <x:si>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</x:si>
  <x:si>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</x:si>
  <x:si>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</x:si>
  <x:si>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</x:si>
  <x:si>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</x:si>
  <x:si>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</x:si>
  <x:si>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</x:si>
  <x:si>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</x:si>
  <x:si>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</x:si>
  <x:si>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</x:si>
  <x:si>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</x:si>
  <x:si>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</x:si>
  <x:si>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</x:si>
  <x:si>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</x:si>
  <x:si>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</x:si>
  <x:si>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</x:si>
  <x:si>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</x:si>
  <x:si>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</x:si>
  <x:si>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</x:si>
  <x:si>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</x:si>
  <x:si>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</x:si>
  <x:si>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</x:si>
  <x:si>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</x:si>
  <x:si>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</x:si>
  <x:si>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</x:si>
  <x:si>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</x:si>
  <x:si>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</x:si>
  <x:si>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</x:si>
  <x:si>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</x:si>
  <x:si>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</x:si>
  <x:si>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</x:si>
  <x:si>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</x:si>
  <x:si>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</x:si>
  <x:si>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</x:si>
  <x:si>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</x:si>
  <x:si>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</x:si>
  <x:si>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</x:si>
  <x:si>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</x:si>
  <x:si>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</x:si>
  <x:si>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</x:si>
  <x:si>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</x:si>
  <x:si>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</x:si>
  <x:si>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</x:si>
  <x:si>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</x:si>
  <x:si>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</x:si>
  <x:si>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</x:si>
  <x:si>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</x:si>
  <x:si>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</x:si>
  <x:si>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</x:si>
  <x:si>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</x:si>
  <x:si>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</x:si>
  <x:si>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</x:si>
  <x:si>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</x:si>
  <x:si>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</x:si>
  <x:si>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</x:si>
  <x:si>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</x:si>
  <x:si>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</x:si>
  <x:si>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</x:si>
  <x:si>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</x:si>
  <x:si>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</x:si>
  <x:si>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</x:si>
  <x:si>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</x:si>
  <x:si>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</x:si>
  <x:si>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</x:si>
  <x:si>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</x:si>
  <x:si>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</x:si>
  <x:si>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</x:si>
  <x:si>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</x:si>
  <x:si>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</x:si>
  <x:si>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</x:si>
  <x:si>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</x:si>
  <x:si>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</x:si>
  <x:si>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</x:si>
  <x:si>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</x:si>
  <x:si>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</x:si>
  <x:si>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</x:si>
  <x:si>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</x:si>
  <x:si>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</x:si>
  <x:si>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</x:si>
  <x:si>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</x:si>
  <x:si>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</x:si>
  <x:si>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</x:si>
  <x:si>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</x:si>
  <x:si>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</x:si>
  <x:si>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</x:si>
  <x:si>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</x:si>
  <x:si>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</x:si>
  <x:si>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</x:si>
  <x:si>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</x:si>
  <x:si>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</x:si>
  <x:si>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</x:si>
  <x:si>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</x:si>
  <x:si>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</x:si>
  <x:si>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</x:si>
  <x:si>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</x:si>
  <x:si>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</x:si>
  <x:si>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</x:si>
  <x:si>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</x:si>
  <x:si>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</x:si>
  <x:si>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</x:si>
  <x:si>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</x:si>
  <x:si>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</x:si>
  <x:si>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</x:si>
  <x:si>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</x:si>
  <x:si>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</x:si>
  <x:si>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</x:si>
  <x:si>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</x:si>
  <x:si>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</x:si>
  <x:si>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</x:si>
  <x:si>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(شباهت نام)</x:t>
  </x:si>
  <x:si>
    <x:t>نام معین پیشنهادی</x:t>
  </x:si>
  <x:si>
    <x:t>✎ معین جدید نهایی</x:t>
  </x:si>
  <x:si>
    <x:t>نام معین نهایی (خودکار)</x:t>
  </x:si>
  <x:si>
    <x:t>09</x:t>
  </x:si>
  <x:si>
    <x:t>روز جانباز</x:t>
  </x:si>
  <x:si>
    <x:t>2</x:t>
  </x:si>
  <x:si>
    <x:t>1</x:t>
  </x:si>
  <x:si>
    <x:t>بله</x:t>
  </x:si>
  <x:si>
    <x:t>— مورد مشابهی پیدا نشد —</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</x:si>
  <x:si>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</x:si>
  <x:si>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</x:si>
  <x:si>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</x:si>
  <x:si>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</x:si>
  <x:si>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</x:si>
  <x:si>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</x:si>
  <x:si>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</x:si>
  <x:si>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</x:si>
  <x:si>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</x:si>
  <x:si>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</x:si>
  <x:si>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</x:si>
  <x:si>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</x:si>
  <x:si>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</x:si>
  <x:si>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</x:si>
  <x:si>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</x:si>
  <x:si>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</x:si>
  <x:si>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</x:si>
  <x:si>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</x:si>
  <x:si>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</x:si>
  <x:si>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204020</x:t>
  </x:si>
  <x:si>
    <x:t>امتيازات</x:t>
  </x:si>
  <x:si>
    <x:t>امتياز تلفن</x:t>
  </x:si>
  <x:si>
    <x:t>پيش پرداخت  هاي  غير سرمايه اي</x:t>
  </x:si>
  <x:si>
    <x:t>301030</x:t>
  </x:si>
  <x:si>
    <x:t>پيش  پرداختهاي غيرسرمايه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</x:si>
  <x:si>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</x:si>
  <x:si>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</x:si>
  <x:si>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</x:si>
  <x:si>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</x:si>
  <x:si>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</x:si>
  <x:si>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302010</x:t>
  </x:si>
  <x:si>
    <x:t>موجودي انبار</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</x:si>
  <x:si>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</x:si>
  <x:si>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</x:si>
  <x:si>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</x:si>
  <x:si>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</x:si>
  <x:si>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</x:si>
  <x:si>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</x:si>
  <x:si>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</x:si>
  <x:si>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</x:si>
  <x:si>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</x:si>
  <x:si>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</x:si>
  <x:si>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</x:si>
  <x:si>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</x:si>
  <x:si>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306010</x:t>
  </x:si>
  <x:si>
    <x:t>بانك  درآمد- حق بيمه</x:t>
  </x:si>
  <x:si>
    <x:t>بانك  پرداخت  هزينه هاي  پرسنلي  واداري</x:t>
  </x:si>
  <x:si>
    <x:t>306020</x:t>
  </x:si>
  <x:si>
    <x:t>بانکهاي ريالي</x:t>
  </x:si>
  <x:si>
    <x:t>بانك تنخواه كارت</x:t>
  </x:si>
  <x:si>
    <x:t>306011</x:t>
  </x:si>
  <x:si>
    <x:t>بانک 1</x:t>
  </x:si>
  <x:si>
    <x:t>01</x:t>
  </x:si>
  <x:si>
    <x:t>وزارت  دارائي</x:t>
  </x:si>
  <x:si>
    <x:t>303010</x:t>
  </x:si>
  <x:si>
    <x:t>كارمزد وزارت  نفت</x:t>
  </x:si>
  <x:si>
    <x:t>04</x:t>
  </x:si>
  <x:si>
    <x:t>صندوق  كارگشائي - وام  كاركنان</x:t>
  </x:si>
  <x:si>
    <x:t>702010</x:t>
  </x:si>
  <x:si>
    <x:t>كمك  ازدواج کارکنان</x:t>
  </x:si>
  <x:si>
    <x:t>بيمه مازاد درمان گروهي همکاران شاغل</x:t>
  </x:si>
  <x:si>
    <x:t>حق  اشتراك  صندوق  كارگشائي</x:t>
  </x:si>
  <x:si>
    <x:t>شركت  سهامي  بيمه  (حق  بيمه  عمر)</x:t>
  </x:si>
  <x:si>
    <x:t>607010</x:t>
  </x:si>
  <x:si>
    <x:t>3% حق بيمه بيكاري</x:t>
  </x:si>
  <x:si>
    <x:t>اقساط وصولي  كاركنان  سازمان</x:t>
  </x:si>
  <x:si>
    <x:t>16</x:t>
  </x:si>
  <x:si>
    <x:t>حق  بيمه  مكسوره  ازقراردادهاماده  38 قانون</x:t>
  </x:si>
  <x:si>
    <x:t>603040</x:t>
  </x:si>
  <x:si>
    <x:t>خسارت وصولي حق بيمه بند ب  ماده 39 قانون توسعه</x:t>
  </x:si>
  <x:si>
    <x:t>18</x:t>
  </x:si>
  <x:si>
    <x:t>10% مكسوره  حسن  انجام  كار</x:t>
  </x:si>
  <x:si>
    <x:t>وجوه  مكسوره  حق  بيمه  عمروحوادث  تكميلي</x:t>
  </x:si>
  <x:si>
    <x:t>301020</x:t>
  </x:si>
  <x:si>
    <x:t>خسارت بيمه عمر و حوادث</x:t>
  </x:si>
  <x:si>
    <x:t>27% حق  بيمه  كاركنان  درمان</x:t>
  </x:si>
  <x:si>
    <x:t>tahator</x:t>
  </x:si>
  <x:si>
    <x:t>ماليات ارزش افزوده اموال اداري</x:t>
  </x:si>
  <x:si>
    <x:t>هزينه هاي  معوق</x:t>
  </x:si>
  <x:si>
    <x:t>510101</x:t>
  </x:si>
  <x:si>
    <x:t>هزينه اينترنت</x:t>
  </x:si>
  <x:si>
    <x:t>شركت مهندسي تاسيسات تامين و ساير</x:t>
  </x:si>
  <x:si>
    <x:t>601020</x:t>
  </x:si>
  <x:si>
    <x:t>درآمد حق بيمه اشخاص</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</x:si>
  <x:si>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</x:si>
  <x:si>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</x:si>
  <x:si>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</x:si>
  <x:si>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</x:si>
  <x:si>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</x:si>
  <x:si>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</x:si>
  <x:si>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</x:si>
  <x:si>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604010</x:t>
  </x:si>
  <x:si>
    <x:t>كمك  وهداياي  دولت  وموسسات  وابسته</x:t>
  </x:si>
  <x:si>
    <x:t>25</x:t>
  </x:si>
  <x:si>
    <x:t>درآمد اختصاصي  مراكز درماني  سازمان</x:t>
  </x:si>
  <x:si>
    <x:t>605080</x:t>
  </x:si>
  <x:si>
    <x:t>درآمدحاصل  ازصدورمجدددفترچه  درمان</x:t>
  </x:si>
  <x:si>
    <x:t>درآمدهاي  متفرقه</x:t>
  </x:si>
  <x:si>
    <x:t>605090</x:t>
  </x:si>
  <x:si>
    <x:t>درآمد حاصل  ازسپرده  شركتها</x:t>
  </x:si>
  <x:si>
    <x:t>درآمد حاصل  از فروش  اموال  منقول</x:t>
  </x:si>
  <x:si>
    <x:t>605050</x:t>
  </x:si>
  <x:si>
    <x:t>درآمدحاصل ازاموال  تبصره 82</x:t>
  </x:si>
  <x:si>
    <x:t>كمك  هزينه  فوت</x:t>
  </x:si>
  <x:si>
    <x:t>702020</x:t>
  </x:si>
  <x:si>
    <x:t>كمك  هزينه اولاد</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</x:si>
  <x:si>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</x:si>
  <x:si>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</x:si>
  <x:si>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</x:si>
  <x:si>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</x:si>
  <x:si>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</x:si>
  <x:si>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</x:si>
  <x:si>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</x:si>
  <x:si>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</x:si>
  <x:si>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</x:si>
  <x:si>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</x:si>
  <x:si>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</x:si>
  <x:si>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</x:si>
  <x:si>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</x:si>
  <x:si>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</x:si>
  <x:si>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</x:si>
  <x:si>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304020</x:t>
  </x:si>
  <x:si>
    <x:t>موجودي غيرنقد</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</x:si>
  <x:si>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</x:si>
  <x:si>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</x:si>
  <x:si>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</x:si>
  <x:si>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</x:si>
  <x:si>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</x:si>
  <x:si>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</x:si>
  <x:si>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702030</x:t>
  </x:si>
  <x:si>
    <x:t>كمك  هزينه عائله مندي</x:t>
  </x:si>
  <x:si>
    <x:t>50% حق  بيمه  عمر و حوادث  سهم  سازمان</x:t>
  </x:si>
  <x:si>
    <x:t>8% كمك به صندوق پس اندازوكارگشائي</x:t>
  </x:si>
  <x:si>
    <x:t>607020</x:t>
  </x:si>
  <x:si>
    <x:t>كمك  دولت  به  صندوق  بيمه  بيكاري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</x:si>
  <x:si>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</x:si>
  <x:si>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</x:si>
  <x:si>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</x:si>
  <x:si>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</x:si>
  <x:si>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</x:si>
  <x:si>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</x:si>
  <x:si>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</x:si>
  <x:si>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</x:si>
  <x:si>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</x:si>
  <x:si>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</x:si>
  <x:si>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</x:si>
  <x:si>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</x:si>
  <x:si>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</x:si>
  <x:si>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</x:si>
  <x:si>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201010</x:t>
  </x:si>
  <x:si>
    <x:t>حق  بيمه  دارائي  هاي  ثابت  و جاري</x:t>
  </x:si>
  <x:si>
    <x:t>202010</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</x:si>
  <x:si>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</x:si>
  <x:si>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</x:si>
  <x:si>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</x:si>
  <x:si>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</x:si>
  <x:si>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</x:si>
  <x:si>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</x:si>
  <x:si>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</x:si>
  <x:si>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</x:si>
  <x:si>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</x:si>
  <x:si>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</x:si>
  <x:si>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</x:si>
  <x:si>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</x:si>
  <x:si>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</x:si>
  <x:si>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</x:si>
  <x:si>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</x:si>
  <x:si>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</x:si>
  <x:si>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601030</x:t>
  </x:si>
  <x:si>
    <x:t>حق بيمه سهم دولت - 3%</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</x:si>
  <x:si>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</x:si>
  <x:si>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</x:si>
  <x:si>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</x:si>
  <x:si>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</x:si>
  <x:si>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</x:si>
  <x:si>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</x:si>
  <x:si>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</x:si>
  <x:si>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</x:si>
  <x:si>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</x:si>
  <x:si>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</x:si>
  <x:si>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303021</x:t>
  </x:si>
  <x:si>
    <x:t>45</x:t>
  </x:si>
  <x:si>
    <x:t>نيروهاي شركت تاسيسات انرژي تامين</x:t>
  </x:si>
  <x:si>
    <x:t>حساب  افتتاحيه</x:t>
  </x:si>
  <x:si>
    <x:t>3</x:t>
  </x:si>
  <x:si>
    <x:t>اعلاميه صادره  درآمد</x:t>
  </x:si>
  <x:si>
    <x:t>921001</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</x:si>
  <x:si>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</x:si>
  <x:si>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</x:si>
  <x:si>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</x:si>
  <x:si>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</x:si>
  <x:si>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</x:si>
  <x:si>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</x:si>
  <x:si>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301010</x:t>
  </x:si>
  <x:si>
    <x:t>سفارشات  اعتبارات  اسنادي</x:t>
  </x:si>
  <x:si>
    <x:t>حساب رابط</x:t>
  </x:si>
  <x:si>
    <x:t>303062</x:t>
  </x:si>
  <x:si>
    <x:t>حساب دولت</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</x:si>
  <x:si>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</x:si>
  <x:si>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</x:si>
  <x:si>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</x:si>
  <x:si>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</x:si>
  <x:si>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</x:si>
  <x:si>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</x:si>
  <x:si>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</x:si>
  <x:si>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</x:si>
  <x:si>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</x:si>
  <x:si>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</x:si>
  <x:si>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</x:si>
  <x:si>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</x:si>
  <x:si>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</x:si>
  <x:si>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</x:si>
  <x:si>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</x:si>
  <x:si>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</x:si>
  <x:si>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</x:si>
  <x:si>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</x:si>
  <x:si>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</x:si>
  <x:si>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</x:si>
  <x:si>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</x:si>
  <x:si>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</x:si>
  <x:si>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</x:si>
  <x:si>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</x:si>
  <x:si>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</x:si>
  <x:si>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</x:si>
  <x:si>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204010</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</x:si>
  <x:si>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</x:si>
  <x:si>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</x:si>
  <x:si>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</x:si>
  <x:si>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</x:si>
  <x:si>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</x:si>
  <x:si>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</x:si>
  <x:si>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</x:si>
  <x:si>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</x:si>
  <x:si>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204030</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</x:si>
  <x:si>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</x:si>
  <x:si>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</x:si>
  <x:si>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</x:si>
  <x:si>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</x:si>
  <x:si>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</x:si>
  <x:si>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</x:si>
  <x:si>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</x:si>
  <x:si>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</x:si>
  <x:si>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</x:si>
  <x:si>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</x:si>
  <x:si>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</x:si>
  <x:si>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</x:si>
  <x:si>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</x:si>
  <x:si>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</x:si>
  <x:si>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</x:si>
  <x:si>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303030</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</x:si>
  <x:si>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</x:si>
  <x:si>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</x:si>
  <x:si>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</x:si>
  <x:si>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</x:si>
  <x:si>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</x:si>
  <x:si>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</x:si>
  <x:si>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</x:si>
  <x:si>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</x:si>
  <x:si>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</x:si>
  <x:si>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</x:si>
  <x:si>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</x:si>
  <x:si>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</x:si>
  <x:si>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</x:si>
  <x:si>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</x:si>
  <x:si>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</x:si>
  <x:si>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</x:si>
  <x:si>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</x:si>
  <x:si>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</x:si>
  <x:si>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</x:si>
  <x:si>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</x:si>
  <x:si>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</x:si>
  <x:si>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304010</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</x:si>
  <x:si>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</x:si>
  <x:si>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</x:si>
  <x:si>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</x:si>
  <x:si>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</x:si>
  <x:si>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</x:si>
  <x:si>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</x:si>
  <x:si>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</x:si>
  <x:si>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</x:si>
  <x:si>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</x:si>
  <x:si>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</x:si>
  <x:si>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</x:si>
  <x:si>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</x:si>
  <x:si>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</x:si>
  <x:si>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</x:si>
  <x:si>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</x:si>
  <x:si>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</x:si>
  <x:si>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</x:si>
  <x:si>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</x:si>
  <x:si>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</x:si>
  <x:si>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</x:si>
  <x:si>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</x:si>
  <x:si>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</x:si>
  <x:si>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</x:si>
  <x:si>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</x:si>
  <x:si>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602010</x:t>
  </x:si>
  <x:si>
    <x:t>درآمدحاصل ازسرمايه گذاري شرکت ها و موسسات</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</x:si>
  <x:si>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</x:si>
  <x:si>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</x:si>
  <x:si>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</x:si>
  <x:si>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</x:si>
  <x:si>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</x:si>
  <x:si>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</x:si>
  <x:si>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</x:si>
  <x:si>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</x:si>
  <x:si>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</x:si>
  <x:si>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</x:si>
  <x:si>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</x:si>
  <x:si>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</x:si>
  <x:si>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</x:si>
  <x:si>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</x:si>
  <x:si>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603060</x:t>
  </x:si>
  <x:si>
    <x:t>خسارت  سوء استفاده دفترچه درماني</x:t>
  </x:si>
  <x:si>
    <x:t>خسارت  موضوع  تبصره  3 قانون  بيمه  رانندگان</x:t>
  </x:si>
  <x:si>
    <x:t>603080</x:t>
  </x:si>
  <x:si>
    <x:t>خسارت  موضوع  تبصره 3 قانون بيمه</x:t>
  </x:si>
  <x:si>
    <x:t>كمك  وهداياي  دولت  و موسسات  وابسته</x:t>
  </x:si>
  <x:si>
    <x:t>درآمد حاصل  از اموال  تبصره  82</x:t>
  </x:si>
  <x:si>
    <x:t>درآمد حاصل  ازخدمات  رفاهي</x:t>
  </x:si>
  <x:si>
    <x:t>605070</x:t>
  </x:si>
  <x:si>
    <x:t>درآمدحاصل  از خدمات  رفاهي</x:t>
  </x:si>
  <x:si>
    <x:t>درآمد حاصل  ازفروش  پساب  و فيلم  راديولوژي</x:t>
  </x:si>
  <x:si>
    <x:t>605030</x:t>
  </x:si>
  <x:si>
    <x:t>درآمدحاصل ازدفترچه مفقودي</x:t>
  </x:si>
  <x:si>
    <x:t>درآمد حاصل  از طب  كار</x:t>
  </x:si>
  <x:si>
    <x:t>درآمد حاصل  ازآموزش  دانشجويان  دانشگاه آزاد</x:t>
  </x:si>
  <x:si>
    <x:t>605020</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</x:si>
  <x:si>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</x:si>
  <x:si>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</x:si>
  <x:si>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</x:si>
  <x:si>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</x:si>
  <x:si>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</x:si>
  <x:si>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</x:si>
  <x:si>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</x:si>
  <x:si>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</x:si>
  <x:si>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</x:si>
  <x:si>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</x:si>
  <x:si>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701010</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</x:si>
  <x:si>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</x:si>
  <x:si>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</x:si>
  <x:si>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</x:si>
  <x:si>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</x:si>
  <x:si>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</x:si>
  <x:si>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</x:si>
  <x:si>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</x:si>
  <x:si>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</x:si>
  <x:si>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</x:si>
  <x:si>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</x:si>
  <x:si>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</x:si>
  <x:si>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</x:si>
  <x:si>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</x:si>
  <x:si>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</x:si>
  <x:si>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</x:si>
  <x:si>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</x:si>
  <x:si>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</x:si>
  <x:si>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</x:si>
  <x:si>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</x:si>
  <x:si>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</x:si>
  <x:si>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</x:si>
  <x:si>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601010</x:t>
  </x:si>
  <x:si>
    <x:t>حق بيمه وصولي ازكارگاه ها 27%</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</x:si>
  <x:si>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</x:si>
  <x:si>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</x:si>
  <x:si>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</x:si>
  <x:si>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</x:si>
  <x:si>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</x:si>
  <x:si>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</x:si>
  <x:si>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</x:si>
  <x:si>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</x:si>
  <x:si>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</x:si>
  <x:si>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</x:si>
  <x:si>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</x:si>
  <x:si>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</x:si>
  <x:si>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</x:si>
  <x:si>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</x:si>
  <x:si>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</x:si>
  <x:si>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</x:si>
  <x:si>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</x:si>
  <x:si>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</x:si>
  <x:si>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</x:si>
  <x:si>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</x:si>
  <x:si>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</x:si>
  <x:si>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605040</x:t>
  </x:si>
  <x:si>
    <x:t>كارمزد وصولي  از وزارت  نفت</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</x:si>
  <x:si>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</x:si>
  <x:si>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</x:si>
  <x:si>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</x:si>
  <x:si>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</x:si>
  <x:si>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</x:si>
  <x:si>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</x:si>
  <x:si>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</x:si>
  <x:si>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</x:si>
  <x:si>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</x:si>
  <x:si>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</x:si>
  <x:si>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</x:si>
  <x:si>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</x:si>
  <x:si>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</x:si>
  <x:si>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</x:si>
  <x:si>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</x:si>
  <x:si>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</x:si>
  <x:si>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</x:si>
  <x:si>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</x:si>
  <x:si>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</x:si>
  <x:si>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</x:si>
  <x:si>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</x:si>
  <x:si>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</x:si>
  <x:si>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</x:si>
  <x:si>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</x:si>
  <x:si>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</x:si>
  <x:si>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</x:si>
  <x:si>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</x:si>
  <x:si>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</x:si>
  <x:si>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</x:si>
  <x:si>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</x:si>
  <x:si>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</x:si>
  <x:si>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</x:si>
  <x:si>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</x:si>
  <x:si>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</x:si>
  <x:si>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</x:si>
  <x:si>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</x:si>
  <x:si>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</x:si>
  <x:si>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</x:si>
  <x:si>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</x:si>
  <x:si>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</x:si>
  <x:si>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</x:si>
  <x:si>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</x:si>
  <x:si>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</x:si>
  <x:si>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</x:si>
  <x:si>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</x:si>
  <x:si>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</x:si>
  <x:si>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</x:si>
  <x:si>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</x:si>
  <x:si>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</x:si>
  <x:si>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</x:si>
  <x:si>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</x:si>
  <x:si>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</x:si>
  <x:si>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</x:si>
  <x:si>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</x:si>
  <x:si>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</x:si>
  <x:si>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</x:si>
  <x:si>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</x:si>
  <x:si>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</x:si>
  <x:si>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</x:si>
  <x:si>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</x:si>
  <x:si>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</x:si>
  <x:si>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</x:si>
  <x:si>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</x:si>
  <x:si>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</x:si>
  <x:si>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</x:si>
  <x:si>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</x:si>
  <x:si>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</x:si>
  <x:si>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</x:si>
  <x:si>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</x:si>
  <x:si>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</x:si>
  <x:si>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</x:si>
  <x:si>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</x:si>
  <x:si>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</x:si>
  <x:si>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</x:si>
  <x:si>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</x:si>
  <x:si>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</x:si>
  <x:si>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</x:si>
  <x:si>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</x:si>
  <x:si>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</x:si>
  <x:si>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</x:si>
  <x:si>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</x:si>
  <x:si>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</x:si>
  <x:si>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</x:si>
  <x:si>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</x:si>
  <x:si>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</x:si>
  <x:si>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</x:si>
  <x:si>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</x:si>
  <x:si>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</x:si>
  <x:si>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</x:si>
  <x:si>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</x:si>
  <x:si>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</x:si>
  <x:si>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ادغام با تفصیلی دیگر</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</x:si>
  <x:si>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</x:si>
  <x:si>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</x:si>
  <x:si>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</x:si>
  <x:si>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</x:si>
  <x:si>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</x:si>
  <x:si>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</x:si>
  <x:si>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</x:si>
  <x:si>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</x:si>
  <x:si>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</x:si>
  <x:si>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</x:si>
  <x:si>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</x:si>
  <x:si>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</x:si>
  <x:si>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</x:si>
  <x:si>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</x:si>
  <x:si>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</x:si>
  <x:si>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</x:si>
  <x:si>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</x:si>
  <x:si>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</x:si>
  <x:si>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</x:si>
  <x:si>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</x:si>
  <x:si>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</x:si>
  <x:si>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</x:si>
  <x:si>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</x:si>
  <x:si>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</x:si>
  <x:si>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</x:si>
  <x:si>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</x:si>
  <x:si>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</x:si>
  <x:si>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</x:si>
  <x:si>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</x:si>
  <x:si>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</x:si>
  <x:si>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</x:si>
  <x:si>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</x:si>
  <x:si>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</x:si>
  <x:si>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</x:si>
  <x:si>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</x:si>
  <x:si>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</x:si>
  <x:si>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</x:si>
  <x:si>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</x:si>
  <x:si>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</x:si>
  <x:si>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</x:si>
  <x:si>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</x:si>
  <x:si>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</x:si>
  <x:si>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</x:si>
  <x:si>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</x:si>
  <x:si>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</x:si>
  <x:si>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</x:si>
  <x:si>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</x:si>
  <x:si>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</x:si>
  <x:si>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</x:si>
  <x:si>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</x:si>
  <x:si>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</x:si>
  <x:si>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</x:si>
  <x:si>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</x:si>
  <x:si>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</x:si>
  <x:si>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</x:si>
  <x:si>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</x:si>
  <x:si>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</x:si>
  <x:si>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</x:si>
  <x:si>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</x:si>
  <x:si>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</x:si>
  <x:si>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</x:si>
  <x:si>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</x:si>
  <x:si>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</x:si>
  <x:si>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</x:si>
  <x:si>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</x:si>
  <x:si>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</x:si>
  <x:si>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</x:si>
  <x:si>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</x:si>
  <x:si>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</x:si>
  <x:si>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</x:si>
  <x:si>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</x:si>
  <x:si>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</x:si>
  <x:si>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</x:si>
  <x:si>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</x:si>
  <x:si>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</x:si>
  <x:si>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</x:si>
  <x:si>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</x:si>
  <x:si>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</x:si>
  <x:si>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</x:si>
  <x:si>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</x:si>
  <x:si>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</x:si>
  <x:si>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</x:si>
  <x:si>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</x:si>
  <x:si>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</x:si>
  <x:si>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</x:si>
  <x:si>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</x:si>
  <x:si>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</x:si>
  <x:si>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</x:si>
  <x:si>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</x:si>
  <x:si>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</x:si>
  <x:si>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</x:si>
  <x:si>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</x:si>
  <x:si>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</x:si>
  <x:si>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</x:si>
  <x:si>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</x:si>
  <x:si>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</x:si>
  <x:si>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</x:si>
  <x:si>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</x:si>
  <x:si>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</x:si>
  <x:si>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</x:si>
  <x:si>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</x:si>
  <x:si>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</x:si>
  <x:si>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</x:si>
  <x:si>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</x:si>
  <x:si>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</x:si>
  <x:si>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</x:si>
  <x:si>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</x:si>
  <x:si>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</x:si>
  <x:si>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</x:si>
  <x:si>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</x:si>
  <x:si>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</x:si>
  <x:si>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</x:si>
  <x:si>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</x:si>
  <x:si>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</x:si>
  <x:si>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</x:si>
  <x:si>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</x:si>
  <x:si>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</x:si>
  <x:si>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</x:si>
  <x:si>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</x:si>
  <x:si>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</x:si>
  <x:si>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</x:si>
  <x:si>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</x:si>
  <x:si>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</x:si>
  <x:si>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</x:si>
  <x:si>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</x:si>
  <x:si>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</x:si>
  <x:si>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</x:si>
  <x:si>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</x:si>
  <x:si>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</x:si>
  <x:si>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</x:si>
  <x:si>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</x:si>
  <x:si>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</x:si>
  <x:si>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</x:si>
  <x:si>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</x:si>
  <x:si>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</x:si>
  <x:si>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</x:si>
  <x:si>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</x:si>
  <x:si>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</x:si>
  <x:si>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</x:si>
  <x:si>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</x:si>
  <x:si>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</x:si>
  <x:si>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</x:si>
  <x:si>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</x:si>
  <x:si>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</x:si>
  <x:si>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</x:si>
  <x:si>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</x:si>
  <x:si>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</x:si>
  <x:si>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</x:si>
  <x:si>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</x:si>
  <x:si>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</x:si>
  <x:si>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</x:si>
  <x:si>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</x:si>
  <x:si>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</x:si>
  <x:si>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</x:si>
  <x:si>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</x:si>
  <x:si>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</x:si>
  <x:si>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</x:si>
  <x:si>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</x:si>
  <x:si>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</x:si>
  <x:si>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</x:si>
  <x:si>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</x:si>
  <x:si>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</x:si>
  <x:si>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</x:si>
  <x:si>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</x:si>
  <x:si>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</x:si>
  <x:si>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</x:si>
  <x:si>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</x:si>
  <x:si>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</x:si>
  <x:si>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</x:si>
  <x:si>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</x:si>
  <x:si>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</x:si>
  <x:si>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</x:si>
  <x:si>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</x:si>
  <x:si>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</x:si>
  <x:si>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</x:si>
  <x:si>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</x:si>
  <x:si>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</x:si>
  <x:si>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</x:si>
  <x:si>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</x:si>
  <x:si>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</x:si>
  <x:si>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</x:si>
  <x:si>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</x:si>
  <x:si>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</x:si>
  <x:si>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</x:si>
  <x:si>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</x:si>
  <x:si>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</x:si>
  <x:si>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</x:si>
  <x:si>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</x:si>
  <x:si>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</x:si>
  <x:si>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</x:si>
  <x:si>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</x:si>
  <x:si>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</x:si>
  <x:si>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</x:si>
  <x:si>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</x:si>
  <x:si>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</x:si>
  <x:si>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</x:si>
  <x:si>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</x:si>
  <x:si>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</x:si>
  <x:si>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</x:si>
  <x:si>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</x:si>
  <x:si>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</x:si>
  <x:si>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</x:si>
  <x:si>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</x:si>
  <x:si>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</x:si>
  <x:si>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</x:si>
  <x:si>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</x:si>
  <x:si>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</x:si>
  <x:si>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</x:si>
  <x:si>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</x:si>
  <x:si>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</x:si>
  <x:si>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</x:si>
  <x:si>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</x:si>
  <x:si>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</x:si>
  <x:si>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</x:si>
  <x:si>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</x:si>
  <x:si>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</x:si>
  <x:si>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</x:si>
  <x:si>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</x:si>
  <x:si>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</x:si>
  <x:si>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</x:si>
  <x:si>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</x:si>
  <x:si>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</x:si>
  <x:si>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</x:si>
  <x:si>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</x:si>
  <x:si>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</x:si>
  <x:si>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</x:si>
  <x:si>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</x:si>
  <x:si>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</x:si>
  <x:si>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</x:si>
  <x:si>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</x:si>
  <x:si>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</x:si>
  <x:si>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</x:si>
  <x:si>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</x:si>
  <x:si>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</x:si>
  <x:si>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</x:si>
  <x:si>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</x:si>
  <x:si>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</x:si>
  <x:si>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</x:si>
  <x:si>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</x:si>
  <x:si>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</x:si>
  <x:si>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</x:si>
  <x:si>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</x:si>
  <x:si>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</x:si>
  <x:si>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</x:si>
  <x:si>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</x:si>
  <x:si>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</x:si>
  <x:si>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</x:si>
  <x:si>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</x:si>
  <x:si>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</x:si>
  <x:si>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</x:si>
  <x:si>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</x:si>
  <x:si>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</x:si>
  <x:si>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</x:si>
  <x:si>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</x:si>
  <x:si>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</x:si>
  <x:si>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</x:si>
  <x:si>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</x:si>
  <x:si>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</x:si>
  <x:si>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</x:si>
  <x:si>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</x:si>
  <x:si>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</x:si>
  <x:si>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</x:si>
  <x:si>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</x:si>
  <x:si>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</x:si>
  <x:si>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</x:si>
  <x:si>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</x:si>
  <x:si>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</x:si>
  <x:si>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</x:si>
  <x:si>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</x:si>
  <x:si>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</x:si>
  <x:si>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</x:si>
  <x:si>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</x:si>
  <x:si>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</x:si>
  <x:si>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</x:si>
  <x:si>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</x:si>
  <x:si>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</x:si>
  <x:si>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</x:si>
  <x:si>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</x:si>
  <x:si>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</x:si>
  <x:si>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</x:si>
  <x:si>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</x:si>
  <x:si>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</x:si>
  <x:si>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</x:si>
  <x:si>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</x:si>
  <x:si>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</x:si>
  <x:si>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</x:si>
  <x:si>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</x:si>
  <x:si>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</x:si>
  <x:si>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</x:si>
  <x:si>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</x:si>
  <x:si>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</x:si>
  <x:si>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</x:si>
  <x:si>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</x:si>
  <x:si>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</x:si>
  <x:si>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</x:si>
  <x:si>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</x:si>
  <x:si>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</x:si>
  <x:si>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</x:si>
  <x:si>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</x:si>
  <x:si>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</x:si>
  <x:si>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</x:si>
  <x:si>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</x:si>
  <x:si>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</x:si>
  <x:si>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</x:si>
  <x:si>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</x:si>
  <x:si>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</x:si>
  <x:si>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</x:si>
  <x:si>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</x:si>
  <x:si>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</x:si>
  <x:si>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</x:si>
  <x:si>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</x:si>
  <x:si>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</x:si>
  <x:si>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</x:si>
  <x:si>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</x:si>
  <x:si>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</x:si>
  <x:si>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</x:si>
  <x:si>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</x:si>
  <x:si>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</x:si>
  <x:si>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</x:si>
  <x:si>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</x:si>
  <x:si>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</x:si>
  <x:si>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</x:si>
  <x:si>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</x:si>
  <x:si>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</x:si>
  <x:si>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</x:si>
  <x:si>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</x:si>
  <x:si>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</x:si>
  <x:si>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</x:si>
  <x:si>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</x:si>
  <x:si>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</x:si>
  <x:si>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</x:si>
  <x:si>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</x:si>
  <x:si>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</x:si>
  <x:si>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</x:si>
  <x:si>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</x:si>
  <x:si>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</x:si>
  <x:si>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</x:si>
  <x:si>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</x:si>
  <x:si>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</x:si>
  <x:si>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</x:si>
  <x:si>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</x:si>
  <x:si>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</x:si>
  <x:si>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</x:si>
  <x:si>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</x:si>
  <x:si>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</x:si>
  <x:si>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</x:si>
  <x:si>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</x:si>
  <x:si>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</x:si>
  <x:si>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</x:si>
  <x:si>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</x:si>
  <x:si>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</x:si>
  <x:si>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</x:si>
  <x:si>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</x:si>
  <x:si>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</x:si>
  <x:si>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</x:si>
  <x:si>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</x:si>
  <x:si>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</x:si>
  <x:si>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</x:si>
  <x:si>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</x:si>
  <x:si>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</x:si>
  <x:si>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</x:si>
  <x:si>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</x:si>
  <x:si>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</x:si>
  <x:si>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</x:si>
  <x:si>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</x:si>
  <x:si>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</x:si>
  <x:si>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</x:si>
  <x:si>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</x:si>
  <x:si>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</x:si>
  <x:si>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</x:si>
  <x:si>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</x:si>
  <x:si>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</x:si>
  <x:si>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</x:si>
  <x:si>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</x:si>
  <x:si>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</x:si>
  <x:si>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</x:si>
  <x:si>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</x:si>
  <x:si>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</x:si>
  <x:si>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</x:si>
  <x:si>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</x:si>
  <x:si>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</x:si>
  <x:si>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</x:si>
  <x:si>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</x:si>
  <x:si>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</x:si>
  <x:si>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</x:si>
  <x:si>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</x:si>
  <x:si>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</x:si>
  <x:si>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</x:si>
  <x:si>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</x:si>
  <x:si>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</x:si>
  <x:si>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</x:si>
  <x:si>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</x:si>
  <x:si>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</x:si>
  <x:si>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</x:si>
  <x:si>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</x:si>
  <x:si>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</x:si>
  <x:si>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</x:si>
  <x:si>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</x:si>
  <x:si>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</x:si>
  <x:si>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</x:si>
  <x:si>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</x:si>
  <x:si>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</x:si>
  <x:si>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</x:si>
  <x:si>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</x:si>
  <x:si>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</x:si>
  <x:si>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</x:si>
  <x:si>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</x:si>
  <x:si>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</x:si>
  <x:si>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</x:si>
  <x:si>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</x:si>
  <x:si>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</x:si>
  <x:si>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</x:si>
  <x:si>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</x:si>
  <x:si>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</x:si>
  <x:si>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</x:si>
  <x:si>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</x:si>
  <x:si>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</x:si>
  <x:si>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</x:si>
  <x:si>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</x:si>
  <x:si>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</x:si>
  <x:si>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</x:si>
  <x:si>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</x:si>
  <x:si>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</x:si>
  <x:si>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</x:si>
  <x:si>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</x:si>
  <x:si>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</x:si>
  <x:si>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</x:si>
  <x:si>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</x:si>
  <x:si>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</x:si>
  <x:si>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</x:si>
  <x:si>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</x:si>
  <x:si>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</x:si>
  <x:si>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</x:si>
  <x:si>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</x:si>
  <x:si>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</x:si>
  <x:si>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</x:si>
  <x:si>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</x:si>
  <x:si>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</x:si>
  <x:si>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</x:si>
  <x:si>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</x:si>
  <x:si>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</x:si>
  <x:si>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</x:si>
  <x:si>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</x:si>
  <x:si>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</x:si>
  <x:si>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</x:si>
  <x:si>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</x:si>
  <x:si>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</x:si>
  <x:si>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</x:si>
  <x:si>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</x:si>
  <x:si>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</x:si>
  <x:si>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</x:si>
  <x:si>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</x:si>
  <x:si>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</x:si>
  <x:si>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</x:si>
  <x:si>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</x:si>
  <x:si>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</x:si>
  <x:si>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</x:si>
  <x:si>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</x:si>
  <x:si>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</x:si>
  <x:si>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</x:si>
  <x:si>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</x:si>
  <x:si>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</x:si>
  <x:si>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</x:si>
  <x:si>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</x:si>
  <x:si>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</x:si>
  <x:si>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</x:si>
  <x:si>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</x:si>
  <x:si>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</x:si>
  <x:si>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</x:si>
  <x:si>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</x:si>
  <x:si>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</x:si>
  <x:si>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</x:si>
  <x:si>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</x:si>
  <x:si>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</x:si>
  <x:si>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</x:si>
  <x:si>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</x:si>
  <x:si>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</x:si>
  <x:si>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</x:si>
  <x:si>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</x:si>
  <x:si>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</x:si>
  <x:si>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</x:si>
  <x:si>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</x:si>
  <x:si>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</x:si>
  <x:si>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</x:si>
  <x:si>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</x:si>
  <x:si>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</x:si>
  <x:si>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</x:si>
  <x:si>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</x:si>
  <x:si>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</x:si>
  <x:si>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</x:si>
  <x:si>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</x:si>
  <x:si>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</x:si>
  <x:si>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</x:si>
  <x:si>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</x:si>
  <x:si>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</x:si>
  <x:si>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</x:si>
  <x:si>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</x:si>
  <x:si>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</x:si>
  <x:si>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</x:si>
  <x:si>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</x:si>
  <x:si>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</x:si>
  <x:si>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</x:si>
  <x:si>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</x:si>
  <x:si>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</x:si>
  <x:si>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</x:si>
  <x:si>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</x:si>
  <x:si>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</x:si>
  <x:si>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</x:si>
  <x:si>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</x:si>
  <x:si>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</x:si>
  <x:si>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</x:si>
  <x:si>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</x:si>
  <x:si>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</x:si>
  <x:si>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</x:si>
  <x:si>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</x:si>
  <x:si>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</x:si>
  <x:si>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</x:si>
  <x:si>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</x:si>
  <x:si>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</x:si>
  <x:si>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</x:si>
  <x:si>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</x:si>
  <x:si>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</x:si>
  <x:si>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</x:si>
  <x:si>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</x:si>
  <x:si>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</x:si>
  <x:si>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</x:si>
  <x:si>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</x:si>
  <x:si>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</x:si>
  <x:si>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</x:si>
  <x:si>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</x:si>
  <x:si>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</x:si>
  <x:si>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</x:si>
  <x:si>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</x:si>
  <x:si>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</x:si>
  <x:si>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</x:si>
  <x:si>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کد جزء</x:t>
  </x:si>
  <x:si>
    <x:t>کد ریز</x:t>
  </x:si>
  <x:si>
    <x:t>نام</x:t>
  </x:si>
  <x:si>
    <x:t>متصل به حساب‌های قدیم (کل/معین/تفصیلی)</x:t>
  </x:si>
  <x:si>
    <x:t>2210</x:t>
  </x:si>
  <x:si>
    <x:t>اموال</x:t>
  </x:si>
  <x:si>
    <x:t>22/10/000000</x:t>
  </x:si>
  <x:si>
    <x:t>انتقال به‌عنوان تفصیلی سطح ۲</x:t>
  </x:si>
  <x:si>
    <x:t>00000001</x:t>
  </x:si>
  <x:si>
    <x:t>کارت شماره10</x:t>
  </x:si>
  <x:si>
    <x:t>9516</x:t>
  </x:si>
  <x:si>
    <x:t>درمانگاه 22بهمن</x:t>
  </x:si>
  <x:si>
    <x:t>32/50/000000, 32/60/000000, 32/81/100051</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</x:si>
  <x:si>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</x:si>
  <x:si>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</x:si>
  <x:si>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</x:si>
  <x:si>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نشود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</x:si>
  <x:si>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</x:si>
  <x:si>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</x:si>
  <x:si>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</x:si>
  <x:si>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</x:si>
  <x:si>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</x:si>
  <x:si>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</x:si>
  <x:si>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</x:si>
  <x:si>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</x:si>
  <x:si>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</x:si>
  <x:si>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</x:si>
  <x:si>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</x:si>
  <x:si>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</x:si>
  <x:si>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</x:si>
  <x:si>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</x:si>
  <x:si>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</x:si>
  <x:si>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</x:si>
  <x:si>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</x:si>
  <x:si>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</x:si>
  <x:si>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</x:si>
  <x:si>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</x:si>
  <x:si>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</x:si>
  <x:si>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</x:si>
  <x:si>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</x:si>
  <x:si>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</x:si>
  <x:si>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</x:si>
  <x:si>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</x:si>
  <x:si>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</x:si>
  <x:si>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</x:si>
  <x:si>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</x:si>
  <x:si>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</x:si>
  <x:si>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00100051</x:t>
  </x:si>
  <x:si>
    <x:t>هزينه ساختمان بيمارستان</x:t>
  </x:si>
  <x:si>
    <x:t>36/11/120001, 36/20/120001, 41/26/000000, 81/01/300002, 83/04/000001, 83/05/000001, 83/05/000002, 83/05/000003, 83/05/000010, 83/10/000003, 83/11/000005, 83/11/000006, 83/12/000001, 83/14/000001, 83/15/000001, 83/16/000001</x:t>
  </x:si>
  <x:si>
    <x:t>نام واحد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</x:si>
  <x:si>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</x:si>
  <x:si>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</x:si>
  <x:si>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</x:si>
  <x:si>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</x:si>
  <x:si>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</x:si>
  <x:si>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</x:si>
  <x:si>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</x:si>
  <x:si>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</x:si>
  <x:si>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</x:si>
  <x:si>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</x:si>
  <x:si>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</x:si>
  <x:si>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</x:si>
  <x:si>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</x:si>
  <x:si>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</x:si>
  <x:si>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</x:si>
  <x:si>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</x:si>
  <x:si>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</x:si>
  <x:si>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</x:si>
  <x:si>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</x:si>
  <x:si>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</x:si>
  <x:si>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</x:si>
  <x:si>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</x:si>
  <x:si>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</x:si>
  <x:si>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</x:si>
  <x:si>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</x:si>
  <x:si>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</x:si>
  <x:si>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</x:si>
  <x:si>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</x:si>
  <x:si>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</x:si>
  <x:si>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</x:si>
  <x:si>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</x:si>
  <x:si>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</x:si>
  <x:si>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</x:si>
  <x:si>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</x:si>
  <x:si>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</x:si>
  <x:si>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</x:si>
  <x:si>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</x:si>
  <x:si>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</x:si>
  <x:si>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</x:si>
  <x:si>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</x:si>
  <x:si>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</x:si>
  <x:si>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</x:si>
  <x:si>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</x:si>
  <x:si>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</x:si>
  <x:si>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</x:si>
  <x:si>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</x:si>
  <x:si>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</x:si>
  <x:si>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</x:si>
  <x:si>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</x:si>
  <x:si>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</x:si>
  <x:si>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</x:si>
  <x:si>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</x:si>
  <x:si>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</x:si>
  <x:si>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</x:si>
  <x:si>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</x:si>
  <x:si>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</x:si>
  <x:si>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</x:si>
  <x:si>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</x:si>
  <x:si>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</x:si>
  <x:si>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</x:si>
  <x:si>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</x:si>
  <x:si>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</x:si>
  <x:si>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</x:si>
  <x:si>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</x:si>
  <x:si>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</x:si>
  <x:si>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</x:si>
  <x:si>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</x:si>
  <x:si>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</x:si>
  <x:si>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</x:si>
  <x:si>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</x:si>
  <x:si>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</x:si>
  <x:si>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</x:si>
  <x:si>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</x:si>
  <x:si>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</x:si>
  <x:si>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</x:si>
  <x:si>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</x:si>
  <x:si>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</x:si>
  <x:si>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</x:si>
  <x:si>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</x:si>
  <x:si>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</x:si>
  <x:si>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</x:si>
  <x:si>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</x:si>
  <x:si>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</x:si>
  <x:si>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</x:si>
  <x:si>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</x:si>
  <x:si>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</x:si>
  <x:si>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</x:si>
  <x:si>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</x:si>
  <x:si>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</x:si>
  <x:si>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</x:si>
  <x:si>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</x:si>
  <x:si>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</x:si>
  <x:si>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</x:si>
  <x:si>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</x:si>
  <x:si>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</x:si>
  <x:si>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</x:si>
  <x:si>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</x:si>
  <x:si>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</x:si>
  <x:si>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</x:si>
  <x:si>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</x:si>
  <x:si>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</x:si>
  <x:si>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</x:si>
  <x:si>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</x:si>
  <x:si>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</x:si>
  <x:si>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</x:si>
  <x:si>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</x:si>
  <x:si>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</x:si>
  <x:si>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</x:si>
  <x:si>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</x:si>
  <x:si>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</x:si>
  <x:si>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</x:si>
  <x:si>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</x:si>
  <x:si>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</x:si>
  <x:si>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</x:si>
  <x:si>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</x:si>
  <x:si>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</x:si>
  <x:si>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</x:si>
  <x:si>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</x:si>
  <x:si>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</x:si>
  <x:si>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</x:si>
  <x:si>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</x:si>
  <x:si>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</x:si>
  <x:si>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</x:si>
  <x:si>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</x:si>
  <x:si>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</x:si>
  <x:si>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</x:si>
  <x:si>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</x:si>
  <x:si>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</x:si>
  <x:si>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</x:si>
  <x:si>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</x:si>
  <x:si>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</x:si>
  <x:si>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</x:si>
  <x:si>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</x:si>
  <x:si>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</x:si>
  <x:si>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</x:si>
  <x:si>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</x:si>
  <x:si>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</x:si>
  <x:si>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</x:si>
  <x:si>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</x:si>
  <x:si>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</x:si>
  <x:si>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</x:si>
  <x:si>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</x:si>
  <x:si>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</x:si>
  <x:si>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</x:si>
  <x:si>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</x:si>
  <x:si>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</x:si>
  <x:si>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</x:si>
  <x:si>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</x:si>
  <x:si>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</x:si>
  <x:si>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</x:si>
  <x:si>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</x:si>
  <x:si>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</x:si>
  <x:si>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</x:si>
  <x:si>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</x:si>
  <x:si>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</x:si>
  <x:si>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</x:si>
  <x:si>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</x:si>
  <x:si>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</x:si>
  <x:si>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</x:si>
  <x:si>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</x:si>
  <x:si>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</x:si>
  <x:si>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</x:si>
  <x:si>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</x:si>
  <x:si>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</x:si>
  <x:si>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</x:si>
  <x:si>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</x:si>
  <x:si>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</x:si>
  <x:si>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</x:si>
  <x:si>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</x:si>
  <x:si>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</x:si>
  <x:si>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</x:si>
  <x:si>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</x:si>
  <x:si>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</x:si>
  <x:si>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</x:si>
  <x:si>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</x:si>
  <x:si>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</x:si>
  <x:si>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</x:si>
  <x:si>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</x:si>
  <x:si>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</x:si>
  <x:si>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</x:si>
  <x:si>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</x:si>
  <x:si>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</x:si>
  <x:si>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</x:si>
  <x:si>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</x:si>
  <x:si>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</x:si>
  <x:si>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</x:si>
  <x:si>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</x:si>
  <x:si>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</x:si>
  <x:si>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</x:si>
  <x:si>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</x:si>
  <x:si>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</x:si>
  <x:si>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</x:si>
  <x:si>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</x:si>
  <x:si>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</x:si>
  <x:si>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</x:si>
  <x:si>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</x:si>
  <x:si>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</x:si>
  <x:si>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</x:si>
  <x:si>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</x:si>
  <x:si>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</x:si>
  <x:si>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</x:si>
  <x:si>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</x:si>
  <x:si>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</x:si>
  <x:si>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</x:si>
  <x:si>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</x:si>
  <x:si>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</x:si>
  <x:si>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</x:si>
  <x:si>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</x:si>
  <x:si>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</x:si>
  <x:si>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</x:si>
  <x:si>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</x:si>
  <x:si>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</x:si>
  <x:si>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</x:si>
  <x:si>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</x:si>
  <x:si>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</x:si>
  <x:si>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</x:si>
  <x:si>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</x:si>
  <x:si>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</x:si>
  <x:si>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</x:si>
  <x:si>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</x:si>
  <x:si>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</x:si>
  <x:si>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</x:si>
  <x:si>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</x:si>
  <x:si>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سرپايي</x:t>
  </x:si>
  <x:si>
    <x:t>00100017</x:t>
  </x:si>
  <x:si>
    <x:t>اورژانش</x:t>
  </x:si>
  <x:si>
    <x:t>9953</x:t>
  </x:si>
  <x:si>
    <x:t>قبض برق بيمارستان 1109953</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</x:si>
  <x:si>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</x:si>
  <x:si>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</x:si>
  <x:si>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</x:si>
  <x:si>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</x:si>
  <x:si>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</x:si>
  <x:si>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</x:si>
  <x:si>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</x:si>
  <x:si>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</x:si>
  <x:si>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</x:si>
  <x:si>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</x:si>
  <x:si>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</x:si>
  <x:si>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</x:si>
  <x:si>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</x:si>
  <x:si>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</x:si>
  <x:si>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</x:si>
  <x:si>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</x:si>
  <x:si>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</x:si>
  <x:si>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</x:si>
  <x:si>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</x:si>
  <x:si>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</x:si>
  <x:si>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</x:si>
  <x:si>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</x:si>
  <x:si>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</x:si>
  <x:si>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</x:si>
  <x:si>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</x:si>
  <x:si>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</x:si>
  <x:si>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</x:si>
  <x:si>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</x:si>
  <x:si>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</x:si>
  <x:si>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</x:si>
  <x:si>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</x:si>
  <x:si>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</x:si>
  <x:si>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</x:si>
  <x:si>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</x:si>
  <x:si>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</x:si>
  <x:si>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</x:si>
  <x:si>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</x:si>
  <x:si>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</x:si>
  <x:si>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</x:si>
  <x:si>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</x:si>
  <x:si>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</x:si>
  <x:si>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</x:si>
  <x:si>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</x:si>
  <x:si>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</x:si>
  <x:si>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</x:si>
  <x:si>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</x:si>
  <x:si>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</x:si>
  <x:si>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</x:si>
  <x:si>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</x:si>
  <x:si>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</x:si>
  <x:si>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</x:si>
  <x:si>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</x:si>
  <x:si>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</x:si>
  <x:si>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</x:si>
  <x:si>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</x:si>
  <x:si>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</x:si>
  <x:si>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</x:si>
  <x:si>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</x:si>
  <x:si>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</x:si>
  <x:si>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</x:si>
  <x:si>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</x:si>
  <x:si>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</x:si>
  <x:si>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</x:si>
  <x:si>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</x:si>
  <x:si>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</x:si>
  <x:si>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</x:si>
  <x:si>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</x:si>
  <x:si>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</x:si>
  <x:si>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</x:si>
  <x:si>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</x:si>
  <x:si>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</x:si>
  <x:si>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</x:si>
  <x:si>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</x:si>
  <x:si>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</x:si>
  <x:si>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</x:si>
  <x:si>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</x:si>
  <x:si>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</x:si>
  <x:si>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</x:si>
  <x:si>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</x:si>
  <x:si>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</x:si>
  <x:si>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</x:si>
  <x:si>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</x:si>
  <x:si>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</x:si>
  <x:si>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</x:si>
  <x:si>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</x:si>
  <x:si>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</x:si>
  <x:si>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</x:si>
  <x:si>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</x:si>
  <x:si>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</x:si>
  <x:si>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</x:si>
  <x:si>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</x:si>
  <x:si>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</x:si>
  <x:si>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</x:si>
  <x:si>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</x:si>
  <x:si>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</x:si>
  <x:si>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</x:si>
  <x:si>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هشدار</x:t>
  </x:si>
  <x:si>
    <x:t>کل</x:t>
  </x:si>
  <x:si>
    <x:t>0000</x:t>
  </x:si>
  <x:si>
    <x:t>00</x:t>
  </x:si>
  <x:si>
    <x:t>احتمالاً دادهٔ آزمایشی</x:t>
  </x:si>
  <x:si>
    <x:t>معین</x:t>
  </x:si>
  <x:si>
    <x:t>005000</x:t>
  </x:si>
  <x:si>
    <x:t>test0050</x:t>
  </x:si>
  <x:si>
    <x:t>0050</x:t>
  </x:si>
  <x:si>
    <x:t>006000</x:t>
  </x:si>
  <x:si>
    <x:t>testestestetstetstetstets</x:t>
  </x:si>
  <x:si>
    <x:t>0060</x:t>
  </x:si>
  <x:si>
    <x:t>گروه</x:t>
  </x:si>
  <x:si>
    <x:t>testetstest</x:t>
  </x:si>
  <x:si>
    <x:t>hdsgd</x:t>
  </x:si>
  <x:si>
    <x:t>يصي</x:t>
  </x:si>
  <x:si>
    <x:t>sectamin</x:t>
  </x:si>
  <x:si>
    <x:t>1000</x:t>
  </x:si>
  <x:si>
    <x:t>تستس</x:t>
  </x:si>
  <x:si>
    <x:t>1022</x:t>
  </x:si>
  <x:si>
    <x:t>تست 14</x:t>
  </x:si>
  <x:si>
    <x:t>102225</x:t>
  </x:si>
  <x:si>
    <x:t>1023</x:t>
  </x:si>
  <x:si>
    <x:t>من</x:t>
  </x:si>
  <x:si>
    <x:t>102323</x:t>
  </x:si>
  <x:si>
    <x:t>من تست</x:t>
  </x:si>
  <x:si>
    <x:t>1025</x:t>
  </x:si>
  <x:si>
    <x:t>102501</x:t>
  </x:si>
  <x:si>
    <x:t>test36</x:t>
  </x:si>
  <x:si>
    <x:t>102526</x:t>
  </x:si>
  <x:si>
    <x:t>testrace</x:t>
  </x:si>
  <x:si>
    <x:t>1032</x:t>
  </x:si>
  <x:si>
    <x:t>للفلقلا</x:t>
  </x:si>
  <x:si>
    <x:t>1075</x:t>
  </x:si>
  <x:si>
    <x:t>ثقلقل</x:t>
  </x:si>
  <x:si>
    <x:t>108061</x:t>
  </x:si>
  <x:si>
    <x:t>108116</x:t>
  </x:si>
  <x:si>
    <x:t>1086</x:t>
  </x:si>
  <x:si>
    <x:t>108888</x:t>
  </x:si>
  <x:si>
    <x:t>1من</x:t>
  </x:si>
  <x:si>
    <x:t>دارايي هاي جاري</x:t>
  </x:si>
  <x:si>
    <x:t>1101</x:t>
  </x:si>
  <x:si>
    <x:t>بانک ها</x:t>
  </x:si>
  <x:si>
    <x:t>110101</x:t>
  </x:si>
  <x:si>
    <x:t>بانک ملت</x:t>
  </x:si>
  <x:si>
    <x:t>داراريي هاي غير جاري</x:t>
  </x:si>
  <x:si>
    <x:t>دارايي هاي غيرجاري</x:t>
  </x:si>
  <x:si>
    <x:t>2012</x:t>
  </x:si>
  <x:si>
    <x:t>بدهي هاي جاري</x:t>
  </x:si>
  <x:si>
    <x:t>test1</x:t>
  </x:si>
  <x:si>
    <x:t>2200</x:t>
  </x:si>
  <x:si>
    <x:t>باثصقفا</x:t>
  </x:si>
  <x:si>
    <x:t>تست نهايي</x:t>
  </x:si>
  <x:si>
    <x:t>2401</x:t>
  </x:si>
  <x:si>
    <x:t>کل نهايي</x:t>
  </x:si>
  <x:si>
    <x:t>240101</x:t>
  </x:si>
  <x:si>
    <x:t>معين نهايي</x:t>
  </x:si>
  <x:si>
    <x:t>240102</x:t>
  </x:si>
  <x:si>
    <x:t>تست نهايي 2</x:t>
  </x:si>
  <x:si>
    <x:t>303002</x:t>
  </x:si>
  <x:si>
    <x:t>كارگاههابدهي حق بيمه قطعي 27%</x:t>
  </x:si>
  <x:si>
    <x:t>303004</x:t>
  </x:si>
  <x:si>
    <x:t>كارگاه ها بدهي قطعي 3% بيمه بيكاري</x:t>
  </x:si>
  <x:si>
    <x:t>303020</x:t>
  </x:si>
  <x:si>
    <x:t>كارگاه هابدهي  قطعي 3% بيمه بيكاري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</x:si>
  <x:si>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</x:si>
  <x:si>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</x:si>
  <x:si>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</x:si>
  <x:si>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</x:si>
  <x:si>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</x:si>
  <x:si>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</x:si>
  <x:si>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</x:si>
  <x:si>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</x:si>
  <x:si>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</x:si>
  <x:si>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</x:si>
  <x:si>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access-test01</x:t>
  </x:si>
  <x:si>
    <x:t>درآمدها</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</x:si>
  <x:si>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</x:si>
  <x:si>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</x:si>
  <x:si>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</x:si>
  <x:si>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</x:si>
  <x:si>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</x:si>
  <x:si>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</x:si>
  <x:si>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603050</x:t>
  </x:si>
  <x:si>
    <x:t>خسارت  تاخيرتاديه  حق بيمه</x:t>
  </x:si>
  <x:si>
    <x:t>603070</x:t>
  </x:si>
  <x:si>
    <x:t>خسارت  ديركرداقساط تسهيلات</x:t>
  </x:si>
  <x:si>
    <x:t>605060</x:t>
  </x:si>
  <x:si>
    <x:t>درآمدحاصل از50 درصد حق الاجراء</x:t>
  </x:si>
  <x:si>
    <x:t>yyyy</x:t>
  </x:si>
  <x:si>
    <x:t>taminsec3</x:t>
  </x:si>
  <x:si>
    <x:t>تعهدات قانوني و هزينه هاي درمان</x:t>
  </x:si>
  <x:si>
    <x:t>7040</x:t>
  </x:si>
  <x:si>
    <x:t>بازنشستگي</x:t>
  </x:si>
  <x:si>
    <x:t>7050</x:t>
  </x:si>
  <x:si>
    <x:t>بازماندگان</x:t>
  </x:si>
  <x:si>
    <x:t>7070</x:t>
  </x:si>
  <x:si>
    <x:t>هزينه هاي بيمه بيکاري</x:t>
  </x:si>
  <x:si>
    <x:t>test2</x:t>
  </x:si>
  <x:si>
    <x:t>7101</x:t>
  </x:si>
  <x:si>
    <x:t>testKol1</x:t>
  </x:si>
  <x:si>
    <x:t>710101</x:t>
  </x:si>
  <x:si>
    <x:t>testmoin1</x:t>
  </x:si>
  <x:si>
    <x:t>8040</x:t>
  </x:si>
  <x:si>
    <x:t>هزينه هاي کارگزاري</x:t>
  </x:si>
  <x:si>
    <x:t>لل</x:t>
  </x:si>
  <x:si>
    <x:t>89</x:t>
  </x:si>
  <x:si>
    <x:t>فثسف</x:t>
  </x:si>
  <x:si>
    <x:t>رابط و حسابهاي آماري</x:t>
  </x:si>
  <x:si>
    <x:t>9040</x:t>
  </x:si>
  <x:si>
    <x:t>حساب نتيجه</x:t>
  </x:si>
  <x:si>
    <x:t>رابط اعلاميه</x:t>
  </x:si>
  <x:si>
    <x:t>9210</x:t>
  </x:si>
  <x:si>
    <x:t>اعلاميه درآمد</x:t>
  </x:si>
  <x:si>
    <x:t>zia</x:t>
  </x:si>
  <x:si>
    <x:t>9999</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</x:si>
  <x:si>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</x:si>
  <x:si>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</x:si>
  <x:si>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</x:si>
  <x:si>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</x:si>
  <x:si>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درخت حساب آن دادهٔ تست هم دارد — برگهٔ «درخت جدید» ستون هشدار)</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</x:si>
  <x:si>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</x:si>
  <x:si>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</x:si>
  <x:si>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</x:si>
  <x:si>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</x:si>
  <x:si>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</x:si>
  <x:si>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</x:si>
  <x:si>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</x:si>
  <x:si>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</x:si>
  <x:si>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</x:si>
  <x:si>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ترتیب کار</x:t>
  </x:si>
  <x:si>
    <x:t>۱. تطبیق کل</x:t>
  </x:si>
  <x:si>
    <x:t>برای هر کل قدیم، کد کل جدید را تأیید یا اصلاح کنید. قاعدهٔ پیشنهادی: کل XY ← X0Y0 (مثلاً ۳۳ ← ۳۰۳۰). جایی که کد در درخت جدید نیست، «نام برای تعریف» را بنویسید تا ساخته شود.</x:t>
  </x:si>
  <x:si>
    <x:t>۲. تطبیق معین</x:t>
  </x:si>
  <x:si>
    <x:t>برای هر معینی که «الزامی = بله» است (سند دارد) کد معین جدید ۶رقمی را بنویسید. معین جدید باید زیر کل جدید همان ردیف باشد. ستون پیشنهادی فقط بر اساس شباهت نام است و بیشترش قابل اعتماد نیست. معین‌های «الزامی = خیر» سند ندارند و می‌توانند خالی بمانند.</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</x:si>
  <x:si>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</x:si>
  <x:si>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x:t>
  </x:si>
  <x:si>
    <x:t>۴. جزء و ریز</x:t>
  </x:si>
  <x:si>
    <x:t>فقط چند ردیف سند از آن استفاده کرده‌اند. تصمیم بگیرید منتقل شوند یا نه.</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</x:si>
  <x:si>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</x:si>
  <x:si>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</x:si>
  <x:si>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</x:si>
  <x:si>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</x:si>
  <x:si>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</x:si>
  <x:si>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۳۶ / معین ۲۰ — «بانک پرداخت هزینه‌های پرسنلی و اداری»</x:t>
  </x:si>
  <x:si>
    <x:t>معین جدید نهایی: 306020   ←   کنترل: OK (اگر کد در درخت باشد و زیر کل ۳۰۶۰)</x:t>
  </x:si>
  <x:si>
    <x:t>کل ۳۲ / معین ۸۱ (موجودی دارو)</x:t>
  </x:si>
  <x:si>
    <x:t>اگر معین جدید هنوز تعریف نشده: کد مثلاً 302081 و «نام برای تعریف» را بنویسید ← کنترل: OK</x:t>
  </x:si>
  <x:si>
    <x:t>پیشرفت کار</x:t>
  </x:si>
  <x:si>
    <x:t>کل — ردیف OK</x:t>
  </x:si>
  <x:si>
    <x:t>کل — الزامیِ تکمیل‌نشده</x:t>
  </x:si>
  <x:si>
    <x:t>معین الزامی — OK</x:t>
  </x:si>
  <x:si>
    <x:t>معین — ردیف‌های دارای مشکل</x:t>
  </x:si>
  <x:si>
    <x:t>تفصیلی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</x:si>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</x:sst>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7">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
      <x:vertAlign val="baseline"/>
      <x:sz val="10"/>
      <x:color rgb="FF9C0006"/>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3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6" fillId="0" borderId="3" applyNumberFormat="1" applyFill="1" applyBorder="1" applyAlignment="1" applyProtection="1">
      <x:protection locked="1" hidden="0"/>
    </x:xf>
    <x:xf numFmtId="0" fontId="6" fillId="0" borderId="6" applyNumberFormat="1" applyFill="1" applyBorder="1" applyAlignment="1" applyProtection="1">
      <x:protection locked="1" hidden="0"/>
    </x:xf>
    <x:xf numFmtId="0" fontId="6" fillId="0" borderId="9" applyNumberFormat="1" applyFill="1" applyBorder="1" applyAlignment="1" applyProtection="1">
      <x:protection locked="1" hidden="0"/>
    </x:xf>
  </x:cellStyleXfs>
  <x:cellXfs count="40">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6"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1"/>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1702</x:v>
      </x:c>
      <x:c r="B1" s="3"/>
      <x:c r="C1" s="3"/>
      <x:c r="D1" s="3"/>
    </x:row>
    <x:row r="2" spans="1:4">
      <x:c r="A2" s="3" t="s">
        <x:v>1703</x:v>
      </x:c>
      <x:c r="B2" s="4" t="s">
        <x:v>1704</x:v>
      </x:c>
      <x:c r="C2" s="4"/>
      <x:c r="D2" s="4"/>
    </x:row>
    <x:row r="3" spans="1:4" ht="30" customHeight="1">
      <x:c r="A3" s="3" t="s">
        <x:v>1705</x:v>
      </x:c>
      <x:c r="B3" s="4" t="s">
        <x:v>1706</x:v>
      </x:c>
      <x:c r="C3" s="4"/>
      <x:c r="D3" s="4"/>
    </x:row>
    <x:row r="4" spans="1:4">
      <x:c r="A4" s="3"/>
      <x:c r="B4" s="3"/>
      <x:c r="C4" s="3"/>
      <x:c r="D4" s="3"/>
    </x:row>
    <x:row r="5" spans="1:4">
      <x:c r="A5" s="5" t="s">
        <x:v>1707</x:v>
      </x:c>
      <x:c r="B5" s="3"/>
      <x:c r="C5" s="3"/>
      <x:c r="D5" s="3"/>
    </x:row>
    <x:row r="6" spans="1:4">
      <x:c r="A6" s="6" t="s">
        <x:v>1708</x:v>
      </x:c>
      <x:c r="B6" s="3" t="s">
        <x:v>1709</x:v>
      </x:c>
      <x:c r="C6" s="3"/>
      <x:c r="D6" s="3"/>
    </x:row>
    <x:row r="7" spans="1:4">
      <x:c r="A7" s="7" t="s">
        <x:v>1710</x:v>
      </x:c>
      <x:c r="B7" s="3" t="s">
        <x:v>1711</x:v>
      </x:c>
      <x:c r="C7" s="3"/>
      <x:c r="D7" s="3"/>
    </x:row>
    <x:row r="8" spans="1:4">
      <x:c r="A8" s="8" t="s">
        <x:v>1712</x:v>
      </x:c>
      <x:c r="B8" s="3" t="s">
        <x:v>1713</x:v>
      </x:c>
      <x:c r="C8" s="3"/>
      <x:c r="D8" s="3"/>
    </x:row>
    <x:row r="9" spans="1:4">
      <x:c r="A9" s="9" t="s">
        <x:v>1714</x:v>
      </x:c>
      <x:c r="B9" s="3" t="s">
        <x:v>1715</x:v>
      </x:c>
      <x:c r="C9" s="3"/>
      <x:c r="D9" s="3"/>
    </x:row>
    <x:row r="10" spans="1:4">
      <x:c r="A10" s="3"/>
      <x:c r="B10" s="3"/>
      <x:c r="C10" s="3"/>
      <x:c r="D10" s="3"/>
    </x:row>
    <x:row r="11" spans="1:4">
      <x:c r="A11" s="5" t="s">
        <x:v>1716</x:v>
      </x:c>
      <x:c r="B11" s="3"/>
      <x:c r="C11" s="3"/>
      <x:c r="D11" s="3"/>
    </x:row>
    <x:row r="12" spans="1:4" ht="30" customHeight="1">
      <x:c r="A12" s="3" t="s">
        <x:v>1717</x:v>
      </x:c>
      <x:c r="B12" s="4" t="s">
        <x:v>1718</x:v>
      </x:c>
      <x:c r="C12" s="4"/>
      <x:c r="D12" s="4"/>
    </x:row>
    <x:row r="13" spans="1:4" ht="45" customHeight="1">
      <x:c r="A13" s="3" t="s">
        <x:v>1719</x:v>
      </x:c>
      <x:c r="B13" s="4" t="s">
        <x:v>1720</x:v>
      </x:c>
      <x:c r="C13" s="4"/>
      <x:c r="D13" s="4"/>
    </x:row>
    <x:row r="14" spans="1:4" ht="45" customHeight="1">
      <x:c r="A14" s="3" t="s">
        <x:v>1721</x:v>
      </x:c>
      <x:c r="B14" s="4" t="s">
        <x:v>1722</x:v>
      </x:c>
      <x:c r="C14" s="4"/>
      <x:c r="D14" s="4"/>
    </x:row>
    <x:row r="15" spans="1:4" ht="15" customHeight="1">
      <x:c r="A15" s="3" t="s">
        <x:v>1723</x:v>
      </x:c>
      <x:c r="B15" s="4" t="s">
        <x:v>1724</x:v>
      </x:c>
      <x:c r="C15" s="4"/>
      <x:c r="D15" s="4"/>
    </x:row>
    <x:row r="16" spans="1:4" ht="15" customHeight="1">
      <x:c r="A16" s="3" t="s">
        <x:v>1725</x:v>
      </x:c>
      <x:c r="B16" s="4" t="s">
        <x:v>1726</x:v>
      </x:c>
      <x:c r="C16" s="4"/>
      <x:c r="D16" s="4"/>
    </x:row>
    <x:row r="17" spans="1:4" ht="15" customHeight="1">
      <x:c r="A17" s="3" t="s">
        <x:v>1727</x:v>
      </x:c>
      <x:c r="B17" s="4" t="s">
        <x:v>1728</x:v>
      </x:c>
      <x:c r="C17" s="4"/>
      <x:c r="D17" s="4"/>
    </x:row>
    <x:row r="18" spans="1:4">
      <x:c r="A18" s="3"/>
      <x:c r="B18" s="3"/>
      <x:c r="C18" s="3"/>
      <x:c r="D18" s="3"/>
    </x:row>
    <x:row r="19" spans="1:4">
      <x:c r="A19" s="5" t="s">
        <x:v>1729</x:v>
      </x:c>
      <x:c r="B19" s="3"/>
      <x:c r="C19" s="3"/>
      <x:c r="D19" s="3"/>
    </x:row>
    <x:row r="20" spans="1:4" ht="15" customHeight="1">
      <x:c r="A20" s="3" t="s">
        <x:v>1730</x:v>
      </x:c>
      <x:c r="B20" s="4" t="s">
        <x:v>1731</x:v>
      </x:c>
      <x:c r="C20" s="4"/>
      <x:c r="D20" s="4"/>
    </x:row>
    <x:row r="21" spans="1:4" ht="15" customHeight="1">
      <x:c r="A21" s="3" t="s">
        <x:v>1732</x:v>
      </x:c>
      <x:c r="B21" s="4" t="s">
        <x:v>1733</x:v>
      </x:c>
      <x:c r="C21" s="4"/>
      <x:c r="D21" s="4"/>
    </x:row>
    <x:row r="22" spans="1:4">
      <x:c r="A22" s="3"/>
      <x:c r="B22" s="3"/>
      <x:c r="C22" s="3"/>
      <x:c r="D22" s="3"/>
    </x:row>
    <x:row r="23" spans="1:4">
      <x:c r="A23" s="5" t="s">
        <x:v>1734</x:v>
      </x:c>
      <x:c r="B23" s="3"/>
      <x:c r="C23" s="3"/>
      <x:c r="D23" s="3"/>
    </x:row>
    <x:row r="24" spans="1:4">
      <x:c r="A24" s="3" t="s">
        <x:v>1735</x:v>
      </x:c>
      <x:c r="B24" s="10">
        <x:f>COUNTIF('تطبیق کل'!$L$2:$L$46,"OK")&amp;" از "&amp;COUNTA('تطبیق کل'!$A$2:$A$46)</x:f>
      </x:c>
      <x:c r="C24" s="3"/>
      <x:c r="D24" s="3"/>
    </x:row>
    <x:row r="25" spans="1:4">
      <x:c r="A25" s="3" t="s">
        <x:v>1736</x:v>
      </x:c>
      <x:c r="B25" s="10">
        <x:f>COUNTIF('تطبیق کل'!$L$2:$L$46,"الزامی*")</x:f>
      </x:c>
      <x:c r="C25" s="3"/>
      <x:c r="D25" s="3"/>
    </x:row>
    <x:row r="26" spans="1:4">
      <x:c r="A26" s="3" t="s">
        <x:v>1737</x:v>
      </x:c>
      <x:c r="B26" s="10">
        <x:f>COUNTIFS('تطبیق معین'!$N$2:$N$313,"بله",'تطبیق معین'!$U$2:$U$313,"OK")&amp;" از "&amp;COUNTIF('تطبیق معین'!$N$2:$N$313,"بله")</x:f>
      </x:c>
      <x:c r="C26" s="3"/>
      <x:c r="D26" s="3"/>
    </x:row>
    <x:row r="27" spans="1:4">
      <x:c r="A27" s="3" t="s">
        <x:v>1738</x:v>
      </x:c>
      <x:c r="B27" s="10">
        <x:f>COUNTIFS('تطبیق معین'!$U$2:$U$313,"&lt;&gt;OK",'تطبیق معین'!$U$2:$U$313,"?*")</x:f>
      </x:c>
      <x:c r="C27" s="3"/>
      <x:c r="D27" s="3"/>
    </x:row>
    <x:row r="28" spans="1:4">
      <x:c r="A28" s="3" t="s">
        <x:v>1739</x:v>
      </x:c>
      <x:c r="B28" s="10">
        <x:f>COUNTIF('تفصیلی‌ها'!$R$2:$R$514,"OK")&amp;" از "&amp;COUNTA('تفصیلی‌ها'!$A$2:$A$514)</x:f>
      </x:c>
      <x:c r="C28" s="3"/>
      <x:c r="D28" s="3"/>
    </x:row>
    <x:row r="29" spans="1:4">
      <x:c r="A29" s="3" t="s">
        <x:v>1740</x:v>
      </x:c>
      <x:c r="B29" s="10">
        <x:f>COUNTIF('اسناد ناتراز'!$L:$L,"OK")&amp;" از "&amp;(COUNTA('اسناد ناتراز'!$A:$A)-1)</x:f>
      </x:c>
      <x:c r="C29" s="3"/>
      <x:c r="D29" s="3"/>
    </x:row>
    <x:row r="30" spans="1:4">
      <x:c r="A30" s="3" t="s">
        <x:v>1741</x:v>
      </x:c>
      <x:c r="B30" s="10">
        <x:f>COUNTIF('وضعیت سند'!$G:$G,"OK")&amp;" از "&amp;(COUNTA('وضعیت سند'!$A:$A)-1)</x:f>
      </x:c>
      <x:c r="C30" s="3"/>
      <x:c r="D30" s="3"/>
    </x:row>
    <x:row r="31" spans="1:4">
      <x:c r="A31" s="3"/>
      <x:c r="B31" s="3"/>
      <x:c r="C31" s="3"/>
      <x:c r="D31" s="3"/>
    </x:row>
  </x:sheetData>
  <x:mergeCells count="14">
    <x:mergeCell ref="B2:D2"/>
    <x:mergeCell ref="B3:D3"/>
    <x:mergeCell ref="B6:D6"/>
    <x:mergeCell ref="B7:D7"/>
    <x:mergeCell ref="B8:D8"/>
    <x:mergeCell ref="B9:D9"/>
    <x:mergeCell ref="B12:D12"/>
    <x:mergeCell ref="B13:D13"/>
    <x:mergeCell ref="B14:D14"/>
    <x:mergeCell ref="B15:D15"/>
    <x:mergeCell ref="B16:D16"/>
    <x:mergeCell ref="B17:D17"/>
    <x:mergeCell ref="B20:D20"/>
    <x:mergeCell ref="B21:D2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x:c r="K2" s="14">
        <x:f>IF(J2="","",IFERROR(INDEX('درخت جدید'!$C:$C,MATCH(J2&amp;"",'درخت جدید'!$B:$B,0)),"—"))</x:f>
      </x:c>
      <x:c r="L2" s="14">
        <x:f>IF(J2="",IF(D2&gt;0,"الزامی — تکمیل نشده",""),IF(COUNTIFS('درخت جدید'!$B:$B,J2&amp;"",'درخت جدید'!$A:$A,"کل")=0,IF(M2="","کد در درخت نیست — نام برای تعریف را بنویسید","OK"),"OK"))</x:f>
      </x:c>
      <x:c r="M2" s="19"/>
      <x:c r="N2" s="20"/>
    </x:row>
    <x:row r="3" spans="1:14">
      <x:c r="A3" s="21" t="s">
        <x:v>18</x:v>
      </x:c>
      <x:c r="B3" s="22" t="s">
        <x:v>19</x:v>
      </x:c>
      <x:c r="C3" s="22">
        <x:v>0</x:v>
      </x:c>
      <x:c r="D3" s="22">
        <x:v>0</x:v>
      </x:c>
      <x:c r="E3" s="23">
        <x:v>0</x:v>
      </x:c>
      <x:c r="F3" s="23">
        <x:v>0</x:v>
      </x:c>
      <x:c r="G3" s="24" t="s">
        <x:v>20</x:v>
      </x:c>
      <x:c r="H3" s="24" t="s">
        <x:v>17</x:v>
      </x:c>
      <x:c r="I3" s="25"/>
      <x:c r="J3" s="26"/>
      <x:c r="K3" s="22">
        <x:f>IF(J3="","",IFERROR(INDEX('درخت جدید'!$C:$C,MATCH(J3&amp;"",'درخت جدید'!$B:$B,0)),"—"))</x:f>
      </x:c>
      <x:c r="L3" s="22">
        <x:f>IF(J3="",IF(D3&gt;0,"الزامی — تکمیل نشده",""),IF(COUNTIFS('درخت جدید'!$B:$B,J3&amp;"",'درخت جدید'!$A:$A,"کل")=0,IF(M3="","کد در درخت نیست — نام برای تعریف را بنویسید","OK"),"OK"))</x:f>
      </x:c>
      <x:c r="M3" s="27"/>
      <x:c r="N3" s="28"/>
    </x:row>
    <x:row r="4" spans="1:14">
      <x:c r="A4" s="21" t="s">
        <x:v>21</x:v>
      </x:c>
      <x:c r="B4" s="22" t="s">
        <x:v>22</x:v>
      </x:c>
      <x:c r="C4" s="22">
        <x:v>0</x:v>
      </x:c>
      <x:c r="D4" s="22">
        <x:v>0</x:v>
      </x:c>
      <x:c r="E4" s="23">
        <x:v>0</x:v>
      </x:c>
      <x:c r="F4" s="23">
        <x:v>0</x:v>
      </x:c>
      <x:c r="G4" s="24" t="s">
        <x:v>23</x:v>
      </x:c>
      <x:c r="H4" s="24" t="s">
        <x:v>17</x:v>
      </x:c>
      <x:c r="I4" s="25"/>
      <x:c r="J4" s="26"/>
      <x:c r="K4" s="22">
        <x:f>IF(J4="","",IFERROR(INDEX('درخت جدید'!$C:$C,MATCH(J4&amp;"",'درخت جدید'!$B:$B,0)),"—"))</x:f>
      </x:c>
      <x:c r="L4" s="22">
        <x:f>IF(J4="",IF(D4&gt;0,"الزامی — تکمیل نشده",""),IF(COUNTIFS('درخت جدید'!$B:$B,J4&amp;"",'درخت جدید'!$A:$A,"کل")=0,IF(M4="","کد در درخت نیست — نام برای تعریف را بنویسید","OK"),"OK"))</x:f>
      </x:c>
      <x:c r="M4" s="27"/>
      <x:c r="N4" s="28"/>
    </x:row>
    <x:row r="5" spans="1:14">
      <x:c r="A5" s="21" t="s">
        <x:v>24</x:v>
      </x:c>
      <x:c r="B5" s="22" t="s">
        <x:v>25</x:v>
      </x:c>
      <x:c r="C5" s="22">
        <x:v>1</x:v>
      </x:c>
      <x:c r="D5" s="22">
        <x:v>1</x:v>
      </x:c>
      <x:c r="E5" s="23">
        <x:v>0</x:v>
      </x:c>
      <x:c r="F5" s="23">
        <x:v>10</x:v>
      </x:c>
      <x:c r="G5" s="24" t="s">
        <x:v>26</x:v>
      </x:c>
      <x:c r="H5" s="24" t="s">
        <x:v>17</x:v>
      </x:c>
      <x:c r="I5" s="25"/>
      <x:c r="J5" s="26"/>
      <x:c r="K5" s="22">
        <x:f>IF(J5="","",IFERROR(INDEX('درخت جدید'!$C:$C,MATCH(J5&amp;"",'درخت جدید'!$B:$B,0)),"—"))</x:f>
      </x:c>
      <x:c r="L5" s="22">
        <x:f>IF(J5="",IF(D5&gt;0,"الزامی — تکمیل نشده",""),IF(COUNTIFS('درخت جدید'!$B:$B,J5&amp;"",'درخت جدید'!$A:$A,"کل")=0,IF(M5="","کد در درخت نیست — نام برای تعریف را بنویسید","OK"),"OK"))</x:f>
      </x:c>
      <x:c r="M5" s="27"/>
      <x:c r="N5" s="28"/>
    </x:row>
    <x:row r="6" spans="1:14">
      <x:c r="A6" s="21" t="s">
        <x:v>27</x:v>
      </x:c>
      <x:c r="B6" s="22" t="s">
        <x:v>28</x:v>
      </x:c>
      <x:c r="C6" s="22">
        <x:v>0</x:v>
      </x:c>
      <x:c r="D6" s="22">
        <x:v>0</x:v>
      </x:c>
      <x:c r="E6" s="23">
        <x:v>0</x:v>
      </x:c>
      <x:c r="F6" s="23">
        <x:v>0</x:v>
      </x:c>
      <x:c r="G6" s="24" t="s">
        <x:v>29</x:v>
      </x:c>
      <x:c r="H6" s="24" t="s">
        <x:v>17</x:v>
      </x:c>
      <x:c r="I6" s="25"/>
      <x:c r="J6" s="26"/>
      <x:c r="K6" s="22">
        <x:f>IF(J6="","",IFERROR(INDEX('درخت جدید'!$C:$C,MATCH(J6&amp;"",'درخت جدید'!$B:$B,0)),"—"))</x:f>
      </x:c>
      <x:c r="L6" s="22">
        <x:f>IF(J6="",IF(D6&gt;0,"الزامی — تکمیل نشده",""),IF(COUNTIFS('درخت جدید'!$B:$B,J6&amp;"",'درخت جدید'!$A:$A,"کل")=0,IF(M6="","کد در درخت نیست — نام برای تعریف را بنویسید","OK"),"OK"))</x:f>
      </x:c>
      <x:c r="M6" s="27"/>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x:f>
      </x:c>
      <x:c r="L7" s="22">
        <x:f>IF(J7="",IF(D7&gt;0,"الزامی — تکمیل نشده",""),IF(COUNTIFS('درخت جدید'!$B:$B,J7&amp;"",'درخت جدید'!$A:$A,"کل")=0,IF(M7="","کد در درخت نیست — نام برای تعریف را بنویسید","OK"),"OK"))</x:f>
      </x:c>
      <x:c r="M7" s="27"/>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x:f>
      </x:c>
      <x:c r="L8" s="22">
        <x:f>IF(J8="",IF(D8&gt;0,"الزامی — تکمیل نشده",""),IF(COUNTIFS('درخت جدید'!$B:$B,J8&amp;"",'درخت جدید'!$A:$A,"کل")=0,IF(M8="","کد در درخت نیست — نام برای تعریف را بنویسید","OK"),"OK"))</x:f>
      </x:c>
      <x:c r="M8" s="27"/>
      <x:c r="N8" s="28"/>
    </x:row>
    <x:row r="9" spans="1:14">
      <x:c r="A9" s="21" t="s">
        <x:v>38</x:v>
      </x:c>
      <x:c r="B9" s="22" t="s">
        <x:v>39</x:v>
      </x:c>
      <x:c r="C9" s="22">
        <x:v>0</x:v>
      </x:c>
      <x:c r="D9" s="22">
        <x:v>0</x:v>
      </x:c>
      <x:c r="E9" s="23">
        <x:v>0</x:v>
      </x:c>
      <x:c r="F9" s="23">
        <x:v>0</x:v>
      </x:c>
      <x:c r="G9" s="24" t="s">
        <x:v>40</x:v>
      </x:c>
      <x:c r="H9" s="24" t="s">
        <x:v>17</x:v>
      </x:c>
      <x:c r="I9" s="25"/>
      <x:c r="J9" s="26"/>
      <x:c r="K9" s="22">
        <x:f>IF(J9="","",IFERROR(INDEX('درخت جدید'!$C:$C,MATCH(J9&amp;"",'درخت جدید'!$B:$B,0)),"—"))</x:f>
      </x:c>
      <x:c r="L9" s="22">
        <x:f>IF(J9="",IF(D9&gt;0,"الزامی — تکمیل نشده",""),IF(COUNTIFS('درخت جدید'!$B:$B,J9&amp;"",'درخت جدید'!$A:$A,"کل")=0,IF(M9="","کد در درخت نیست — نام برای تعریف را بنویسید","OK"),"OK"))</x:f>
      </x:c>
      <x:c r="M9" s="27"/>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x:f>
      </x:c>
      <x:c r="L10" s="22">
        <x:f>IF(J10="",IF(D10&gt;0,"الزامی — تکمیل نشده",""),IF(COUNTIFS('درخت جدید'!$B:$B,J10&amp;"",'درخت جدید'!$A:$A,"کل")=0,IF(M10="","کد در درخت نیست — نام برای تعریف را بنویسید","OK"),"OK"))</x:f>
      </x:c>
      <x:c r="M10" s="27"/>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x:f>
      </x:c>
      <x:c r="L11" s="22">
        <x:f>IF(J11="",IF(D11&gt;0,"الزامی — تکمیل نشده",""),IF(COUNTIFS('درخت جدید'!$B:$B,J11&amp;"",'درخت جدید'!$A:$A,"کل")=0,IF(M11="","کد در درخت نیست — نام برای تعریف را بنویسید","OK"),"OK"))</x:f>
      </x:c>
      <x:c r="M11" s="27"/>
      <x:c r="N11" s="28"/>
    </x:row>
    <x:row r="12" spans="1:14">
      <x:c r="A12" s="21" t="s">
        <x:v>49</x:v>
      </x:c>
      <x:c r="B12" s="22" t="s">
        <x:v>50</x:v>
      </x:c>
      <x:c r="C12" s="22">
        <x:v>14</x:v>
      </x:c>
      <x:c r="D12" s="22">
        <x:v>809</x:v>
      </x:c>
      <x:c r="E12" s="23">
        <x:v>65261064200</x:v>
      </x:c>
      <x:c r="F12" s="23">
        <x:v>87394171586</x:v>
      </x:c>
      <x:c r="G12" s="24" t="s">
        <x:v>51</x:v>
      </x:c>
      <x:c r="H12" s="24" t="s">
        <x:v>52</x:v>
      </x:c>
      <x:c r="I12" s="25">
        <x:v>0</x:v>
      </x:c>
      <x:c r="J12" s="26" t="s">
        <x:v>51</x:v>
      </x:c>
      <x:c r="K12" s="22">
        <x:f>IF(J12="","",IFERROR(INDEX('درخت جدید'!$C:$C,MATCH(J12&amp;"",'درخت جدید'!$B:$B,0)),"—"))</x:f>
      </x:c>
      <x:c r="L12" s="22">
        <x:f>IF(J12="",IF(D12&gt;0,"الزامی — تکمیل نشده",""),IF(COUNTIFS('درخت جدید'!$B:$B,J12&amp;"",'درخت جدید'!$A:$A,"کل")=0,IF(M12="","کد در درخت نیست — نام برای تعریف را بنویسید","OK"),"OK"))</x:f>
      </x:c>
      <x:c r="M12" s="27"/>
      <x:c r="N12" s="28"/>
    </x:row>
    <x:row r="13" spans="1:14">
      <x:c r="A13" s="21" t="s">
        <x:v>53</x:v>
      </x:c>
      <x:c r="B13" s="22" t="s">
        <x:v>54</x:v>
      </x:c>
      <x:c r="C13" s="22">
        <x:v>24</x:v>
      </x:c>
      <x:c r="D13" s="22">
        <x:v>1068</x:v>
      </x:c>
      <x:c r="E13" s="23">
        <x:v>40192446003</x:v>
      </x:c>
      <x:c r="F13" s="23">
        <x:v>10438519337</x:v>
      </x:c>
      <x:c r="G13" s="24" t="s">
        <x:v>55</x:v>
      </x:c>
      <x:c r="H13" s="24" t="s">
        <x:v>54</x:v>
      </x:c>
      <x:c r="I13" s="25">
        <x:v>1</x:v>
      </x:c>
      <x:c r="J13" s="26" t="s">
        <x:v>55</x:v>
      </x:c>
      <x:c r="K13" s="22">
        <x:f>IF(J13="","",IFERROR(INDEX('درخت جدید'!$C:$C,MATCH(J13&amp;"",'درخت جدید'!$B:$B,0)),"—"))</x:f>
      </x:c>
      <x:c r="L13" s="22">
        <x:f>IF(J13="",IF(D13&gt;0,"الزامی — تکمیل نشده",""),IF(COUNTIFS('درخت جدید'!$B:$B,J13&amp;"",'درخت جدید'!$A:$A,"کل")=0,IF(M13="","کد در درخت نیست — نام برای تعریف را بنویسید","OK"),"OK"))</x:f>
      </x:c>
      <x:c r="M13" s="27"/>
      <x:c r="N13" s="28"/>
    </x:row>
    <x:row r="14" spans="1:14">
      <x:c r="A14" s="21" t="s">
        <x:v>56</x:v>
      </x:c>
      <x:c r="B14" s="22" t="s">
        <x:v>57</x:v>
      </x:c>
      <x:c r="C14" s="22">
        <x:v>3</x:v>
      </x:c>
      <x:c r="D14" s="22">
        <x:v>0</x:v>
      </x:c>
      <x:c r="E14" s="23">
        <x:v>0</x:v>
      </x:c>
      <x:c r="F14" s="23">
        <x:v>0</x:v>
      </x:c>
      <x:c r="G14" s="24" t="s">
        <x:v>58</x:v>
      </x:c>
      <x:c r="H14" s="24" t="s">
        <x:v>59</x:v>
      </x:c>
      <x:c r="I14" s="25">
        <x:v>0.7</x:v>
      </x:c>
      <x:c r="J14" s="26" t="s">
        <x:v>58</x:v>
      </x:c>
      <x:c r="K14" s="22">
        <x:f>IF(J14="","",IFERROR(INDEX('درخت جدید'!$C:$C,MATCH(J14&amp;"",'درخت جدید'!$B:$B,0)),"—"))</x:f>
      </x:c>
      <x:c r="L14" s="22">
        <x:f>IF(J14="",IF(D14&gt;0,"الزامی — تکمیل نشده",""),IF(COUNTIFS('درخت جدید'!$B:$B,J14&amp;"",'درخت جدید'!$A:$A,"کل")=0,IF(M14="","کد در درخت نیست — نام برای تعریف را بنویسید","OK"),"OK"))</x:f>
      </x:c>
      <x:c r="M14" s="27"/>
      <x:c r="N14" s="28"/>
    </x:row>
    <x:row r="15" spans="1:14">
      <x:c r="A15" s="21" t="s">
        <x:v>60</x:v>
      </x:c>
      <x:c r="B15" s="22" t="s">
        <x:v>61</x:v>
      </x:c>
      <x:c r="C15" s="22">
        <x:v>5</x:v>
      </x:c>
      <x:c r="D15" s="22">
        <x:v>23</x:v>
      </x:c>
      <x:c r="E15" s="23">
        <x:v>500000000</x:v>
      </x:c>
      <x:c r="F15" s="23">
        <x:v>550000000</x:v>
      </x:c>
      <x:c r="G15" s="24" t="s">
        <x:v>62</x:v>
      </x:c>
      <x:c r="H15" s="24" t="s">
        <x:v>63</x:v>
      </x:c>
      <x:c r="I15" s="25">
        <x:v>1</x:v>
      </x:c>
      <x:c r="J15" s="26" t="s">
        <x:v>62</x:v>
      </x:c>
      <x:c r="K15" s="22">
        <x:f>IF(J15="","",IFERROR(INDEX('درخت جدید'!$C:$C,MATCH(J15&amp;"",'درخت جدید'!$B:$B,0)),"—"))</x:f>
      </x:c>
      <x:c r="L15" s="22">
        <x:f>IF(J15="",IF(D15&gt;0,"الزامی — تکمیل نشده",""),IF(COUNTIFS('درخت جدید'!$B:$B,J15&amp;"",'درخت جدید'!$A:$A,"کل")=0,IF(M15="","کد در درخت نیست — نام برای تعریف را بنویسید","OK"),"OK"))</x:f>
      </x:c>
      <x:c r="M15" s="27"/>
      <x:c r="N15" s="28"/>
    </x:row>
    <x:row r="16" spans="1:14">
      <x:c r="A16" s="21" t="s">
        <x:v>64</x:v>
      </x:c>
      <x:c r="B16" s="22" t="s">
        <x:v>65</x:v>
      </x:c>
      <x:c r="C16" s="22">
        <x:v>7</x:v>
      </x:c>
      <x:c r="D16" s="22">
        <x:v>1071</x:v>
      </x:c>
      <x:c r="E16" s="23">
        <x:v>158455359153</x:v>
      </x:c>
      <x:c r="F16" s="23">
        <x:v>170428984513</x:v>
      </x:c>
      <x:c r="G16" s="24" t="s">
        <x:v>66</x:v>
      </x:c>
      <x:c r="H16" s="24" t="s">
        <x:v>65</x:v>
      </x:c>
      <x:c r="I16" s="25">
        <x:v>1</x:v>
      </x:c>
      <x:c r="J16" s="26" t="s">
        <x:v>66</x:v>
      </x:c>
      <x:c r="K16" s="22">
        <x:f>IF(J16="","",IFERROR(INDEX('درخت جدید'!$C:$C,MATCH(J16&amp;"",'درخت جدید'!$B:$B,0)),"—"))</x:f>
      </x:c>
      <x:c r="L16" s="22">
        <x:f>IF(J16="",IF(D16&gt;0,"الزامی — تکمیل نشده",""),IF(COUNTIFS('درخت جدید'!$B:$B,J16&amp;"",'درخت جدید'!$A:$A,"کل")=0,IF(M16="","کد در درخت نیست — نام برای تعریف را بنویسید","OK"),"OK"))</x:f>
      </x:c>
      <x:c r="M16" s="27"/>
      <x:c r="N16" s="28"/>
    </x:row>
    <x:row r="17" spans="1:14">
      <x:c r="A17" s="21" t="s">
        <x:v>67</x:v>
      </x:c>
      <x:c r="B17" s="22" t="s">
        <x:v>68</x:v>
      </x:c>
      <x:c r="C17" s="22">
        <x:v>0</x:v>
      </x:c>
      <x:c r="D17" s="22">
        <x:v>0</x:v>
      </x:c>
      <x:c r="E17" s="23">
        <x:v>0</x:v>
      </x:c>
      <x:c r="F17" s="23">
        <x:v>0</x:v>
      </x:c>
      <x:c r="G17" s="24" t="s">
        <x:v>69</x:v>
      </x:c>
      <x:c r="H17" s="24" t="s">
        <x:v>70</x:v>
      </x:c>
      <x:c r="I17" s="25">
        <x:v>1</x:v>
      </x:c>
      <x:c r="J17" s="26" t="s">
        <x:v>69</x:v>
      </x:c>
      <x:c r="K17" s="22">
        <x:f>IF(J17="","",IFERROR(INDEX('درخت جدید'!$C:$C,MATCH(J17&amp;"",'درخت جدید'!$B:$B,0)),"—"))</x:f>
      </x:c>
      <x:c r="L17" s="22">
        <x:f>IF(J17="",IF(D17&gt;0,"الزامی — تکمیل نشده",""),IF(COUNTIFS('درخت جدید'!$B:$B,J17&amp;"",'درخت جدید'!$A:$A,"کل")=0,IF(M17="","کد در درخت نیست — نام برای تعریف را بنویسید","OK"),"OK"))</x:f>
      </x:c>
      <x:c r="M17" s="27"/>
      <x:c r="N17" s="28"/>
    </x:row>
    <x:row r="18" spans="1:14">
      <x:c r="A18" s="21" t="s">
        <x:v>71</x:v>
      </x:c>
      <x:c r="B18" s="22" t="s">
        <x:v>72</x:v>
      </x:c>
      <x:c r="C18" s="22">
        <x:v>38</x:v>
      </x:c>
      <x:c r="D18" s="22">
        <x:v>1329</x:v>
      </x:c>
      <x:c r="E18" s="23">
        <x:v>173880819594</x:v>
      </x:c>
      <x:c r="F18" s="23">
        <x:v>208711762819</x:v>
      </x:c>
      <x:c r="G18" s="24" t="s">
        <x:v>73</x:v>
      </x:c>
      <x:c r="H18" s="24" t="s">
        <x:v>72</x:v>
      </x:c>
      <x:c r="I18" s="25">
        <x:v>1</x:v>
      </x:c>
      <x:c r="J18" s="26" t="s">
        <x:v>73</x:v>
      </x:c>
      <x:c r="K18" s="22">
        <x:f>IF(J18="","",IFERROR(INDEX('درخت جدید'!$C:$C,MATCH(J18&amp;"",'درخت جدید'!$B:$B,0)),"—"))</x:f>
      </x:c>
      <x:c r="L18" s="22">
        <x:f>IF(J18="",IF(D18&gt;0,"الزامی — تکمیل نشده",""),IF(COUNTIFS('درخت جدید'!$B:$B,J18&amp;"",'درخت جدید'!$A:$A,"کل")=0,IF(M18="","کد در درخت نیست — نام برای تعریف را بنویسید","OK"),"OK"))</x:f>
      </x:c>
      <x:c r="M18" s="27"/>
      <x:c r="N18" s="28"/>
    </x:row>
    <x:row r="19" spans="1:14">
      <x:c r="A19" s="21" t="s">
        <x:v>74</x:v>
      </x:c>
      <x:c r="B19" s="22" t="s">
        <x:v>75</x:v>
      </x:c>
      <x:c r="C19" s="22">
        <x:v>1</x:v>
      </x:c>
      <x:c r="D19" s="22">
        <x:v>7</x:v>
      </x:c>
      <x:c r="E19" s="23">
        <x:v>526001</x:v>
      </x:c>
      <x:c r="F19" s="23">
        <x:v>67104000</x:v>
      </x:c>
      <x:c r="G19" s="24" t="s">
        <x:v>76</x:v>
      </x:c>
      <x:c r="H19" s="24" t="s">
        <x:v>77</x:v>
      </x:c>
      <x:c r="I19" s="25">
        <x:v>1</x:v>
      </x:c>
      <x:c r="J19" s="26" t="s">
        <x:v>76</x:v>
      </x:c>
      <x:c r="K19" s="22">
        <x:f>IF(J19="","",IFERROR(INDEX('درخت جدید'!$C:$C,MATCH(J19&amp;"",'درخت جدید'!$B:$B,0)),"—"))</x:f>
      </x:c>
      <x:c r="L19" s="22">
        <x:f>IF(J19="",IF(D19&gt;0,"الزامی — تکمیل نشده",""),IF(COUNTIFS('درخت جدید'!$B:$B,J19&amp;"",'درخت جدید'!$A:$A,"کل")=0,IF(M19="","کد در درخت نیست — نام برای تعریف را بنویسید","OK"),"OK"))</x:f>
      </x:c>
      <x:c r="M19" s="27"/>
      <x:c r="N19" s="28"/>
    </x:row>
    <x:row r="20" spans="1:14">
      <x:c r="A20" s="21" t="s">
        <x:v>78</x:v>
      </x:c>
      <x:c r="B20" s="22" t="s">
        <x:v>79</x:v>
      </x:c>
      <x:c r="C20" s="22">
        <x:v>0</x:v>
      </x:c>
      <x:c r="D20" s="22">
        <x:v>0</x:v>
      </x:c>
      <x:c r="E20" s="23">
        <x:v>0</x:v>
      </x:c>
      <x:c r="F20" s="23">
        <x:v>0</x:v>
      </x:c>
      <x:c r="G20" s="24" t="s">
        <x:v>80</x:v>
      </x:c>
      <x:c r="H20" s="24" t="s">
        <x:v>81</x:v>
      </x:c>
      <x:c r="I20" s="25">
        <x:v>1</x:v>
      </x:c>
      <x:c r="J20" s="26" t="s">
        <x:v>80</x:v>
      </x:c>
      <x:c r="K20" s="22">
        <x:f>IF(J20="","",IFERROR(INDEX('درخت جدید'!$C:$C,MATCH(J20&amp;"",'درخت جدید'!$B:$B,0)),"—"))</x:f>
      </x:c>
      <x:c r="L20" s="22">
        <x:f>IF(J20="",IF(D20&gt;0,"الزامی — تکمیل نشده",""),IF(COUNTIFS('درخت جدید'!$B:$B,J20&amp;"",'درخت جدید'!$A:$A,"کل")=0,IF(M20="","کد در درخت نیست — نام برای تعریف را بنویسید","OK"),"OK"))</x:f>
      </x:c>
      <x:c r="M20" s="27"/>
      <x:c r="N20" s="28"/>
    </x:row>
    <x:row r="21" spans="1:14">
      <x:c r="A21" s="21" t="s">
        <x:v>82</x:v>
      </x:c>
      <x:c r="B21" s="22" t="s">
        <x:v>83</x:v>
      </x:c>
      <x:c r="C21" s="22">
        <x:v>3</x:v>
      </x:c>
      <x:c r="D21" s="22">
        <x:v>539</x:v>
      </x:c>
      <x:c r="E21" s="23">
        <x:v>422399126189</x:v>
      </x:c>
      <x:c r="F21" s="23">
        <x:v>164665177292</x:v>
      </x:c>
      <x:c r="G21" s="24" t="s">
        <x:v>84</x:v>
      </x:c>
      <x:c r="H21" s="24" t="s">
        <x:v>85</x:v>
      </x:c>
      <x:c r="I21" s="25">
        <x:v>0.77</x:v>
      </x:c>
      <x:c r="J21" s="26" t="s">
        <x:v>84</x:v>
      </x:c>
      <x:c r="K21" s="22">
        <x:f>IF(J21="","",IFERROR(INDEX('درخت جدید'!$C:$C,MATCH(J21&amp;"",'درخت جدید'!$B:$B,0)),"—"))</x:f>
      </x:c>
      <x:c r="L21" s="22">
        <x:f>IF(J21="",IF(D21&gt;0,"الزامی — تکمیل نشده",""),IF(COUNTIFS('درخت جدید'!$B:$B,J21&amp;"",'درخت جدید'!$A:$A,"کل")=0,IF(M21="","کد در درخت نیست — نام برای تعریف را بنویسید","OK"),"OK"))</x:f>
      </x:c>
      <x:c r="M21" s="27"/>
      <x:c r="N21" s="28"/>
    </x:row>
    <x:row r="22" spans="1:14">
      <x:c r="A22" s="21" t="s">
        <x:v>86</x:v>
      </x:c>
      <x:c r="B22" s="22" t="s">
        <x:v>87</x:v>
      </x:c>
      <x:c r="C22" s="22">
        <x:v>3</x:v>
      </x:c>
      <x:c r="D22" s="22">
        <x:v>1</x:v>
      </x:c>
      <x:c r="E22" s="23">
        <x:v>0</x:v>
      </x:c>
      <x:c r="F22" s="23">
        <x:v>1</x:v>
      </x:c>
      <x:c r="G22" s="24" t="s">
        <x:v>88</x:v>
      </x:c>
      <x:c r="H22" s="24" t="s">
        <x:v>89</x:v>
      </x:c>
      <x:c r="I22" s="25">
        <x:v>0.67</x:v>
      </x:c>
      <x:c r="J22" s="26" t="s">
        <x:v>88</x:v>
      </x:c>
      <x:c r="K22" s="22">
        <x:f>IF(J22="","",IFERROR(INDEX('درخت جدید'!$C:$C,MATCH(J22&amp;"",'درخت جدید'!$B:$B,0)),"—"))</x:f>
      </x:c>
      <x:c r="L22" s="22">
        <x:f>IF(J22="",IF(D22&gt;0,"الزامی — تکمیل نشده",""),IF(COUNTIFS('درخت جدید'!$B:$B,J22&amp;"",'درخت جدید'!$A:$A,"کل")=0,IF(M22="","کد در درخت نیست — نام برای تعریف را بنویسید","OK"),"OK"))</x:f>
      </x:c>
      <x:c r="M22" s="27"/>
      <x:c r="N22" s="28"/>
    </x:row>
    <x:row r="23" spans="1:14">
      <x:c r="A23" s="21" t="s">
        <x:v>90</x:v>
      </x:c>
      <x:c r="B23" s="22" t="s">
        <x:v>91</x:v>
      </x:c>
      <x:c r="C23" s="22">
        <x:v>5</x:v>
      </x:c>
      <x:c r="D23" s="22">
        <x:v>0</x:v>
      </x:c>
      <x:c r="E23" s="23">
        <x:v>0</x:v>
      </x:c>
      <x:c r="F23" s="23">
        <x:v>0</x:v>
      </x:c>
      <x:c r="G23" s="24" t="s">
        <x:v>92</x:v>
      </x:c>
      <x:c r="H23" s="24" t="s">
        <x:v>93</x:v>
      </x:c>
      <x:c r="I23" s="25">
        <x:v>1</x:v>
      </x:c>
      <x:c r="J23" s="26" t="s">
        <x:v>92</x:v>
      </x:c>
      <x:c r="K23" s="22">
        <x:f>IF(J23="","",IFERROR(INDEX('درخت جدید'!$C:$C,MATCH(J23&amp;"",'درخت جدید'!$B:$B,0)),"—"))</x:f>
      </x:c>
      <x:c r="L23" s="22">
        <x:f>IF(J23="",IF(D23&gt;0,"الزامی — تکمیل نشده",""),IF(COUNTIFS('درخت جدید'!$B:$B,J23&amp;"",'درخت جدید'!$A:$A,"کل")=0,IF(M23="","کد در درخت نیست — نام برای تعریف را بنویسید","OK"),"OK"))</x:f>
      </x:c>
      <x:c r="M23" s="27"/>
      <x:c r="N23" s="28"/>
    </x:row>
    <x:row r="24" spans="1:14">
      <x:c r="A24" s="21" t="s">
        <x:v>94</x:v>
      </x:c>
      <x:c r="B24" s="22" t="s">
        <x:v>95</x:v>
      </x:c>
      <x:c r="C24" s="22">
        <x:v>2</x:v>
      </x:c>
      <x:c r="D24" s="22">
        <x:v>0</x:v>
      </x:c>
      <x:c r="E24" s="23">
        <x:v>0</x:v>
      </x:c>
      <x:c r="F24" s="23">
        <x:v>0</x:v>
      </x:c>
      <x:c r="G24" s="24" t="s">
        <x:v>96</x:v>
      </x:c>
      <x:c r="H24" s="24" t="s">
        <x:v>97</x:v>
      </x:c>
      <x:c r="I24" s="25">
        <x:v>0.86</x:v>
      </x:c>
      <x:c r="J24" s="26" t="s">
        <x:v>96</x:v>
      </x:c>
      <x:c r="K24" s="22">
        <x:f>IF(J24="","",IFERROR(INDEX('درخت جدید'!$C:$C,MATCH(J24&amp;"",'درخت جدید'!$B:$B,0)),"—"))</x:f>
      </x:c>
      <x:c r="L24" s="22">
        <x:f>IF(J24="",IF(D24&gt;0,"الزامی — تکمیل نشده",""),IF(COUNTIFS('درخت جدید'!$B:$B,J24&amp;"",'درخت جدید'!$A:$A,"کل")=0,IF(M24="","کد در درخت نیست — نام برای تعریف را بنویسید","OK"),"OK"))</x:f>
      </x:c>
      <x:c r="M24" s="27"/>
      <x:c r="N24" s="28"/>
    </x:row>
    <x:row r="25" spans="1:14">
      <x:c r="A25" s="21" t="s">
        <x:v>98</x:v>
      </x:c>
      <x:c r="B25" s="22" t="s">
        <x:v>99</x:v>
      </x:c>
      <x:c r="C25" s="22">
        <x:v>2</x:v>
      </x:c>
      <x:c r="D25" s="22">
        <x:v>2</x:v>
      </x:c>
      <x:c r="E25" s="23">
        <x:v>2020000</x:v>
      </x:c>
      <x:c r="F25" s="23">
        <x:v>2020000</x:v>
      </x:c>
      <x:c r="G25" s="24" t="s">
        <x:v>100</x:v>
      </x:c>
      <x:c r="H25" s="24" t="s">
        <x:v>101</x:v>
      </x:c>
      <x:c r="I25" s="25">
        <x:v>0.9</x:v>
      </x:c>
      <x:c r="J25" s="26" t="s">
        <x:v>100</x:v>
      </x:c>
      <x:c r="K25" s="22">
        <x:f>IF(J25="","",IFERROR(INDEX('درخت جدید'!$C:$C,MATCH(J25&amp;"",'درخت جدید'!$B:$B,0)),"—"))</x:f>
      </x:c>
      <x:c r="L25" s="22">
        <x:f>IF(J25="",IF(D25&gt;0,"الزامی — تکمیل نشده",""),IF(COUNTIFS('درخت جدید'!$B:$B,J25&amp;"",'درخت جدید'!$A:$A,"کل")=0,IF(M25="","کد در درخت نیست — نام برای تعریف را بنویسید","OK"),"OK"))</x:f>
      </x:c>
      <x:c r="M25" s="27"/>
      <x:c r="N25" s="28"/>
    </x:row>
    <x:row r="26" spans="1:14">
      <x:c r="A26" s="21" t="s">
        <x:v>102</x:v>
      </x:c>
      <x:c r="B26" s="22" t="s">
        <x:v>103</x:v>
      </x:c>
      <x:c r="C26" s="22">
        <x:v>16</x:v>
      </x:c>
      <x:c r="D26" s="22">
        <x:v>67</x:v>
      </x:c>
      <x:c r="E26" s="23">
        <x:v>1519259200</x:v>
      </x:c>
      <x:c r="F26" s="23">
        <x:v>1519259200</x:v>
      </x:c>
      <x:c r="G26" s="24" t="s">
        <x:v>104</x:v>
      </x:c>
      <x:c r="H26" s="24" t="s">
        <x:v>103</x:v>
      </x:c>
      <x:c r="I26" s="25">
        <x:v>1</x:v>
      </x:c>
      <x:c r="J26" s="26" t="s">
        <x:v>104</x:v>
      </x:c>
      <x:c r="K26" s="22">
        <x:f>IF(J26="","",IFERROR(INDEX('درخت جدید'!$C:$C,MATCH(J26&amp;"",'درخت جدید'!$B:$B,0)),"—"))</x:f>
      </x:c>
      <x:c r="L26" s="22">
        <x:f>IF(J26="",IF(D26&gt;0,"الزامی — تکمیل نشده",""),IF(COUNTIFS('درخت جدید'!$B:$B,J26&amp;"",'درخت جدید'!$A:$A,"کل")=0,IF(M26="","کد در درخت نیست — نام برای تعریف را بنویسید","OK"),"OK"))</x:f>
      </x:c>
      <x:c r="M26" s="27"/>
      <x:c r="N26" s="28"/>
    </x:row>
    <x:row r="27" spans="1:14">
      <x:c r="A27" s="21" t="s">
        <x:v>105</x:v>
      </x:c>
      <x:c r="B27" s="22" t="s">
        <x:v>106</x:v>
      </x:c>
      <x:c r="C27" s="22">
        <x:v>1</x:v>
      </x:c>
      <x:c r="D27" s="22">
        <x:v>0</x:v>
      </x:c>
      <x:c r="E27" s="23">
        <x:v>0</x:v>
      </x:c>
      <x:c r="F27" s="23">
        <x:v>0</x:v>
      </x:c>
      <x:c r="G27" s="24" t="s">
        <x:v>107</x:v>
      </x:c>
      <x:c r="H27" s="24" t="s">
        <x:v>17</x:v>
      </x:c>
      <x:c r="I27" s="25"/>
      <x:c r="J27" s="26"/>
      <x:c r="K27" s="22">
        <x:f>IF(J27="","",IFERROR(INDEX('درخت جدید'!$C:$C,MATCH(J27&amp;"",'درخت جدید'!$B:$B,0)),"—"))</x:f>
      </x:c>
      <x:c r="L27" s="22">
        <x:f>IF(J27="",IF(D27&gt;0,"الزامی — تکمیل نشده",""),IF(COUNTIFS('درخت جدید'!$B:$B,J27&amp;"",'درخت جدید'!$A:$A,"کل")=0,IF(M27="","کد در درخت نیست — نام برای تعریف را بنویسید","OK"),"OK"))</x:f>
      </x:c>
      <x:c r="M27" s="27"/>
      <x:c r="N27" s="28"/>
    </x:row>
    <x:row r="28" spans="1:14">
      <x:c r="A28" s="21" t="s">
        <x:v>108</x:v>
      </x:c>
      <x:c r="B28" s="22" t="s">
        <x:v>109</x:v>
      </x:c>
      <x:c r="C28" s="22">
        <x:v>0</x:v>
      </x:c>
      <x:c r="D28" s="22">
        <x:v>0</x:v>
      </x:c>
      <x:c r="E28" s="23">
        <x:v>0</x:v>
      </x:c>
      <x:c r="F28" s="23">
        <x:v>0</x:v>
      </x:c>
      <x:c r="G28" s="24" t="s">
        <x:v>110</x:v>
      </x:c>
      <x:c r="H28" s="24" t="s">
        <x:v>111</x:v>
      </x:c>
      <x:c r="I28" s="25">
        <x:v>0.76</x:v>
      </x:c>
      <x:c r="J28" s="26" t="s">
        <x:v>110</x:v>
      </x:c>
      <x:c r="K28" s="22">
        <x:f>IF(J28="","",IFERROR(INDEX('درخت جدید'!$C:$C,MATCH(J28&amp;"",'درخت جدید'!$B:$B,0)),"—"))</x:f>
      </x:c>
      <x:c r="L28" s="22">
        <x:f>IF(J28="",IF(D28&gt;0,"الزامی — تکمیل نشده",""),IF(COUNTIFS('درخت جدید'!$B:$B,J28&amp;"",'درخت جدید'!$A:$A,"کل")=0,IF(M28="","کد در درخت نیست — نام برای تعریف را بنویسید","OK"),"OK"))</x:f>
      </x:c>
      <x:c r="M28" s="27"/>
      <x:c r="N28" s="28"/>
    </x:row>
    <x:row r="29" spans="1:14">
      <x:c r="A29" s="21" t="s">
        <x:v>112</x:v>
      </x:c>
      <x:c r="B29" s="22" t="s">
        <x:v>113</x:v>
      </x:c>
      <x:c r="C29" s="22">
        <x:v>1</x:v>
      </x:c>
      <x:c r="D29" s="22">
        <x:v>0</x:v>
      </x:c>
      <x:c r="E29" s="23">
        <x:v>0</x:v>
      </x:c>
      <x:c r="F29" s="23">
        <x:v>0</x:v>
      </x:c>
      <x:c r="G29" s="24" t="s">
        <x:v>114</x:v>
      </x:c>
      <x:c r="H29" s="24" t="s">
        <x:v>115</x:v>
      </x:c>
      <x:c r="I29" s="25">
        <x:v>0.93</x:v>
      </x:c>
      <x:c r="J29" s="26" t="s">
        <x:v>114</x:v>
      </x:c>
      <x:c r="K29" s="22">
        <x:f>IF(J29="","",IFERROR(INDEX('درخت جدید'!$C:$C,MATCH(J29&amp;"",'درخت جدید'!$B:$B,0)),"—"))</x:f>
      </x:c>
      <x:c r="L29" s="22">
        <x:f>IF(J29="",IF(D29&gt;0,"الزامی — تکمیل نشده",""),IF(COUNTIFS('درخت جدید'!$B:$B,J29&amp;"",'درخت جدید'!$A:$A,"کل")=0,IF(M29="","کد در درخت نیست — نام برای تعریف را بنویسید","OK"),"OK"))</x:f>
      </x:c>
      <x:c r="M29" s="27"/>
      <x:c r="N29" s="28"/>
    </x:row>
    <x:row r="30" spans="1:14">
      <x:c r="A30" s="21" t="s">
        <x:v>116</x:v>
      </x:c>
      <x:c r="B30" s="22" t="s">
        <x:v>117</x:v>
      </x:c>
      <x:c r="C30" s="22">
        <x:v>5</x:v>
      </x:c>
      <x:c r="D30" s="22">
        <x:v>2</x:v>
      </x:c>
      <x:c r="E30" s="23">
        <x:v>27604800</x:v>
      </x:c>
      <x:c r="F30" s="23">
        <x:v>27604800</x:v>
      </x:c>
      <x:c r="G30" s="24" t="s">
        <x:v>118</x:v>
      </x:c>
      <x:c r="H30" s="24" t="s">
        <x:v>119</x:v>
      </x:c>
      <x:c r="I30" s="25">
        <x:v>1</x:v>
      </x:c>
      <x:c r="J30" s="26" t="s">
        <x:v>118</x:v>
      </x:c>
      <x:c r="K30" s="22">
        <x:f>IF(J30="","",IFERROR(INDEX('درخت جدید'!$C:$C,MATCH(J30&amp;"",'درخت جدید'!$B:$B,0)),"—"))</x:f>
      </x:c>
      <x:c r="L30" s="22">
        <x:f>IF(J30="",IF(D30&gt;0,"الزامی — تکمیل نشده",""),IF(COUNTIFS('درخت جدید'!$B:$B,J30&amp;"",'درخت جدید'!$A:$A,"کل")=0,IF(M30="","کد در درخت نیست — نام برای تعریف را بنویسید","OK"),"OK"))</x:f>
      </x:c>
      <x:c r="M30" s="27"/>
      <x:c r="N30" s="28"/>
    </x:row>
    <x:row r="31" spans="1:14">
      <x:c r="A31" s="21" t="s">
        <x:v>120</x:v>
      </x:c>
      <x:c r="B31" s="22" t="s">
        <x:v>121</x:v>
      </x:c>
      <x:c r="C31" s="22">
        <x:v>0</x:v>
      </x:c>
      <x:c r="D31" s="22">
        <x:v>0</x:v>
      </x:c>
      <x:c r="E31" s="23">
        <x:v>0</x:v>
      </x:c>
      <x:c r="F31" s="23">
        <x:v>0</x:v>
      </x:c>
      <x:c r="G31" s="24" t="s">
        <x:v>122</x:v>
      </x:c>
      <x:c r="H31" s="24" t="s">
        <x:v>123</x:v>
      </x:c>
      <x:c r="I31" s="25">
        <x:v>1</x:v>
      </x:c>
      <x:c r="J31" s="26" t="s">
        <x:v>122</x:v>
      </x:c>
      <x:c r="K31" s="22">
        <x:f>IF(J31="","",IFERROR(INDEX('درخت جدید'!$C:$C,MATCH(J31&amp;"",'درخت جدید'!$B:$B,0)),"—"))</x:f>
      </x:c>
      <x:c r="L31" s="22">
        <x:f>IF(J31="",IF(D31&gt;0,"الزامی — تکمیل نشده",""),IF(COUNTIFS('درخت جدید'!$B:$B,J31&amp;"",'درخت جدید'!$A:$A,"کل")=0,IF(M31="","کد در درخت نیست — نام برای تعریف را بنویسید","OK"),"OK"))</x:f>
      </x:c>
      <x:c r="M31" s="27"/>
      <x:c r="N31" s="28"/>
    </x:row>
    <x:row r="32" spans="1:14">
      <x:c r="A32" s="21" t="s">
        <x:v>124</x:v>
      </x:c>
      <x:c r="B32" s="22" t="s">
        <x:v>125</x:v>
      </x:c>
      <x:c r="C32" s="22">
        <x:v>0</x:v>
      </x:c>
      <x:c r="D32" s="22">
        <x:v>0</x:v>
      </x:c>
      <x:c r="E32" s="23">
        <x:v>0</x:v>
      </x:c>
      <x:c r="F32" s="23">
        <x:v>0</x:v>
      </x:c>
      <x:c r="G32" s="24" t="s">
        <x:v>126</x:v>
      </x:c>
      <x:c r="H32" s="24" t="s">
        <x:v>127</x:v>
      </x:c>
      <x:c r="I32" s="25">
        <x:v>0.07</x:v>
      </x:c>
      <x:c r="J32" s="26" t="s">
        <x:v>126</x:v>
      </x:c>
      <x:c r="K32" s="22">
        <x:f>IF(J32="","",IFERROR(INDEX('درخت جدید'!$C:$C,MATCH(J32&amp;"",'درخت جدید'!$B:$B,0)),"—"))</x:f>
      </x:c>
      <x:c r="L32" s="22">
        <x:f>IF(J32="",IF(D32&gt;0,"الزامی — تکمیل نشده",""),IF(COUNTIFS('درخت جدید'!$B:$B,J32&amp;"",'درخت جدید'!$A:$A,"کل")=0,IF(M32="","کد در درخت نیست — نام برای تعریف را بنویسید","OK"),"OK"))</x:f>
      </x:c>
      <x:c r="M32" s="27"/>
      <x:c r="N32" s="28"/>
    </x:row>
    <x:row r="33" spans="1:14">
      <x:c r="A33" s="21" t="s">
        <x:v>128</x:v>
      </x:c>
      <x:c r="B33" s="22" t="s">
        <x:v>129</x:v>
      </x:c>
      <x:c r="C33" s="22">
        <x:v>7</x:v>
      </x:c>
      <x:c r="D33" s="22">
        <x:v>253</x:v>
      </x:c>
      <x:c r="E33" s="23">
        <x:v>96753769413</x:v>
      </x:c>
      <x:c r="F33" s="23">
        <x:v>30468212042</x:v>
      </x:c>
      <x:c r="G33" s="24" t="s">
        <x:v>130</x:v>
      </x:c>
      <x:c r="H33" s="24" t="s">
        <x:v>131</x:v>
      </x:c>
      <x:c r="I33" s="25">
        <x:v>0.69</x:v>
      </x:c>
      <x:c r="J33" s="26" t="s">
        <x:v>130</x:v>
      </x:c>
      <x:c r="K33" s="22">
        <x:f>IF(J33="","",IFERROR(INDEX('درخت جدید'!$C:$C,MATCH(J33&amp;"",'درخت جدید'!$B:$B,0)),"—"))</x:f>
      </x:c>
      <x:c r="L33" s="22">
        <x:f>IF(J33="",IF(D33&gt;0,"الزامی — تکمیل نشده",""),IF(COUNTIFS('درخت جدید'!$B:$B,J33&amp;"",'درخت جدید'!$A:$A,"کل")=0,IF(M33="","کد در درخت نیست — نام برای تعریف را بنویسید","OK"),"OK"))</x:f>
      </x:c>
      <x:c r="M33" s="27"/>
      <x:c r="N33" s="28"/>
    </x:row>
    <x:row r="34" spans="1:14">
      <x:c r="A34" s="21" t="s">
        <x:v>132</x:v>
      </x:c>
      <x:c r="B34" s="22" t="s">
        <x:v>133</x:v>
      </x:c>
      <x:c r="C34" s="22">
        <x:v>5</x:v>
      </x:c>
      <x:c r="D34" s="22">
        <x:v>0</x:v>
      </x:c>
      <x:c r="E34" s="23">
        <x:v>0</x:v>
      </x:c>
      <x:c r="F34" s="23">
        <x:v>0</x:v>
      </x:c>
      <x:c r="G34" s="24" t="s">
        <x:v>134</x:v>
      </x:c>
      <x:c r="H34" s="24" t="s">
        <x:v>135</x:v>
      </x:c>
      <x:c r="I34" s="25">
        <x:v>0.42</x:v>
      </x:c>
      <x:c r="J34" s="26" t="s">
        <x:v>134</x:v>
      </x:c>
      <x:c r="K34" s="22">
        <x:f>IF(J34="","",IFERROR(INDEX('درخت جدید'!$C:$C,MATCH(J34&amp;"",'درخت جدید'!$B:$B,0)),"—"))</x:f>
      </x:c>
      <x:c r="L34" s="22">
        <x:f>IF(J34="",IF(D34&gt;0,"الزامی — تکمیل نشده",""),IF(COUNTIFS('درخت جدید'!$B:$B,J34&amp;"",'درخت جدید'!$A:$A,"کل")=0,IF(M34="","کد در درخت نیست — نام برای تعریف را بنویسید","OK"),"OK"))</x:f>
      </x:c>
      <x:c r="M34" s="27"/>
      <x:c r="N34" s="28"/>
    </x:row>
    <x:row r="35" spans="1:14">
      <x:c r="A35" s="21" t="s">
        <x:v>136</x:v>
      </x:c>
      <x:c r="B35" s="22" t="s">
        <x:v>137</x:v>
      </x:c>
      <x:c r="C35" s="22">
        <x:v>4</x:v>
      </x:c>
      <x:c r="D35" s="22">
        <x:v>261</x:v>
      </x:c>
      <x:c r="E35" s="23">
        <x:v>100021575864514</x:v>
      </x:c>
      <x:c r="F35" s="23">
        <x:v>27650560337</x:v>
      </x:c>
      <x:c r="G35" s="24" t="s">
        <x:v>138</x:v>
      </x:c>
      <x:c r="H35" s="24" t="s">
        <x:v>137</x:v>
      </x:c>
      <x:c r="I35" s="25">
        <x:v>1</x:v>
      </x:c>
      <x:c r="J35" s="26" t="s">
        <x:v>138</x:v>
      </x:c>
      <x:c r="K35" s="22">
        <x:f>IF(J35="","",IFERROR(INDEX('درخت جدید'!$C:$C,MATCH(J35&amp;"",'درخت جدید'!$B:$B,0)),"—"))</x:f>
      </x:c>
      <x:c r="L35" s="22">
        <x:f>IF(J35="",IF(D35&gt;0,"الزامی — تکمیل نشده",""),IF(COUNTIFS('درخت جدید'!$B:$B,J35&amp;"",'درخت جدید'!$A:$A,"کل")=0,IF(M35="","کد در درخت نیست — نام برای تعریف را بنویسید","OK"),"OK"))</x:f>
      </x:c>
      <x:c r="M35" s="27"/>
      <x:c r="N35" s="28"/>
    </x:row>
    <x:row r="36" spans="1:14">
      <x:c r="A36" s="21" t="s">
        <x:v>139</x:v>
      </x:c>
      <x:c r="B36" s="22" t="s">
        <x:v>140</x:v>
      </x:c>
      <x:c r="C36" s="22">
        <x:v>43</x:v>
      </x:c>
      <x:c r="D36" s="22">
        <x:v>895</x:v>
      </x:c>
      <x:c r="E36" s="23">
        <x:v>113821287187</x:v>
      </x:c>
      <x:c r="F36" s="23">
        <x:v>130682642561</x:v>
      </x:c>
      <x:c r="G36" s="24" t="s">
        <x:v>141</x:v>
      </x:c>
      <x:c r="H36" s="24" t="s">
        <x:v>142</x:v>
      </x:c>
      <x:c r="I36" s="25">
        <x:v>1</x:v>
      </x:c>
      <x:c r="J36" s="26" t="s">
        <x:v>141</x:v>
      </x:c>
      <x:c r="K36" s="22">
        <x:f>IF(J36="","",IFERROR(INDEX('درخت جدید'!$C:$C,MATCH(J36&amp;"",'درخت جدید'!$B:$B,0)),"—"))</x:f>
      </x:c>
      <x:c r="L36" s="22">
        <x:f>IF(J36="",IF(D36&gt;0,"الزامی — تکمیل نشده",""),IF(COUNTIFS('درخت جدید'!$B:$B,J36&amp;"",'درخت جدید'!$A:$A,"کل")=0,IF(M36="","کد در درخت نیست — نام برای تعریف را بنویسید","OK"),"OK"))</x:f>
      </x:c>
      <x:c r="M36" s="27"/>
      <x:c r="N36" s="28"/>
    </x:row>
    <x:row r="37" spans="1:14">
      <x:c r="A37" s="21" t="s">
        <x:v>143</x:v>
      </x:c>
      <x:c r="B37" s="22" t="s">
        <x:v>144</x:v>
      </x:c>
      <x:c r="C37" s="22">
        <x:v>33</x:v>
      </x:c>
      <x:c r="D37" s="22">
        <x:v>673</x:v>
      </x:c>
      <x:c r="E37" s="23">
        <x:v>18903956863</x:v>
      </x:c>
      <x:c r="F37" s="23">
        <x:v>21341488084</x:v>
      </x:c>
      <x:c r="G37" s="24" t="s">
        <x:v>145</x:v>
      </x:c>
      <x:c r="H37" s="24" t="s">
        <x:v>146</x:v>
      </x:c>
      <x:c r="I37" s="25">
        <x:v>1</x:v>
      </x:c>
      <x:c r="J37" s="26" t="s">
        <x:v>145</x:v>
      </x:c>
      <x:c r="K37" s="22">
        <x:f>IF(J37="","",IFERROR(INDEX('درخت جدید'!$C:$C,MATCH(J37&amp;"",'درخت جدید'!$B:$B,0)),"—"))</x:f>
      </x:c>
      <x:c r="L37" s="22">
        <x:f>IF(J37="",IF(D37&gt;0,"الزامی — تکمیل نشده",""),IF(COUNTIFS('درخت جدید'!$B:$B,J37&amp;"",'درخت جدید'!$A:$A,"کل")=0,IF(M37="","کد در درخت نیست — نام برای تعریف را بنویسید","OK"),"OK"))</x:f>
      </x:c>
      <x:c r="M37" s="27"/>
      <x:c r="N37" s="28"/>
    </x:row>
    <x:row r="38" spans="1:14">
      <x:c r="A38" s="21" t="s">
        <x:v>147</x:v>
      </x:c>
      <x:c r="B38" s="22" t="s">
        <x:v>148</x:v>
      </x:c>
      <x:c r="C38" s="22">
        <x:v>1</x:v>
      </x:c>
      <x:c r="D38" s="22">
        <x:v>0</x:v>
      </x:c>
      <x:c r="E38" s="23">
        <x:v>0</x:v>
      </x:c>
      <x:c r="F38" s="23">
        <x:v>0</x:v>
      </x:c>
      <x:c r="G38" s="24" t="s">
        <x:v>149</x:v>
      </x:c>
      <x:c r="H38" s="24" t="s">
        <x:v>17</x:v>
      </x:c>
      <x:c r="I38" s="25"/>
      <x:c r="J38" s="26"/>
      <x:c r="K38" s="22">
        <x:f>IF(J38="","",IFERROR(INDEX('درخت جدید'!$C:$C,MATCH(J38&amp;"",'درخت جدید'!$B:$B,0)),"—"))</x:f>
      </x:c>
      <x:c r="L38" s="22">
        <x:f>IF(J38="",IF(D38&gt;0,"الزامی — تکمیل نشده",""),IF(COUNTIFS('درخت جدید'!$B:$B,J38&amp;"",'درخت جدید'!$A:$A,"کل")=0,IF(M38="","کد در درخت نیست — نام برای تعریف را بنویسید","OK"),"OK"))</x:f>
      </x:c>
      <x:c r="M38" s="27"/>
      <x:c r="N38" s="28"/>
    </x:row>
    <x:row r="39" spans="1:14">
      <x:c r="A39" s="21" t="s">
        <x:v>150</x:v>
      </x:c>
      <x:c r="B39" s="22" t="s">
        <x:v>151</x:v>
      </x:c>
      <x:c r="C39" s="22">
        <x:v>1</x:v>
      </x:c>
      <x:c r="D39" s="22">
        <x:v>228</x:v>
      </x:c>
      <x:c r="E39" s="23">
        <x:v>204299612859</x:v>
      </x:c>
      <x:c r="F39" s="23">
        <x:v>430218235810</x:v>
      </x:c>
      <x:c r="G39" s="24" t="s">
        <x:v>152</x:v>
      </x:c>
      <x:c r="H39" s="24" t="s">
        <x:v>151</x:v>
      </x:c>
      <x:c r="I39" s="25">
        <x:v>1</x:v>
      </x:c>
      <x:c r="J39" s="26" t="s">
        <x:v>152</x:v>
      </x:c>
      <x:c r="K39" s="22">
        <x:f>IF(J39="","",IFERROR(INDEX('درخت جدید'!$C:$C,MATCH(J39&amp;"",'درخت جدید'!$B:$B,0)),"—"))</x:f>
      </x:c>
      <x:c r="L39" s="22">
        <x:f>IF(J39="",IF(D39&gt;0,"الزامی — تکمیل نشده",""),IF(COUNTIFS('درخت جدید'!$B:$B,J39&amp;"",'درخت جدید'!$A:$A,"کل")=0,IF(M39="","کد در درخت نیست — نام برای تعریف را بنویسید","OK"),"OK"))</x:f>
      </x:c>
      <x:c r="M39" s="27"/>
      <x:c r="N39" s="28"/>
    </x:row>
    <x:row r="40" spans="1:14">
      <x:c r="A40" s="21" t="s">
        <x:v>153</x:v>
      </x:c>
      <x:c r="B40" s="22" t="s">
        <x:v>154</x:v>
      </x:c>
      <x:c r="C40" s="22">
        <x:v>8</x:v>
      </x:c>
      <x:c r="D40" s="22">
        <x:v>385</x:v>
      </x:c>
      <x:c r="E40" s="23">
        <x:v>50333346920</x:v>
      </x:c>
      <x:c r="F40" s="23">
        <x:v>68531430419</x:v>
      </x:c>
      <x:c r="G40" s="24" t="s">
        <x:v>155</x:v>
      </x:c>
      <x:c r="H40" s="24" t="s">
        <x:v>154</x:v>
      </x:c>
      <x:c r="I40" s="25">
        <x:v>1</x:v>
      </x:c>
      <x:c r="J40" s="26" t="s">
        <x:v>155</x:v>
      </x:c>
      <x:c r="K40" s="22">
        <x:f>IF(J40="","",IFERROR(INDEX('درخت جدید'!$C:$C,MATCH(J40&amp;"",'درخت جدید'!$B:$B,0)),"—"))</x:f>
      </x:c>
      <x:c r="L40" s="22">
        <x:f>IF(J40="",IF(D40&gt;0,"الزامی — تکمیل نشده",""),IF(COUNTIFS('درخت جدید'!$B:$B,J40&amp;"",'درخت جدید'!$A:$A,"کل")=0,IF(M40="","کد در درخت نیست — نام برای تعریف را بنویسید","OK"),"OK"))</x:f>
      </x:c>
      <x:c r="M40" s="27"/>
      <x:c r="N40" s="28"/>
    </x:row>
    <x:row r="41" spans="1:14">
      <x:c r="A41" s="21" t="s">
        <x:v>156</x:v>
      </x:c>
      <x:c r="B41" s="22" t="s">
        <x:v>157</x:v>
      </x:c>
      <x:c r="C41" s="22">
        <x:v>6</x:v>
      </x:c>
      <x:c r="D41" s="22">
        <x:v>1</x:v>
      </x:c>
      <x:c r="E41" s="23">
        <x:v>178102618188</x:v>
      </x:c>
      <x:c r="F41" s="23">
        <x:v>0</x:v>
      </x:c>
      <x:c r="G41" s="24" t="s">
        <x:v>158</x:v>
      </x:c>
      <x:c r="H41" s="24" t="s">
        <x:v>157</x:v>
      </x:c>
      <x:c r="I41" s="25">
        <x:v>1</x:v>
      </x:c>
      <x:c r="J41" s="26" t="s">
        <x:v>158</x:v>
      </x:c>
      <x:c r="K41" s="22">
        <x:f>IF(J41="","",IFERROR(INDEX('درخت جدید'!$C:$C,MATCH(J41&amp;"",'درخت جدید'!$B:$B,0)),"—"))</x:f>
      </x:c>
      <x:c r="L41" s="22">
        <x:f>IF(J41="",IF(D41&gt;0,"الزامی — تکمیل نشده",""),IF(COUNTIFS('درخت جدید'!$B:$B,J41&amp;"",'درخت جدید'!$A:$A,"کل")=0,IF(M41="","کد در درخت نیست — نام برای تعریف را بنویسید","OK"),"OK"))</x:f>
      </x:c>
      <x:c r="M41" s="27"/>
      <x:c r="N41" s="28"/>
    </x:row>
    <x:row r="42" spans="1:14">
      <x:c r="A42" s="21" t="s">
        <x:v>159</x:v>
      </x:c>
      <x:c r="B42" s="22" t="s">
        <x:v>160</x:v>
      </x:c>
      <x:c r="C42" s="22">
        <x:v>9</x:v>
      </x:c>
      <x:c r="D42" s="22">
        <x:v>54</x:v>
      </x:c>
      <x:c r="E42" s="23">
        <x:v>1299160000</x:v>
      </x:c>
      <x:c r="F42" s="23">
        <x:v>151629553395</x:v>
      </x:c>
      <x:c r="G42" s="24" t="s">
        <x:v>161</x:v>
      </x:c>
      <x:c r="H42" s="24" t="s">
        <x:v>162</x:v>
      </x:c>
      <x:c r="I42" s="25">
        <x:v>1</x:v>
      </x:c>
      <x:c r="J42" s="26" t="s">
        <x:v>161</x:v>
      </x:c>
      <x:c r="K42" s="22">
        <x:f>IF(J42="","",IFERROR(INDEX('درخت جدید'!$C:$C,MATCH(J42&amp;"",'درخت جدید'!$B:$B,0)),"—"))</x:f>
      </x:c>
      <x:c r="L42" s="22">
        <x:f>IF(J42="",IF(D42&gt;0,"الزامی — تکمیل نشده",""),IF(COUNTIFS('درخت جدید'!$B:$B,J42&amp;"",'درخت جدید'!$A:$A,"کل")=0,IF(M42="","کد در درخت نیست — نام برای تعریف را بنویسید","OK"),"OK"))</x:f>
      </x:c>
      <x:c r="M42" s="27"/>
      <x:c r="N42" s="28"/>
    </x:row>
    <x:row r="43" spans="1:14">
      <x:c r="A43" s="21" t="s">
        <x:v>163</x:v>
      </x:c>
      <x:c r="B43" s="22" t="s">
        <x:v>164</x:v>
      </x:c>
      <x:c r="C43" s="22">
        <x:v>11</x:v>
      </x:c>
      <x:c r="D43" s="22">
        <x:v>15</x:v>
      </x:c>
      <x:c r="E43" s="23">
        <x:v>143941133</x:v>
      </x:c>
      <x:c r="F43" s="23">
        <x:v>575764532</x:v>
      </x:c>
      <x:c r="G43" s="24" t="s">
        <x:v>165</x:v>
      </x:c>
      <x:c r="H43" s="24" t="s">
        <x:v>166</x:v>
      </x:c>
      <x:c r="I43" s="25">
        <x:v>0.55</x:v>
      </x:c>
      <x:c r="J43" s="26" t="s">
        <x:v>165</x:v>
      </x:c>
      <x:c r="K43" s="22">
        <x:f>IF(J43="","",IFERROR(INDEX('درخت جدید'!$C:$C,MATCH(J43&amp;"",'درخت جدید'!$B:$B,0)),"—"))</x:f>
      </x:c>
      <x:c r="L43" s="22">
        <x:f>IF(J43="",IF(D43&gt;0,"الزامی — تکمیل نشده",""),IF(COUNTIFS('درخت جدید'!$B:$B,J43&amp;"",'درخت جدید'!$A:$A,"کل")=0,IF(M43="","کد در درخت نیست — نام برای تعریف را بنویسید","OK"),"OK"))</x:f>
      </x:c>
      <x:c r="M43" s="27"/>
      <x:c r="N43" s="28"/>
    </x:row>
    <x:row r="44" spans="1:14">
      <x:c r="A44" s="21" t="s">
        <x:v>167</x:v>
      </x:c>
      <x:c r="B44" s="22" t="s">
        <x:v>168</x:v>
      </x:c>
      <x:c r="C44" s="22">
        <x:v>11</x:v>
      </x:c>
      <x:c r="D44" s="22">
        <x:v>15</x:v>
      </x:c>
      <x:c r="E44" s="23">
        <x:v>575764532</x:v>
      </x:c>
      <x:c r="F44" s="23">
        <x:v>143941133</x:v>
      </x:c>
      <x:c r="G44" s="24" t="s">
        <x:v>169</x:v>
      </x:c>
      <x:c r="H44" s="24" t="s">
        <x:v>170</x:v>
      </x:c>
      <x:c r="I44" s="25">
        <x:v>0.59</x:v>
      </x:c>
      <x:c r="J44" s="26" t="s">
        <x:v>169</x:v>
      </x:c>
      <x:c r="K44" s="22">
        <x:f>IF(J44="","",IFERROR(INDEX('درخت جدید'!$C:$C,MATCH(J44&amp;"",'درخت جدید'!$B:$B,0)),"—"))</x:f>
      </x:c>
      <x:c r="L44" s="22">
        <x:f>IF(J44="",IF(D44&gt;0,"الزامی — تکمیل نشده",""),IF(COUNTIFS('درخت جدید'!$B:$B,J44&amp;"",'درخت جدید'!$A:$A,"کل")=0,IF(M44="","کد در درخت نیست — نام برای تعریف را بنویسید","OK"),"OK"))</x:f>
      </x:c>
      <x:c r="M44" s="27"/>
      <x:c r="N44" s="28"/>
    </x:row>
    <x:row r="45" spans="1:14">
      <x:c r="A45" s="21" t="s">
        <x:v>171</x:v>
      </x:c>
      <x:c r="B45" s="22" t="s">
        <x:v>172</x:v>
      </x:c>
      <x:c r="C45" s="22">
        <x:v>0</x:v>
      </x:c>
      <x:c r="D45" s="22">
        <x:v>0</x:v>
      </x:c>
      <x:c r="E45" s="23">
        <x:v>0</x:v>
      </x:c>
      <x:c r="F45" s="23">
        <x:v>0</x:v>
      </x:c>
      <x:c r="G45" s="24" t="s">
        <x:v>173</x:v>
      </x:c>
      <x:c r="H45" s="24" t="s">
        <x:v>174</x:v>
      </x:c>
      <x:c r="I45" s="25">
        <x:v>1</x:v>
      </x:c>
      <x:c r="J45" s="26" t="s">
        <x:v>173</x:v>
      </x:c>
      <x:c r="K45" s="22">
        <x:f>IF(J45="","",IFERROR(INDEX('درخت جدید'!$C:$C,MATCH(J45&amp;"",'درخت جدید'!$B:$B,0)),"—"))</x:f>
      </x:c>
      <x:c r="L45" s="22">
        <x:f>IF(J45="",IF(D45&gt;0,"الزامی — تکمیل نشده",""),IF(COUNTIFS('درخت جدید'!$B:$B,J45&amp;"",'درخت جدید'!$A:$A,"کل")=0,IF(M45="","کد در درخت نیست — نام برای تعریف را بنویسید","OK"),"OK"))</x:f>
      </x:c>
      <x:c r="M45" s="27"/>
      <x:c r="N45" s="28"/>
    </x:row>
    <x:row r="46" spans="1:14">
      <x:c r="A46" s="29" t="s">
        <x:v>175</x:v>
      </x:c>
      <x:c r="B46" s="30" t="s">
        <x:v>176</x:v>
      </x:c>
      <x:c r="C46" s="30">
        <x:v>0</x:v>
      </x:c>
      <x:c r="D46" s="30">
        <x:v>0</x:v>
      </x:c>
      <x:c r="E46" s="31">
        <x:v>0</x:v>
      </x:c>
      <x:c r="F46" s="31">
        <x:v>0</x:v>
      </x:c>
      <x:c r="G46" s="32" t="s">
        <x:v>177</x:v>
      </x:c>
      <x:c r="H46" s="32" t="s">
        <x:v>178</x:v>
      </x:c>
      <x:c r="I46" s="33">
        <x:v>1</x:v>
      </x:c>
      <x:c r="J46" s="34" t="s">
        <x:v>177</x:v>
      </x:c>
      <x:c r="K46" s="30">
        <x:f>IF(J46="","",IFERROR(INDEX('درخت جدید'!$C:$C,MATCH(J46&amp;"",'درخت جدید'!$B:$B,0)),"—"))</x:f>
      </x:c>
      <x:c r="L46" s="30">
        <x:f>IF(J46="",IF(D46&gt;0,"الزامی — تکمیل نشده",""),IF(COUNTIFS('درخت جدید'!$B:$B,J46&amp;"",'درخت جدید'!$A:$A,"کل")=0,IF(M46="","کد در درخت نیست — نام برای تعریف را بنویسید","OK"),"OK"))</x:f>
      </x:c>
      <x:c r="M46" s="35"/>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13"/>
  <x:sheetViews>
    <x:sheetView rightToLeft="1" workbookViewId="0">
      <x:pane xSplit="0" ySplit="1" topLeftCell="A2" activePane="bottomLeft" state="frozenSplit"/>
    </x:sheetView>
  </x:sheetViews>
  <x:sheetFormatPr defaultRowHeight="15"/>
  <x:cols>
    <x:col min="24"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s>
  <x:sheetData>
    <x:row r="1" spans="1:23" ht="45" customHeight="1">
      <x:c r="A1" s="11" t="s">
        <x:v>0</x:v>
      </x:c>
      <x:c r="B1" s="11" t="s">
        <x:v>179</x:v>
      </x:c>
      <x:c r="C1" s="11" t="s">
        <x:v>1</x:v>
      </x:c>
      <x:c r="D1" s="11" t="s">
        <x:v>180</x:v>
      </x:c>
      <x:c r="E1" s="11" t="s">
        <x:v>181</x:v>
      </x:c>
      <x:c r="F1" s="11" t="s">
        <x:v>182</x:v>
      </x:c>
      <x:c r="G1" s="11" t="s">
        <x:v>183</x:v>
      </x:c>
      <x:c r="H1" s="11" t="s">
        <x:v>184</x:v>
      </x:c>
      <x:c r="I1" s="11" t="s">
        <x:v>185</x:v>
      </x:c>
      <x:c r="J1" s="11" t="s">
        <x:v>3</x:v>
      </x:c>
      <x:c r="K1" s="11" t="s">
        <x:v>4</x:v>
      </x:c>
      <x:c r="L1" s="11" t="s">
        <x:v>5</x:v>
      </x:c>
      <x:c r="M1" s="11" t="s">
        <x:v>186</x:v>
      </x:c>
      <x:c r="N1" s="11" t="s">
        <x:v>187</x:v>
      </x:c>
      <x:c r="O1" s="11" t="s">
        <x:v>188</x:v>
      </x:c>
      <x:c r="P1" s="11" t="s">
        <x:v>189</x:v>
      </x:c>
      <x:c r="Q1" s="11" t="s">
        <x:v>190</x:v>
      </x:c>
      <x:c r="R1" s="11" t="s">
        <x:v>8</x:v>
      </x:c>
      <x:c r="S1" s="12" t="s">
        <x:v>191</x:v>
      </x:c>
      <x:c r="T1" s="11" t="s">
        <x:v>192</x:v>
      </x:c>
      <x:c r="U1" s="11" t="s">
        <x:v>11</x:v>
      </x:c>
      <x:c r="V1" s="12" t="s">
        <x:v>12</x:v>
      </x:c>
      <x:c r="W1" s="12" t="s">
        <x:v>13</x:v>
      </x:c>
    </x:row>
    <x:row r="2" spans="1:23">
      <x:c r="A2" s="13" t="s">
        <x:v>14</x:v>
      </x:c>
      <x:c r="B2" s="14" t="s">
        <x:v>193</x:v>
      </x:c>
      <x:c r="C2" s="14" t="s">
        <x:v>15</x:v>
      </x:c>
      <x:c r="D2" s="14" t="s">
        <x:v>194</x:v>
      </x:c>
      <x:c r="E2" s="14" t="s">
        <x:v>195</x:v>
      </x:c>
      <x:c r="F2" s="14" t="s">
        <x:v>195</x:v>
      </x:c>
      <x:c r="G2" s="14" t="s">
        <x:v>196</x:v>
      </x:c>
      <x:c r="H2" s="14">
        <x:v>4</x:v>
      </x:c>
      <x:c r="I2" s="14">
        <x:v>4</x:v>
      </x:c>
      <x:c r="J2" s="14">
        <x:v>20</x:v>
      </x:c>
      <x:c r="K2" s="15">
        <x:v>10041</x:v>
      </x:c>
      <x:c r="L2" s="15">
        <x:v>100000210462270</x:v>
      </x:c>
      <x:c r="M2" s="15">
        <x:f>K2-L2</x:f>
      </x:c>
      <x:c r="N2" s="14" t="s">
        <x:v>197</x:v>
      </x:c>
      <x:c r="O2" s="16">
        <x:f>IFERROR(INDEX('تطبیق کل'!$J:$J,MATCH(A2&amp;"",'تطبیق کل'!$A:$A,0))&amp;"","")</x:f>
      </x:c>
      <x:c r="P2" s="16"/>
      <x:c r="Q2" s="16" t="s">
        <x:v>198</x:v>
      </x:c>
      <x:c r="R2" s="17"/>
      <x:c r="S2" s="18"/>
      <x:c r="T2" s="14">
        <x:f>IF(S2="","",IFERROR(INDEX('درخت جدید'!$C:$C,MATCH(S2&amp;"",'درخت جدید'!$B:$B,0)),"—"))</x:f>
      </x:c>
      <x:c r="U2" s="14">
        <x:f>IF(S2="",IF(N2="بله","الزامی — تکمیل نشده",""),IF(AND(O2&lt;&gt;"",LEFT(S2&amp;"",4)&lt;&gt;O2),"زیر کل دیگری است — کل یا معین را اصلاح کنید",IF(COUNTIFS('درخت جدید'!$B:$B,S2&amp;"",'درخت جدید'!$A:$A,"معین")=0,IF(V2="","کد در درخت نیست — نام برای تعریف را بنویسید","OK"),"OK")))</x:f>
      </x:c>
      <x:c r="V2" s="19"/>
      <x:c r="W2" s="20"/>
    </x:row>
    <x:row r="3" spans="1:23">
      <x:c r="A3" s="21" t="s">
        <x:v>24</x:v>
      </x:c>
      <x:c r="B3" s="22" t="s">
        <x:v>199</x:v>
      </x:c>
      <x:c r="C3" s="22" t="s">
        <x:v>25</x:v>
      </x:c>
      <x:c r="D3" s="22" t="s">
        <x:v>200</x:v>
      </x:c>
      <x:c r="E3" s="22" t="s">
        <x:v>195</x:v>
      </x:c>
      <x:c r="F3" s="22" t="s">
        <x:v>195</x:v>
      </x:c>
      <x:c r="G3" s="22" t="s">
        <x:v>201</x:v>
      </x:c>
      <x:c r="H3" s="22">
        <x:v>3</x:v>
      </x:c>
      <x:c r="I3" s="22">
        <x:v>1</x:v>
      </x:c>
      <x:c r="J3" s="22">
        <x:v>1</x:v>
      </x:c>
      <x:c r="K3" s="23">
        <x:v>0</x:v>
      </x:c>
      <x:c r="L3" s="23">
        <x:v>10</x:v>
      </x:c>
      <x:c r="M3" s="23">
        <x:f>K3-L3</x:f>
      </x:c>
      <x:c r="N3" s="22" t="s">
        <x:v>197</x:v>
      </x:c>
      <x:c r="O3" s="24">
        <x:f>IFERROR(INDEX('تطبیق کل'!$J:$J,MATCH(A3&amp;"",'تطبیق کل'!$A:$A,0))&amp;"","")</x:f>
      </x:c>
      <x:c r="P3" s="24"/>
      <x:c r="Q3" s="24" t="s">
        <x:v>198</x:v>
      </x:c>
      <x:c r="R3" s="25"/>
      <x:c r="S3" s="26"/>
      <x:c r="T3" s="22">
        <x:f>IF(S3="","",IFERROR(INDEX('درخت جدید'!$C:$C,MATCH(S3&amp;"",'درخت جدید'!$B:$B,0)),"—"))</x:f>
      </x:c>
      <x:c r="U3" s="22">
        <x:f>IF(S3="",IF(N3="بله","الزامی — تکمیل نشده",""),IF(AND(O3&lt;&gt;"",LEFT(S3&amp;"",4)&lt;&gt;O3),"زیر کل دیگری است — کل یا معین را اصلاح کنید",IF(COUNTIFS('درخت جدید'!$B:$B,S3&amp;"",'درخت جدید'!$A:$A,"معین")=0,IF(V3="","کد در درخت نیست — نام برای تعریف را بنویسید","OK"),"OK")))</x:f>
      </x:c>
      <x:c r="V3" s="27"/>
      <x:c r="W3" s="28"/>
    </x:row>
    <x:row r="4" spans="1:23">
      <x:c r="A4" s="21" t="s">
        <x:v>30</x:v>
      </x:c>
      <x:c r="B4" s="22" t="s">
        <x:v>202</x:v>
      </x:c>
      <x:c r="C4" s="22" t="s">
        <x:v>31</x:v>
      </x:c>
      <x:c r="D4" s="22" t="s">
        <x:v>203</x:v>
      </x:c>
      <x:c r="E4" s="22" t="s">
        <x:v>195</x:v>
      </x:c>
      <x:c r="F4" s="22" t="s">
        <x:v>195</x:v>
      </x:c>
      <x:c r="G4" s="22" t="s">
        <x:v>201</x:v>
      </x:c>
      <x:c r="H4" s="22">
        <x:v>3</x:v>
      </x:c>
      <x:c r="I4" s="22">
        <x:v>1</x:v>
      </x:c>
      <x:c r="J4" s="22">
        <x:v>129</x:v>
      </x:c>
      <x:c r="K4" s="23">
        <x:v>15454464736</x:v>
      </x:c>
      <x:c r="L4" s="23">
        <x:v>34561474393</x:v>
      </x:c>
      <x:c r="M4" s="23">
        <x:f>K4-L4</x:f>
      </x:c>
      <x:c r="N4" s="22" t="s">
        <x:v>197</x:v>
      </x:c>
      <x:c r="O4" s="24">
        <x:f>IFERROR(INDEX('تطبیق کل'!$J:$J,MATCH(A4&amp;"",'تطبیق کل'!$A:$A,0))&amp;"","")</x:f>
      </x:c>
      <x:c r="P4" s="24"/>
      <x:c r="Q4" s="24" t="s">
        <x:v>198</x:v>
      </x:c>
      <x:c r="R4" s="25"/>
      <x:c r="S4" s="26"/>
      <x:c r="T4" s="22">
        <x:f>IF(S4="","",IFERROR(INDEX('درخت جدید'!$C:$C,MATCH(S4&amp;"",'درخت جدید'!$B:$B,0)),"—"))</x:f>
      </x:c>
      <x:c r="U4" s="22">
        <x:f>IF(S4="",IF(N4="بله","الزامی — تکمیل نشده",""),IF(AND(O4&lt;&gt;"",LEFT(S4&amp;"",4)&lt;&gt;O4),"زیر کل دیگری است — کل یا معین را اصلاح کنید",IF(COUNTIFS('درخت جدید'!$B:$B,S4&amp;"",'درخت جدید'!$A:$A,"معین")=0,IF(V4="","کد در درخت نیست — نام برای تعریف را بنویسید","OK"),"OK")))</x:f>
      </x:c>
      <x:c r="V4" s="27"/>
      <x:c r="W4" s="28"/>
    </x:row>
    <x:row r="5" spans="1:23">
      <x:c r="A5" s="21" t="s">
        <x:v>34</x:v>
      </x:c>
      <x:c r="B5" s="22" t="s">
        <x:v>204</x:v>
      </x:c>
      <x:c r="C5" s="22" t="s">
        <x:v>35</x:v>
      </x:c>
      <x:c r="D5" s="22" t="s">
        <x:v>205</x:v>
      </x:c>
      <x:c r="E5" s="22" t="s">
        <x:v>195</x:v>
      </x:c>
      <x:c r="F5" s="22" t="s">
        <x:v>195</x:v>
      </x:c>
      <x:c r="G5" s="22" t="s">
        <x:v>201</x:v>
      </x:c>
      <x:c r="H5" s="22">
        <x:v>1</x:v>
      </x:c>
      <x:c r="I5" s="22">
        <x:v>1</x:v>
      </x:c>
      <x:c r="J5" s="22">
        <x:v>2</x:v>
      </x:c>
      <x:c r="K5" s="23">
        <x:v>0</x:v>
      </x:c>
      <x:c r="L5" s="23">
        <x:v>2250</x:v>
      </x:c>
      <x:c r="M5" s="23">
        <x:f>K5-L5</x:f>
      </x:c>
      <x:c r="N5" s="22" t="s">
        <x:v>197</x:v>
      </x:c>
      <x:c r="O5" s="24">
        <x:f>IFERROR(INDEX('تطبیق کل'!$J:$J,MATCH(A5&amp;"",'تطبیق کل'!$A:$A,0))&amp;"","")</x:f>
      </x:c>
      <x:c r="P5" s="24"/>
      <x:c r="Q5" s="24" t="s">
        <x:v>198</x:v>
      </x:c>
      <x:c r="R5" s="25"/>
      <x:c r="S5" s="26"/>
      <x:c r="T5" s="22">
        <x:f>IF(S5="","",IFERROR(INDEX('درخت جدید'!$C:$C,MATCH(S5&amp;"",'درخت جدید'!$B:$B,0)),"—"))</x:f>
      </x:c>
      <x:c r="U5" s="22">
        <x:f>IF(S5="",IF(N5="بله","الزامی — تکمیل نشده",""),IF(AND(O5&lt;&gt;"",LEFT(S5&amp;"",4)&lt;&gt;O5),"زیر کل دیگری است — کل یا معین را اصلاح کنید",IF(COUNTIFS('درخت جدید'!$B:$B,S5&amp;"",'درخت جدید'!$A:$A,"معین")=0,IF(V5="","کد در درخت نیست — نام برای تعریف را بنویسید","OK"),"OK")))</x:f>
      </x:c>
      <x:c r="V5" s="27"/>
      <x:c r="W5" s="28"/>
    </x:row>
    <x:row r="6" spans="1:23">
      <x:c r="A6" s="21" t="s">
        <x:v>34</x:v>
      </x:c>
      <x:c r="B6" s="22" t="s">
        <x:v>30</x:v>
      </x:c>
      <x:c r="C6" s="22" t="s">
        <x:v>35</x:v>
      </x:c>
      <x:c r="D6" s="22" t="s">
        <x:v>206</x:v>
      </x:c>
      <x:c r="E6" s="22" t="s">
        <x:v>195</x:v>
      </x:c>
      <x:c r="F6" s="22" t="s">
        <x:v>195</x:v>
      </x:c>
      <x:c r="G6" s="22" t="s">
        <x:v>201</x:v>
      </x:c>
      <x:c r="H6" s="22">
        <x:v>1</x:v>
      </x:c>
      <x:c r="I6" s="22">
        <x:v>1</x:v>
      </x:c>
      <x:c r="J6" s="22">
        <x:v>7</x:v>
      </x:c>
      <x:c r="K6" s="23">
        <x:v>5350000</x:v>
      </x:c>
      <x:c r="L6" s="23">
        <x:v>26750010</x:v>
      </x:c>
      <x:c r="M6" s="23">
        <x:f>K6-L6</x:f>
      </x:c>
      <x:c r="N6" s="22" t="s">
        <x:v>197</x:v>
      </x:c>
      <x:c r="O6" s="24">
        <x:f>IFERROR(INDEX('تطبیق کل'!$J:$J,MATCH(A6&amp;"",'تطبیق کل'!$A:$A,0))&amp;"","")</x:f>
      </x:c>
      <x:c r="P6" s="24"/>
      <x:c r="Q6" s="24" t="s">
        <x:v>198</x:v>
      </x:c>
      <x:c r="R6" s="25"/>
      <x:c r="S6" s="26"/>
      <x:c r="T6" s="22">
        <x:f>IF(S6="","",IFERROR(INDEX('درخت جدید'!$C:$C,MATCH(S6&amp;"",'درخت جدید'!$B:$B,0)),"—"))</x:f>
      </x:c>
      <x:c r="U6" s="22">
        <x:f>IF(S6="",IF(N6="بله","الزامی — تکمیل نشده",""),IF(AND(O6&lt;&gt;"",LEFT(S6&amp;"",4)&lt;&gt;O6),"زیر کل دیگری است — کل یا معین را اصلاح کنید",IF(COUNTIFS('درخت جدید'!$B:$B,S6&amp;"",'درخت جدید'!$A:$A,"معین")=0,IF(V6="","کد در درخت نیست — نام برای تعریف را بنویسید","OK"),"OK")))</x:f>
      </x:c>
      <x:c r="V6" s="27"/>
      <x:c r="W6" s="28"/>
    </x:row>
    <x:row r="7" spans="1:23">
      <x:c r="A7" s="21" t="s">
        <x:v>34</x:v>
      </x:c>
      <x:c r="B7" s="22" t="s">
        <x:v>207</x:v>
      </x:c>
      <x:c r="C7" s="22" t="s">
        <x:v>35</x:v>
      </x:c>
      <x:c r="D7" s="22" t="s">
        <x:v>208</x:v>
      </x:c>
      <x:c r="E7" s="22" t="s">
        <x:v>195</x:v>
      </x:c>
      <x:c r="F7" s="22" t="s">
        <x:v>195</x:v>
      </x:c>
      <x:c r="G7" s="22" t="s">
        <x:v>201</x:v>
      </x:c>
      <x:c r="H7" s="22">
        <x:v>1</x:v>
      </x:c>
      <x:c r="I7" s="22">
        <x:v>1</x:v>
      </x:c>
      <x:c r="J7" s="22">
        <x:v>5</x:v>
      </x:c>
      <x:c r="K7" s="23">
        <x:v>69193000</x:v>
      </x:c>
      <x:c r="L7" s="23">
        <x:v>276772000</x:v>
      </x:c>
      <x:c r="M7" s="23">
        <x:f>K7-L7</x:f>
      </x:c>
      <x:c r="N7" s="22" t="s">
        <x:v>197</x:v>
      </x:c>
      <x:c r="O7" s="24">
        <x:f>IFERROR(INDEX('تطبیق کل'!$J:$J,MATCH(A7&amp;"",'تطبیق کل'!$A:$A,0))&amp;"","")</x:f>
      </x:c>
      <x:c r="P7" s="24"/>
      <x:c r="Q7" s="24" t="s">
        <x:v>198</x:v>
      </x:c>
      <x:c r="R7" s="25"/>
      <x:c r="S7" s="26"/>
      <x:c r="T7" s="22">
        <x:f>IF(S7="","",IFERROR(INDEX('درخت جدید'!$C:$C,MATCH(S7&amp;"",'درخت جدید'!$B:$B,0)),"—"))</x:f>
      </x:c>
      <x:c r="U7" s="22">
        <x:f>IF(S7="",IF(N7="بله","الزامی — تکمیل نشده",""),IF(AND(O7&lt;&gt;"",LEFT(S7&amp;"",4)&lt;&gt;O7),"زیر کل دیگری است — کل یا معین را اصلاح کنید",IF(COUNTIFS('درخت جدید'!$B:$B,S7&amp;"",'درخت جدید'!$A:$A,"معین")=0,IF(V7="","کد در درخت نیست — نام برای تعریف را بنویسید","OK"),"OK")))</x:f>
      </x:c>
      <x:c r="V7" s="27"/>
      <x:c r="W7" s="28"/>
    </x:row>
    <x:row r="8" spans="1:23">
      <x:c r="A8" s="21" t="s">
        <x:v>34</x:v>
      </x:c>
      <x:c r="B8" s="22" t="s">
        <x:v>209</x:v>
      </x:c>
      <x:c r="C8" s="22" t="s">
        <x:v>35</x:v>
      </x:c>
      <x:c r="D8" s="22" t="s">
        <x:v>210</x:v>
      </x:c>
      <x:c r="E8" s="22" t="s">
        <x:v>195</x:v>
      </x:c>
      <x:c r="F8" s="22" t="s">
        <x:v>195</x:v>
      </x:c>
      <x:c r="G8" s="22" t="s">
        <x:v>201</x:v>
      </x:c>
      <x:c r="H8" s="22">
        <x:v>1</x:v>
      </x:c>
      <x:c r="I8" s="22">
        <x:v>1</x:v>
      </x:c>
      <x:c r="J8" s="22">
        <x:v>5</x:v>
      </x:c>
      <x:c r="K8" s="23">
        <x:v>92734300</x:v>
      </x:c>
      <x:c r="L8" s="23">
        <x:v>370937200</x:v>
      </x:c>
      <x:c r="M8" s="23">
        <x:f>K8-L8</x:f>
      </x:c>
      <x:c r="N8" s="22" t="s">
        <x:v>197</x:v>
      </x:c>
      <x:c r="O8" s="24">
        <x:f>IFERROR(INDEX('تطبیق کل'!$J:$J,MATCH(A8&amp;"",'تطبیق کل'!$A:$A,0))&amp;"","")</x:f>
      </x:c>
      <x:c r="P8" s="24"/>
      <x:c r="Q8" s="24" t="s">
        <x:v>198</x:v>
      </x:c>
      <x:c r="R8" s="25"/>
      <x:c r="S8" s="26"/>
      <x:c r="T8" s="22">
        <x:f>IF(S8="","",IFERROR(INDEX('درخت جدید'!$C:$C,MATCH(S8&amp;"",'درخت جدید'!$B:$B,0)),"—"))</x:f>
      </x:c>
      <x:c r="U8" s="22">
        <x:f>IF(S8="",IF(N8="بله","الزامی — تکمیل نشده",""),IF(AND(O8&lt;&gt;"",LEFT(S8&amp;"",4)&lt;&gt;O8),"زیر کل دیگری است — کل یا معین را اصلاح کنید",IF(COUNTIFS('درخت جدید'!$B:$B,S8&amp;"",'درخت جدید'!$A:$A,"معین")=0,IF(V8="","کد در درخت نیست — نام برای تعریف را بنویسید","OK"),"OK")))</x:f>
      </x:c>
      <x:c r="V8" s="27"/>
      <x:c r="W8" s="28"/>
    </x:row>
    <x:row r="9" spans="1:23">
      <x:c r="A9" s="21" t="s">
        <x:v>34</x:v>
      </x:c>
      <x:c r="B9" s="22" t="s">
        <x:v>211</x:v>
      </x:c>
      <x:c r="C9" s="22" t="s">
        <x:v>35</x:v>
      </x:c>
      <x:c r="D9" s="22" t="s">
        <x:v>212</x:v>
      </x:c>
      <x:c r="E9" s="22" t="s">
        <x:v>195</x:v>
      </x:c>
      <x:c r="F9" s="22" t="s">
        <x:v>195</x:v>
      </x:c>
      <x:c r="G9" s="22" t="s">
        <x:v>201</x:v>
      </x:c>
      <x:c r="H9" s="22">
        <x:v>1</x:v>
      </x:c>
      <x:c r="I9" s="22">
        <x:v>1</x:v>
      </x:c>
      <x:c r="J9" s="22">
        <x:v>5</x:v>
      </x:c>
      <x:c r="K9" s="23">
        <x:v>5830000</x:v>
      </x:c>
      <x:c r="L9" s="23">
        <x:v>23320000</x:v>
      </x:c>
      <x:c r="M9" s="23">
        <x:f>K9-L9</x:f>
      </x:c>
      <x:c r="N9" s="22" t="s">
        <x:v>197</x:v>
      </x:c>
      <x:c r="O9" s="24">
        <x:f>IFERROR(INDEX('تطبیق کل'!$J:$J,MATCH(A9&amp;"",'تطبیق کل'!$A:$A,0))&amp;"","")</x:f>
      </x:c>
      <x:c r="P9" s="24"/>
      <x:c r="Q9" s="24" t="s">
        <x:v>198</x:v>
      </x:c>
      <x:c r="R9" s="25"/>
      <x:c r="S9" s="26"/>
      <x:c r="T9" s="22">
        <x:f>IF(S9="","",IFERROR(INDEX('درخت جدید'!$C:$C,MATCH(S9&amp;"",'درخت جدید'!$B:$B,0)),"—"))</x:f>
      </x:c>
      <x:c r="U9" s="22">
        <x:f>IF(S9="",IF(N9="بله","الزامی — تکمیل نشده",""),IF(AND(O9&lt;&gt;"",LEFT(S9&amp;"",4)&lt;&gt;O9),"زیر کل دیگری است — کل یا معین را اصلاح کنید",IF(COUNTIFS('درخت جدید'!$B:$B,S9&amp;"",'درخت جدید'!$A:$A,"معین")=0,IF(V9="","کد در درخت نیست — نام برای تعریف را بنویسید","OK"),"OK")))</x:f>
      </x:c>
      <x:c r="V9" s="27"/>
      <x:c r="W9" s="28"/>
    </x:row>
    <x:row r="10" spans="1:23">
      <x:c r="A10" s="21" t="s">
        <x:v>34</x:v>
      </x:c>
      <x:c r="B10" s="22" t="s">
        <x:v>213</x:v>
      </x:c>
      <x:c r="C10" s="22" t="s">
        <x:v>35</x:v>
      </x:c>
      <x:c r="D10" s="22" t="s">
        <x:v>214</x:v>
      </x:c>
      <x:c r="E10" s="22" t="s">
        <x:v>195</x:v>
      </x:c>
      <x:c r="F10" s="22" t="s">
        <x:v>195</x:v>
      </x:c>
      <x:c r="G10" s="22" t="s">
        <x:v>201</x:v>
      </x:c>
      <x:c r="H10" s="22">
        <x:v>1</x:v>
      </x:c>
      <x:c r="I10" s="22">
        <x:v>1</x:v>
      </x:c>
      <x:c r="J10" s="22">
        <x:v>17</x:v>
      </x:c>
      <x:c r="K10" s="23">
        <x:v>4496786944</x:v>
      </x:c>
      <x:c r="L10" s="23">
        <x:v>17706726176</x:v>
      </x:c>
      <x:c r="M10" s="23">
        <x:f>K10-L10</x:f>
      </x:c>
      <x:c r="N10" s="22" t="s">
        <x:v>197</x:v>
      </x:c>
      <x:c r="O10" s="24">
        <x:f>IFERROR(INDEX('تطبیق کل'!$J:$J,MATCH(A10&amp;"",'تطبیق کل'!$A:$A,0))&amp;"","")</x:f>
      </x:c>
      <x:c r="P10" s="24"/>
      <x:c r="Q10" s="24" t="s">
        <x:v>198</x:v>
      </x:c>
      <x:c r="R10" s="25"/>
      <x:c r="S10" s="26"/>
      <x:c r="T10" s="22">
        <x:f>IF(S10="","",IFERROR(INDEX('درخت جدید'!$C:$C,MATCH(S10&amp;"",'درخت جدید'!$B:$B,0)),"—"))</x:f>
      </x:c>
      <x:c r="U10" s="22">
        <x:f>IF(S10="",IF(N10="بله","الزامی — تکمیل نشده",""),IF(AND(O10&lt;&gt;"",LEFT(S10&amp;"",4)&lt;&gt;O10),"زیر کل دیگری است — کل یا معین را اصلاح کنید",IF(COUNTIFS('درخت جدید'!$B:$B,S10&amp;"",'درخت جدید'!$A:$A,"معین")=0,IF(V10="","کد در درخت نیست — نام برای تعریف را بنویسید","OK"),"OK")))</x:f>
      </x:c>
      <x:c r="V10" s="27"/>
      <x:c r="W10" s="28"/>
    </x:row>
    <x:row r="11" spans="1:23">
      <x:c r="A11" s="21" t="s">
        <x:v>34</x:v>
      </x:c>
      <x:c r="B11" s="22" t="s">
        <x:v>215</x:v>
      </x:c>
      <x:c r="C11" s="22" t="s">
        <x:v>35</x:v>
      </x:c>
      <x:c r="D11" s="22" t="s">
        <x:v>216</x:v>
      </x:c>
      <x:c r="E11" s="22" t="s">
        <x:v>195</x:v>
      </x:c>
      <x:c r="F11" s="22" t="s">
        <x:v>195</x:v>
      </x:c>
      <x:c r="G11" s="22" t="s">
        <x:v>201</x:v>
      </x:c>
      <x:c r="H11" s="22">
        <x:v>5</x:v>
      </x:c>
      <x:c r="I11" s="22">
        <x:v>1</x:v>
      </x:c>
      <x:c r="J11" s="22">
        <x:v>1</x:v>
      </x:c>
      <x:c r="K11" s="23">
        <x:v>44000</x:v>
      </x:c>
      <x:c r="L11" s="23">
        <x:v>0</x:v>
      </x:c>
      <x:c r="M11" s="23">
        <x:f>K11-L11</x:f>
      </x:c>
      <x:c r="N11" s="22" t="s">
        <x:v>197</x:v>
      </x:c>
      <x:c r="O11" s="24">
        <x:f>IFERROR(INDEX('تطبیق کل'!$J:$J,MATCH(A11&amp;"",'تطبیق کل'!$A:$A,0))&amp;"","")</x:f>
      </x:c>
      <x:c r="P11" s="24"/>
      <x:c r="Q11" s="24" t="s">
        <x:v>198</x:v>
      </x:c>
      <x:c r="R11" s="25"/>
      <x:c r="S11" s="26"/>
      <x:c r="T11" s="22">
        <x:f>IF(S11="","",IFERROR(INDEX('درخت جدید'!$C:$C,MATCH(S11&amp;"",'درخت جدید'!$B:$B,0)),"—"))</x:f>
      </x:c>
      <x:c r="U11" s="22">
        <x:f>IF(S11="",IF(N11="بله","الزامی — تکمیل نشده",""),IF(AND(O11&lt;&gt;"",LEFT(S11&amp;"",4)&lt;&gt;O11),"زیر کل دیگری است — کل یا معین را اصلاح کنید",IF(COUNTIFS('درخت جدید'!$B:$B,S11&amp;"",'درخت جدید'!$A:$A,"معین")=0,IF(V11="","کد در درخت نیست — نام برای تعریف را بنویسید","OK"),"OK")))</x:f>
      </x:c>
      <x:c r="V11" s="27"/>
      <x:c r="W11" s="28"/>
    </x:row>
    <x:row r="12" spans="1:23">
      <x:c r="A12" s="21" t="s">
        <x:v>41</x:v>
      </x:c>
      <x:c r="B12" s="22" t="s">
        <x:v>14</x:v>
      </x:c>
      <x:c r="C12" s="22" t="s">
        <x:v>42</x:v>
      </x:c>
      <x:c r="D12" s="22" t="s">
        <x:v>217</x:v>
      </x:c>
      <x:c r="E12" s="22" t="s">
        <x:v>195</x:v>
      </x:c>
      <x:c r="F12" s="22" t="s">
        <x:v>195</x:v>
      </x:c>
      <x:c r="G12" s="22" t="s">
        <x:v>201</x:v>
      </x:c>
      <x:c r="H12" s="22">
        <x:v>8</x:v>
      </x:c>
      <x:c r="I12" s="22">
        <x:v>1</x:v>
      </x:c>
      <x:c r="J12" s="22">
        <x:v>5</x:v>
      </x:c>
      <x:c r="K12" s="23">
        <x:v>40137000</x:v>
      </x:c>
      <x:c r="L12" s="23">
        <x:v>160548000</x:v>
      </x:c>
      <x:c r="M12" s="23">
        <x:f>K12-L12</x:f>
      </x:c>
      <x:c r="N12" s="22" t="s">
        <x:v>197</x:v>
      </x:c>
      <x:c r="O12" s="24">
        <x:f>IFERROR(INDEX('تطبیق کل'!$J:$J,MATCH(A12&amp;"",'تطبیق کل'!$A:$A,0))&amp;"","")</x:f>
      </x:c>
      <x:c r="P12" s="24" t="s">
        <x:v>218</x:v>
      </x:c>
      <x:c r="Q12" s="24" t="s">
        <x:v>219</x:v>
      </x:c>
      <x:c r="R12" s="25">
        <x:v>0.67</x:v>
      </x:c>
      <x:c r="S12" s="26"/>
      <x:c r="T12" s="22">
        <x:f>IF(S12="","",IFERROR(INDEX('درخت جدید'!$C:$C,MATCH(S12&amp;"",'درخت جدید'!$B:$B,0)),"—"))</x:f>
      </x:c>
      <x:c r="U12" s="22">
        <x:f>IF(S12="",IF(N12="بله","الزامی — تکمیل نشده",""),IF(AND(O12&lt;&gt;"",LEFT(S12&amp;"",4)&lt;&gt;O12),"زیر کل دیگری است — کل یا معین را اصلاح کنید",IF(COUNTIFS('درخت جدید'!$B:$B,S12&amp;"",'درخت جدید'!$A:$A,"معین")=0,IF(V12="","کد در درخت نیست — نام برای تعریف را بنویسید","OK"),"OK")))</x:f>
      </x:c>
      <x:c r="V12" s="27"/>
      <x:c r="W12" s="28"/>
    </x:row>
    <x:row r="13" spans="1:23">
      <x:c r="A13" s="21" t="s">
        <x:v>41</x:v>
      </x:c>
      <x:c r="B13" s="22" t="s">
        <x:v>18</x:v>
      </x:c>
      <x:c r="C13" s="22" t="s">
        <x:v>42</x:v>
      </x:c>
      <x:c r="D13" s="22" t="s">
        <x:v>220</x:v>
      </x:c>
      <x:c r="E13" s="22" t="s">
        <x:v>195</x:v>
      </x:c>
      <x:c r="F13" s="22" t="s">
        <x:v>195</x:v>
      </x:c>
      <x:c r="G13" s="22" t="s">
        <x:v>201</x:v>
      </x:c>
      <x:c r="H13" s="22">
        <x:v>8</x:v>
      </x:c>
      <x:c r="I13" s="22">
        <x:v>1</x:v>
      </x:c>
      <x:c r="J13" s="22">
        <x:v>5</x:v>
      </x:c>
      <x:c r="K13" s="23">
        <x:v>3818000</x:v>
      </x:c>
      <x:c r="L13" s="23">
        <x:v>15272000</x:v>
      </x:c>
      <x:c r="M13" s="23">
        <x:f>K13-L13</x:f>
      </x:c>
      <x:c r="N13" s="22" t="s">
        <x:v>197</x:v>
      </x:c>
      <x:c r="O13" s="24">
        <x:f>IFERROR(INDEX('تطبیق کل'!$J:$J,MATCH(A13&amp;"",'تطبیق کل'!$A:$A,0))&amp;"","")</x:f>
      </x:c>
      <x:c r="P13" s="24" t="s">
        <x:v>218</x:v>
      </x:c>
      <x:c r="Q13" s="24" t="s">
        <x:v>219</x:v>
      </x:c>
      <x:c r="R13" s="25">
        <x:v>0.62</x:v>
      </x:c>
      <x:c r="S13" s="26"/>
      <x:c r="T13" s="22">
        <x:f>IF(S13="","",IFERROR(INDEX('درخت جدید'!$C:$C,MATCH(S13&amp;"",'درخت جدید'!$B:$B,0)),"—"))</x:f>
      </x:c>
      <x:c r="U13" s="22">
        <x:f>IF(S13="",IF(N13="بله","الزامی — تکمیل نشده",""),IF(AND(O13&lt;&gt;"",LEFT(S13&amp;"",4)&lt;&gt;O13),"زیر کل دیگری است — کل یا معین را اصلاح کنید",IF(COUNTIFS('درخت جدید'!$B:$B,S13&amp;"",'درخت جدید'!$A:$A,"معین")=0,IF(V13="","کد در درخت نیست — نام برای تعریف را بنویسید","OK"),"OK")))</x:f>
      </x:c>
      <x:c r="V13" s="27"/>
      <x:c r="W13" s="28"/>
    </x:row>
    <x:row r="14" spans="1:23">
      <x:c r="A14" s="21" t="s">
        <x:v>45</x:v>
      </x:c>
      <x:c r="B14" s="22" t="s">
        <x:v>30</x:v>
      </x:c>
      <x:c r="C14" s="22" t="s">
        <x:v>46</x:v>
      </x:c>
      <x:c r="D14" s="22" t="s">
        <x:v>221</x:v>
      </x:c>
      <x:c r="E14" s="22" t="s">
        <x:v>195</x:v>
      </x:c>
      <x:c r="F14" s="22" t="s">
        <x:v>195</x:v>
      </x:c>
      <x:c r="G14" s="22" t="s">
        <x:v>201</x:v>
      </x:c>
      <x:c r="H14" s="22">
        <x:v>39</x:v>
      </x:c>
      <x:c r="I14" s="22">
        <x:v>4</x:v>
      </x:c>
      <x:c r="J14" s="22">
        <x:v>13</x:v>
      </x:c>
      <x:c r="K14" s="23">
        <x:v>134489698</x:v>
      </x:c>
      <x:c r="L14" s="23">
        <x:v>93955169</x:v>
      </x:c>
      <x:c r="M14" s="23">
        <x:f>K14-L14</x:f>
      </x:c>
      <x:c r="N14" s="22" t="s">
        <x:v>197</x:v>
      </x:c>
      <x:c r="O14" s="24">
        <x:f>IFERROR(INDEX('تطبیق کل'!$J:$J,MATCH(A14&amp;"",'تطبیق کل'!$A:$A,0))&amp;"","")</x:f>
      </x:c>
      <x:c r="P14" s="24" t="s">
        <x:v>222</x:v>
      </x:c>
      <x:c r="Q14" s="24" t="s">
        <x:v>223</x:v>
      </x:c>
      <x:c r="R14" s="25">
        <x:v>1</x:v>
      </x:c>
      <x:c r="S14" s="26"/>
      <x:c r="T14" s="22">
        <x:f>IF(S14="","",IFERROR(INDEX('درخت جدید'!$C:$C,MATCH(S14&amp;"",'درخت جدید'!$B:$B,0)),"—"))</x:f>
      </x:c>
      <x:c r="U14" s="22">
        <x:f>IF(S14="",IF(N14="بله","الزامی — تکمیل نشده",""),IF(AND(O14&lt;&gt;"",LEFT(S14&amp;"",4)&lt;&gt;O14),"زیر کل دیگری است — کل یا معین را اصلاح کنید",IF(COUNTIFS('درخت جدید'!$B:$B,S14&amp;"",'درخت جدید'!$A:$A,"معین")=0,IF(V14="","کد در درخت نیست — نام برای تعریف را بنویسید","OK"),"OK")))</x:f>
      </x:c>
      <x:c r="V14" s="27"/>
      <x:c r="W14" s="28"/>
    </x:row>
    <x:row r="15" spans="1:23">
      <x:c r="A15" s="21" t="s">
        <x:v>49</x:v>
      </x:c>
      <x:c r="B15" s="22" t="s">
        <x:v>14</x:v>
      </x:c>
      <x:c r="C15" s="22" t="s">
        <x:v>50</x:v>
      </x:c>
      <x:c r="D15" s="22" t="s">
        <x:v>224</x:v>
      </x:c>
      <x:c r="E15" s="22" t="s">
        <x:v>195</x:v>
      </x:c>
      <x:c r="F15" s="22" t="s">
        <x:v>195</x:v>
      </x:c>
      <x:c r="G15" s="22" t="s">
        <x:v>201</x:v>
      </x:c>
      <x:c r="H15" s="22">
        <x:v>1</x:v>
      </x:c>
      <x:c r="I15" s="22">
        <x:v>1</x:v>
      </x:c>
      <x:c r="J15" s="22">
        <x:v>168</x:v>
      </x:c>
      <x:c r="K15" s="23">
        <x:v>4527057580</x:v>
      </x:c>
      <x:c r="L15" s="23">
        <x:v>4989551181</x:v>
      </x:c>
      <x:c r="M15" s="23">
        <x:f>K15-L15</x:f>
      </x:c>
      <x:c r="N15" s="22" t="s">
        <x:v>197</x:v>
      </x:c>
      <x:c r="O15" s="24">
        <x:f>IFERROR(INDEX('تطبیق کل'!$J:$J,MATCH(A15&amp;"",'تطبیق کل'!$A:$A,0))&amp;"","")</x:f>
      </x:c>
      <x:c r="P15" s="24"/>
      <x:c r="Q15" s="24" t="s">
        <x:v>198</x:v>
      </x:c>
      <x:c r="R15" s="25"/>
      <x:c r="S15" s="26"/>
      <x:c r="T15" s="22">
        <x:f>IF(S15="","",IFERROR(INDEX('درخت جدید'!$C:$C,MATCH(S15&amp;"",'درخت جدید'!$B:$B,0)),"—"))</x:f>
      </x:c>
      <x:c r="U15" s="22">
        <x:f>IF(S15="",IF(N15="بله","الزامی — تکمیل نشده",""),IF(AND(O15&lt;&gt;"",LEFT(S15&amp;"",4)&lt;&gt;O15),"زیر کل دیگری است — کل یا معین را اصلاح کنید",IF(COUNTIFS('درخت جدید'!$B:$B,S15&amp;"",'درخت جدید'!$A:$A,"معین")=0,IF(V15="","کد در درخت نیست — نام برای تعریف را بنویسید","OK"),"OK")))</x:f>
      </x:c>
      <x:c r="V15" s="27"/>
      <x:c r="W15" s="28"/>
    </x:row>
    <x:row r="16" spans="1:23">
      <x:c r="A16" s="21" t="s">
        <x:v>49</x:v>
      </x:c>
      <x:c r="B16" s="22" t="s">
        <x:v>199</x:v>
      </x:c>
      <x:c r="C16" s="22" t="s">
        <x:v>50</x:v>
      </x:c>
      <x:c r="D16" s="22" t="s">
        <x:v>225</x:v>
      </x:c>
      <x:c r="E16" s="22" t="s">
        <x:v>195</x:v>
      </x:c>
      <x:c r="F16" s="22" t="s">
        <x:v>195</x:v>
      </x:c>
      <x:c r="G16" s="22" t="s">
        <x:v>201</x:v>
      </x:c>
      <x:c r="H16" s="22">
        <x:v>1</x:v>
      </x:c>
      <x:c r="I16" s="22">
        <x:v>1</x:v>
      </x:c>
      <x:c r="J16" s="22">
        <x:v>28</x:v>
      </x:c>
      <x:c r="K16" s="23">
        <x:v>5367717445</x:v>
      </x:c>
      <x:c r="L16" s="23">
        <x:v>3882407431</x:v>
      </x:c>
      <x:c r="M16" s="23">
        <x:f>K16-L16</x:f>
      </x:c>
      <x:c r="N16" s="22" t="s">
        <x:v>197</x:v>
      </x:c>
      <x:c r="O16" s="24">
        <x:f>IFERROR(INDEX('تطبیق کل'!$J:$J,MATCH(A16&amp;"",'تطبیق کل'!$A:$A,0))&amp;"","")</x:f>
      </x:c>
      <x:c r="P16" s="24"/>
      <x:c r="Q16" s="24" t="s">
        <x:v>198</x:v>
      </x:c>
      <x:c r="R16" s="25"/>
      <x:c r="S16" s="26"/>
      <x:c r="T16" s="22">
        <x:f>IF(S16="","",IFERROR(INDEX('درخت جدید'!$C:$C,MATCH(S16&amp;"",'درخت جدید'!$B:$B,0)),"—"))</x:f>
      </x:c>
      <x:c r="U16" s="22">
        <x:f>IF(S16="",IF(N16="بله","الزامی — تکمیل نشده",""),IF(AND(O16&lt;&gt;"",LEFT(S16&amp;"",4)&lt;&gt;O16),"زیر کل دیگری است — کل یا معین را اصلاح کنید",IF(COUNTIFS('درخت جدید'!$B:$B,S16&amp;"",'درخت جدید'!$A:$A,"معین")=0,IF(V16="","کد در درخت نیست — نام برای تعریف را بنویسید","OK"),"OK")))</x:f>
      </x:c>
      <x:c r="V16" s="27"/>
      <x:c r="W16" s="28"/>
    </x:row>
    <x:row r="17" spans="1:23">
      <x:c r="A17" s="21" t="s">
        <x:v>49</x:v>
      </x:c>
      <x:c r="B17" s="22" t="s">
        <x:v>209</x:v>
      </x:c>
      <x:c r="C17" s="22" t="s">
        <x:v>50</x:v>
      </x:c>
      <x:c r="D17" s="22" t="s">
        <x:v>226</x:v>
      </x:c>
      <x:c r="E17" s="22" t="s">
        <x:v>195</x:v>
      </x:c>
      <x:c r="F17" s="22" t="s">
        <x:v>195</x:v>
      </x:c>
      <x:c r="G17" s="22" t="s">
        <x:v>201</x:v>
      </x:c>
      <x:c r="H17" s="22">
        <x:v>2</x:v>
      </x:c>
      <x:c r="I17" s="22">
        <x:v>1</x:v>
      </x:c>
      <x:c r="J17" s="22">
        <x:v>179</x:v>
      </x:c>
      <x:c r="K17" s="23">
        <x:v>2967108324</x:v>
      </x:c>
      <x:c r="L17" s="23">
        <x:v>5990517171</x:v>
      </x:c>
      <x:c r="M17" s="23">
        <x:f>K17-L17</x:f>
      </x:c>
      <x:c r="N17" s="22" t="s">
        <x:v>197</x:v>
      </x:c>
      <x:c r="O17" s="24">
        <x:f>IFERROR(INDEX('تطبیق کل'!$J:$J,MATCH(A17&amp;"",'تطبیق کل'!$A:$A,0))&amp;"","")</x:f>
      </x:c>
      <x:c r="P17" s="24"/>
      <x:c r="Q17" s="24" t="s">
        <x:v>198</x:v>
      </x:c>
      <x:c r="R17" s="25"/>
      <x:c r="S17" s="26"/>
      <x:c r="T17" s="22">
        <x:f>IF(S17="","",IFERROR(INDEX('درخت جدید'!$C:$C,MATCH(S17&amp;"",'درخت جدید'!$B:$B,0)),"—"))</x:f>
      </x:c>
      <x:c r="U17" s="22">
        <x:f>IF(S17="",IF(N17="بله","الزامی — تکمیل نشده",""),IF(AND(O17&lt;&gt;"",LEFT(S17&amp;"",4)&lt;&gt;O17),"زیر کل دیگری است — کل یا معین را اصلاح کنید",IF(COUNTIFS('درخت جدید'!$B:$B,S17&amp;"",'درخت جدید'!$A:$A,"معین")=0,IF(V17="","کد در درخت نیست — نام برای تعریف را بنویسید","OK"),"OK")))</x:f>
      </x:c>
      <x:c r="V17" s="27"/>
      <x:c r="W17" s="28"/>
    </x:row>
    <x:row r="18" spans="1:23">
      <x:c r="A18" s="21" t="s">
        <x:v>49</x:v>
      </x:c>
      <x:c r="B18" s="22" t="s">
        <x:v>82</x:v>
      </x:c>
      <x:c r="C18" s="22" t="s">
        <x:v>50</x:v>
      </x:c>
      <x:c r="D18" s="22" t="s">
        <x:v>227</x:v>
      </x:c>
      <x:c r="E18" s="22" t="s">
        <x:v>195</x:v>
      </x:c>
      <x:c r="F18" s="22" t="s">
        <x:v>195</x:v>
      </x:c>
      <x:c r="G18" s="22" t="s">
        <x:v>196</x:v>
      </x:c>
      <x:c r="H18" s="22">
        <x:v>1</x:v>
      </x:c>
      <x:c r="I18" s="22">
        <x:v>1</x:v>
      </x:c>
      <x:c r="J18" s="22">
        <x:v>5</x:v>
      </x:c>
      <x:c r="K18" s="23">
        <x:v>150</x:v>
      </x:c>
      <x:c r="L18" s="23">
        <x:v>60</x:v>
      </x:c>
      <x:c r="M18" s="23">
        <x:f>K18-L18</x:f>
      </x:c>
      <x:c r="N18" s="22" t="s">
        <x:v>197</x:v>
      </x:c>
      <x:c r="O18" s="24">
        <x:f>IFERROR(INDEX('تطبیق کل'!$J:$J,MATCH(A18&amp;"",'تطبیق کل'!$A:$A,0))&amp;"","")</x:f>
      </x:c>
      <x:c r="P18" s="24"/>
      <x:c r="Q18" s="24" t="s">
        <x:v>198</x:v>
      </x:c>
      <x:c r="R18" s="25"/>
      <x:c r="S18" s="26"/>
      <x:c r="T18" s="22">
        <x:f>IF(S18="","",IFERROR(INDEX('درخت جدید'!$C:$C,MATCH(S18&amp;"",'درخت جدید'!$B:$B,0)),"—"))</x:f>
      </x:c>
      <x:c r="U18" s="22">
        <x:f>IF(S18="",IF(N18="بله","الزامی — تکمیل نشده",""),IF(AND(O18&lt;&gt;"",LEFT(S18&amp;"",4)&lt;&gt;O18),"زیر کل دیگری است — کل یا معین را اصلاح کنید",IF(COUNTIFS('درخت جدید'!$B:$B,S18&amp;"",'درخت جدید'!$A:$A,"معین")=0,IF(V18="","کد در درخت نیست — نام برای تعریف را بنویسید","OK"),"OK")))</x:f>
      </x:c>
      <x:c r="V18" s="27"/>
      <x:c r="W18" s="28"/>
    </x:row>
    <x:row r="19" spans="1:23">
      <x:c r="A19" s="21" t="s">
        <x:v>49</x:v>
      </x:c>
      <x:c r="B19" s="22" t="s">
        <x:v>211</x:v>
      </x:c>
      <x:c r="C19" s="22" t="s">
        <x:v>50</x:v>
      </x:c>
      <x:c r="D19" s="22" t="s">
        <x:v>228</x:v>
      </x:c>
      <x:c r="E19" s="22" t="s">
        <x:v>195</x:v>
      </x:c>
      <x:c r="F19" s="22" t="s">
        <x:v>195</x:v>
      </x:c>
      <x:c r="G19" s="22" t="s">
        <x:v>201</x:v>
      </x:c>
      <x:c r="H19" s="22">
        <x:v>1</x:v>
      </x:c>
      <x:c r="I19" s="22">
        <x:v>1</x:v>
      </x:c>
      <x:c r="J19" s="22">
        <x:v>3</x:v>
      </x:c>
      <x:c r="K19" s="23">
        <x:v>110</x:v>
      </x:c>
      <x:c r="L19" s="23">
        <x:v>100000</x:v>
      </x:c>
      <x:c r="M19" s="23">
        <x:f>K19-L19</x:f>
      </x:c>
      <x:c r="N19" s="22" t="s">
        <x:v>197</x:v>
      </x:c>
      <x:c r="O19" s="24">
        <x:f>IFERROR(INDEX('تطبیق کل'!$J:$J,MATCH(A19&amp;"",'تطبیق کل'!$A:$A,0))&amp;"","")</x:f>
      </x:c>
      <x:c r="P19" s="24" t="s">
        <x:v>229</x:v>
      </x:c>
      <x:c r="Q19" s="24" t="s">
        <x:v>230</x:v>
      </x:c>
      <x:c r="R19" s="25">
        <x:v>0.4</x:v>
      </x:c>
      <x:c r="S19" s="26"/>
      <x:c r="T19" s="22">
        <x:f>IF(S19="","",IFERROR(INDEX('درخت جدید'!$C:$C,MATCH(S19&amp;"",'درخت جدید'!$B:$B,0)),"—"))</x:f>
      </x:c>
      <x:c r="U19" s="22">
        <x:f>IF(S19="",IF(N19="بله","الزامی — تکمیل نشده",""),IF(AND(O19&lt;&gt;"",LEFT(S19&amp;"",4)&lt;&gt;O19),"زیر کل دیگری است — کل یا معین را اصلاح کنید",IF(COUNTIFS('درخت جدید'!$B:$B,S19&amp;"",'درخت جدید'!$A:$A,"معین")=0,IF(V19="","کد در درخت نیست — نام برای تعریف را بنویسید","OK"),"OK")))</x:f>
      </x:c>
      <x:c r="V19" s="27"/>
      <x:c r="W19" s="28"/>
    </x:row>
    <x:row r="20" spans="1:23">
      <x:c r="A20" s="21" t="s">
        <x:v>49</x:v>
      </x:c>
      <x:c r="B20" s="22" t="s">
        <x:v>86</x:v>
      </x:c>
      <x:c r="C20" s="22" t="s">
        <x:v>50</x:v>
      </x:c>
      <x:c r="D20" s="22" t="s">
        <x:v>231</x:v>
      </x:c>
      <x:c r="E20" s="22" t="s">
        <x:v>195</x:v>
      </x:c>
      <x:c r="F20" s="22" t="s">
        <x:v>195</x:v>
      </x:c>
      <x:c r="G20" s="22" t="s">
        <x:v>201</x:v>
      </x:c>
      <x:c r="H20" s="22">
        <x:v>1</x:v>
      </x:c>
      <x:c r="I20" s="22">
        <x:v>1</x:v>
      </x:c>
      <x:c r="J20" s="22">
        <x:v>169</x:v>
      </x:c>
      <x:c r="K20" s="23">
        <x:v>24613281858</x:v>
      </x:c>
      <x:c r="L20" s="23">
        <x:v>35725409700</x:v>
      </x:c>
      <x:c r="M20" s="23">
        <x:f>K20-L20</x:f>
      </x:c>
      <x:c r="N20" s="22" t="s">
        <x:v>197</x:v>
      </x:c>
      <x:c r="O20" s="24">
        <x:f>IFERROR(INDEX('تطبیق کل'!$J:$J,MATCH(A20&amp;"",'تطبیق کل'!$A:$A,0))&amp;"","")</x:f>
      </x:c>
      <x:c r="P20" s="24"/>
      <x:c r="Q20" s="24" t="s">
        <x:v>198</x:v>
      </x:c>
      <x:c r="R20" s="25"/>
      <x:c r="S20" s="26"/>
      <x:c r="T20" s="22">
        <x:f>IF(S20="","",IFERROR(INDEX('درخت جدید'!$C:$C,MATCH(S20&amp;"",'درخت جدید'!$B:$B,0)),"—"))</x:f>
      </x:c>
      <x:c r="U20" s="22">
        <x:f>IF(S20="",IF(N20="بله","الزامی — تکمیل نشده",""),IF(AND(O20&lt;&gt;"",LEFT(S20&amp;"",4)&lt;&gt;O20),"زیر کل دیگری است — کل یا معین را اصلاح کنید",IF(COUNTIFS('درخت جدید'!$B:$B,S20&amp;"",'درخت جدید'!$A:$A,"معین")=0,IF(V20="","کد در درخت نیست — نام برای تعریف را بنویسید","OK"),"OK")))</x:f>
      </x:c>
      <x:c r="V20" s="27"/>
      <x:c r="W20" s="28"/>
    </x:row>
    <x:row r="21" spans="1:23">
      <x:c r="A21" s="21" t="s">
        <x:v>49</x:v>
      </x:c>
      <x:c r="B21" s="22" t="s">
        <x:v>213</x:v>
      </x:c>
      <x:c r="C21" s="22" t="s">
        <x:v>50</x:v>
      </x:c>
      <x:c r="D21" s="22" t="s">
        <x:v>232</x:v>
      </x:c>
      <x:c r="E21" s="22" t="s">
        <x:v>195</x:v>
      </x:c>
      <x:c r="F21" s="22" t="s">
        <x:v>195</x:v>
      </x:c>
      <x:c r="G21" s="22" t="s">
        <x:v>201</x:v>
      </x:c>
      <x:c r="H21" s="22">
        <x:v>6</x:v>
      </x:c>
      <x:c r="I21" s="22">
        <x:v>1</x:v>
      </x:c>
      <x:c r="J21" s="22">
        <x:v>40</x:v>
      </x:c>
      <x:c r="K21" s="23">
        <x:v>24909033794</x:v>
      </x:c>
      <x:c r="L21" s="23">
        <x:v>29597749495</x:v>
      </x:c>
      <x:c r="M21" s="23">
        <x:f>K21-L21</x:f>
      </x:c>
      <x:c r="N21" s="22" t="s">
        <x:v>197</x:v>
      </x:c>
      <x:c r="O21" s="24">
        <x:f>IFERROR(INDEX('تطبیق کل'!$J:$J,MATCH(A21&amp;"",'تطبیق کل'!$A:$A,0))&amp;"","")</x:f>
      </x:c>
      <x:c r="P21" s="24"/>
      <x:c r="Q21" s="24" t="s">
        <x:v>198</x:v>
      </x:c>
      <x:c r="R21" s="25"/>
      <x:c r="S21" s="26"/>
      <x:c r="T21" s="22">
        <x:f>IF(S21="","",IFERROR(INDEX('درخت جدید'!$C:$C,MATCH(S21&amp;"",'درخت جدید'!$B:$B,0)),"—"))</x:f>
      </x:c>
      <x:c r="U21" s="22">
        <x:f>IF(S21="",IF(N21="بله","الزامی — تکمیل نشده",""),IF(AND(O21&lt;&gt;"",LEFT(S21&amp;"",4)&lt;&gt;O21),"زیر کل دیگری است — کل یا معین را اصلاح کنید",IF(COUNTIFS('درخت جدید'!$B:$B,S21&amp;"",'درخت جدید'!$A:$A,"معین")=0,IF(V21="","کد در درخت نیست — نام برای تعریف را بنویسید","OK"),"OK")))</x:f>
      </x:c>
      <x:c r="V21" s="27"/>
      <x:c r="W21" s="28"/>
    </x:row>
    <x:row r="22" spans="1:23">
      <x:c r="A22" s="21" t="s">
        <x:v>49</x:v>
      </x:c>
      <x:c r="B22" s="22" t="s">
        <x:v>136</x:v>
      </x:c>
      <x:c r="C22" s="22" t="s">
        <x:v>50</x:v>
      </x:c>
      <x:c r="D22" s="22" t="s">
        <x:v>233</x:v>
      </x:c>
      <x:c r="E22" s="22" t="s">
        <x:v>195</x:v>
      </x:c>
      <x:c r="F22" s="22" t="s">
        <x:v>195</x:v>
      </x:c>
      <x:c r="G22" s="22" t="s">
        <x:v>196</x:v>
      </x:c>
      <x:c r="H22" s="22">
        <x:v>129</x:v>
      </x:c>
      <x:c r="I22" s="22">
        <x:v>14</x:v>
      </x:c>
      <x:c r="J22" s="22">
        <x:v>201</x:v>
      </x:c>
      <x:c r="K22" s="23">
        <x:v>2451273889</x:v>
      </x:c>
      <x:c r="L22" s="23">
        <x:v>6463015698</x:v>
      </x:c>
      <x:c r="M22" s="23">
        <x:f>K22-L22</x:f>
      </x:c>
      <x:c r="N22" s="22" t="s">
        <x:v>197</x:v>
      </x:c>
      <x:c r="O22" s="24">
        <x:f>IFERROR(INDEX('تطبیق کل'!$J:$J,MATCH(A22&amp;"",'تطبیق کل'!$A:$A,0))&amp;"","")</x:f>
      </x:c>
      <x:c r="P22" s="24" t="s">
        <x:v>229</x:v>
      </x:c>
      <x:c r="Q22" s="24" t="s">
        <x:v>230</x:v>
      </x:c>
      <x:c r="R22" s="25">
        <x:v>0.53</x:v>
      </x:c>
      <x:c r="S22" s="26"/>
      <x:c r="T22" s="22">
        <x:f>IF(S22="","",IFERROR(INDEX('درخت جدید'!$C:$C,MATCH(S22&amp;"",'درخت جدید'!$B:$B,0)),"—"))</x:f>
      </x:c>
      <x:c r="U22" s="22">
        <x:f>IF(S22="",IF(N22="بله","الزامی — تکمیل نشده",""),IF(AND(O22&lt;&gt;"",LEFT(S22&amp;"",4)&lt;&gt;O22),"زیر کل دیگری است — کل یا معین را اصلاح کنید",IF(COUNTIFS('درخت جدید'!$B:$B,S22&amp;"",'درخت جدید'!$A:$A,"معین")=0,IF(V22="","کد در درخت نیست — نام برای تعریف را بنویسید","OK"),"OK")))</x:f>
      </x:c>
      <x:c r="V22" s="27"/>
      <x:c r="W22" s="28"/>
    </x:row>
    <x:row r="23" spans="1:23">
      <x:c r="A23" s="21" t="s">
        <x:v>49</x:v>
      </x:c>
      <x:c r="B23" s="22" t="s">
        <x:v>215</x:v>
      </x:c>
      <x:c r="C23" s="22" t="s">
        <x:v>50</x:v>
      </x:c>
      <x:c r="D23" s="22" t="s">
        <x:v>234</x:v>
      </x:c>
      <x:c r="E23" s="22" t="s">
        <x:v>195</x:v>
      </x:c>
      <x:c r="F23" s="22" t="s">
        <x:v>195</x:v>
      </x:c>
      <x:c r="G23" s="22" t="s">
        <x:v>201</x:v>
      </x:c>
      <x:c r="H23" s="22">
        <x:v>1</x:v>
      </x:c>
      <x:c r="I23" s="22">
        <x:v>1</x:v>
      </x:c>
      <x:c r="J23" s="22">
        <x:v>16</x:v>
      </x:c>
      <x:c r="K23" s="23">
        <x:v>425591050</x:v>
      </x:c>
      <x:c r="L23" s="23">
        <x:v>745420850</x:v>
      </x:c>
      <x:c r="M23" s="23">
        <x:f>K23-L23</x:f>
      </x:c>
      <x:c r="N23" s="22" t="s">
        <x:v>197</x:v>
      </x:c>
      <x:c r="O23" s="24">
        <x:f>IFERROR(INDEX('تطبیق کل'!$J:$J,MATCH(A23&amp;"",'تطبیق کل'!$A:$A,0))&amp;"","")</x:f>
      </x:c>
      <x:c r="P23" s="24"/>
      <x:c r="Q23" s="24" t="s">
        <x:v>198</x:v>
      </x:c>
      <x:c r="R23" s="25"/>
      <x:c r="S23" s="26"/>
      <x:c r="T23" s="22">
        <x:f>IF(S23="","",IFERROR(INDEX('درخت جدید'!$C:$C,MATCH(S23&amp;"",'درخت جدید'!$B:$B,0)),"—"))</x:f>
      </x:c>
      <x:c r="U23" s="22">
        <x:f>IF(S23="",IF(N23="بله","الزامی — تکمیل نشده",""),IF(AND(O23&lt;&gt;"",LEFT(S23&amp;"",4)&lt;&gt;O23),"زیر کل دیگری است — کل یا معین را اصلاح کنید",IF(COUNTIFS('درخت جدید'!$B:$B,S23&amp;"",'درخت جدید'!$A:$A,"معین")=0,IF(V23="","کد در درخت نیست — نام برای تعریف را بنویسید","OK"),"OK")))</x:f>
      </x:c>
      <x:c r="V23" s="27"/>
      <x:c r="W23" s="28"/>
    </x:row>
    <x:row r="24" spans="1:23">
      <x:c r="A24" s="21" t="s">
        <x:v>53</x:v>
      </x:c>
      <x:c r="B24" s="22" t="s">
        <x:v>235</x:v>
      </x:c>
      <x:c r="C24" s="22" t="s">
        <x:v>54</x:v>
      </x:c>
      <x:c r="D24" s="22" t="s">
        <x:v>236</x:v>
      </x:c>
      <x:c r="E24" s="22" t="s">
        <x:v>195</x:v>
      </x:c>
      <x:c r="F24" s="22" t="s">
        <x:v>195</x:v>
      </x:c>
      <x:c r="G24" s="22" t="s">
        <x:v>196</x:v>
      </x:c>
      <x:c r="H24" s="22">
        <x:v>40</x:v>
      </x:c>
      <x:c r="I24" s="22">
        <x:v>34</x:v>
      </x:c>
      <x:c r="J24" s="22">
        <x:v>520</x:v>
      </x:c>
      <x:c r="K24" s="23">
        <x:v>3291327378</x:v>
      </x:c>
      <x:c r="L24" s="23">
        <x:v>6326793296</x:v>
      </x:c>
      <x:c r="M24" s="23">
        <x:f>K24-L24</x:f>
      </x:c>
      <x:c r="N24" s="22" t="s">
        <x:v>197</x:v>
      </x:c>
      <x:c r="O24" s="24">
        <x:f>IFERROR(INDEX('تطبیق کل'!$J:$J,MATCH(A24&amp;"",'تطبیق کل'!$A:$A,0))&amp;"","")</x:f>
      </x:c>
      <x:c r="P24" s="24"/>
      <x:c r="Q24" s="24" t="s">
        <x:v>198</x:v>
      </x:c>
      <x:c r="R24" s="25"/>
      <x:c r="S24" s="26"/>
      <x:c r="T24" s="22">
        <x:f>IF(S24="","",IFERROR(INDEX('درخت جدید'!$C:$C,MATCH(S24&amp;"",'درخت جدید'!$B:$B,0)),"—"))</x:f>
      </x:c>
      <x:c r="U24" s="22">
        <x:f>IF(S24="",IF(N24="بله","الزامی — تکمیل نشده",""),IF(AND(O24&lt;&gt;"",LEFT(S24&amp;"",4)&lt;&gt;O24),"زیر کل دیگری است — کل یا معین را اصلاح کنید",IF(COUNTIFS('درخت جدید'!$B:$B,S24&amp;"",'درخت جدید'!$A:$A,"معین")=0,IF(V24="","کد در درخت نیست — نام برای تعریف را بنویسید","OK"),"OK")))</x:f>
      </x:c>
      <x:c r="V24" s="27"/>
      <x:c r="W24" s="28"/>
    </x:row>
    <x:row r="25" spans="1:23">
      <x:c r="A25" s="21" t="s">
        <x:v>53</x:v>
      </x:c>
      <x:c r="B25" s="22" t="s">
        <x:v>211</x:v>
      </x:c>
      <x:c r="C25" s="22" t="s">
        <x:v>54</x:v>
      </x:c>
      <x:c r="D25" s="22" t="s">
        <x:v>237</x:v>
      </x:c>
      <x:c r="E25" s="22" t="s">
        <x:v>195</x:v>
      </x:c>
      <x:c r="F25" s="22" t="s">
        <x:v>195</x:v>
      </x:c>
      <x:c r="G25" s="22" t="s">
        <x:v>201</x:v>
      </x:c>
      <x:c r="H25" s="22">
        <x:v>645</x:v>
      </x:c>
      <x:c r="I25" s="22">
        <x:v>22</x:v>
      </x:c>
      <x:c r="J25" s="22">
        <x:v>202</x:v>
      </x:c>
      <x:c r="K25" s="23">
        <x:v>3315281676</x:v>
      </x:c>
      <x:c r="L25" s="23">
        <x:v>3448565726</x:v>
      </x:c>
      <x:c r="M25" s="23">
        <x:f>K25-L25</x:f>
      </x:c>
      <x:c r="N25" s="22" t="s">
        <x:v>197</x:v>
      </x:c>
      <x:c r="O25" s="24">
        <x:f>IFERROR(INDEX('تطبیق کل'!$J:$J,MATCH(A25&amp;"",'تطبیق کل'!$A:$A,0))&amp;"","")</x:f>
      </x:c>
      <x:c r="P25" s="24"/>
      <x:c r="Q25" s="24" t="s">
        <x:v>198</x:v>
      </x:c>
      <x:c r="R25" s="25"/>
      <x:c r="S25" s="26"/>
      <x:c r="T25" s="22">
        <x:f>IF(S25="","",IFERROR(INDEX('درخت جدید'!$C:$C,MATCH(S25&amp;"",'درخت جدید'!$B:$B,0)),"—"))</x:f>
      </x:c>
      <x:c r="U25" s="22">
        <x:f>IF(S25="",IF(N25="بله","الزامی — تکمیل نشده",""),IF(AND(O25&lt;&gt;"",LEFT(S25&amp;"",4)&lt;&gt;O25),"زیر کل دیگری است — کل یا معین را اصلاح کنید",IF(COUNTIFS('درخت جدید'!$B:$B,S25&amp;"",'درخت جدید'!$A:$A,"معین")=0,IF(V25="","کد در درخت نیست — نام برای تعریف را بنویسید","OK"),"OK")))</x:f>
      </x:c>
      <x:c r="V25" s="27"/>
      <x:c r="W25" s="28"/>
    </x:row>
    <x:row r="26" spans="1:23">
      <x:c r="A26" s="21" t="s">
        <x:v>53</x:v>
      </x:c>
      <x:c r="B26" s="22" t="s">
        <x:v>90</x:v>
      </x:c>
      <x:c r="C26" s="22" t="s">
        <x:v>54</x:v>
      </x:c>
      <x:c r="D26" s="22" t="s">
        <x:v>238</x:v>
      </x:c>
      <x:c r="E26" s="22" t="s">
        <x:v>195</x:v>
      </x:c>
      <x:c r="F26" s="22" t="s">
        <x:v>195</x:v>
      </x:c>
      <x:c r="G26" s="22" t="s">
        <x:v>201</x:v>
      </x:c>
      <x:c r="H26" s="22">
        <x:v>8</x:v>
      </x:c>
      <x:c r="I26" s="22">
        <x:v>5</x:v>
      </x:c>
      <x:c r="J26" s="22">
        <x:v>40</x:v>
      </x:c>
      <x:c r="K26" s="23">
        <x:v>637277416</x:v>
      </x:c>
      <x:c r="L26" s="23">
        <x:v>661914715</x:v>
      </x:c>
      <x:c r="M26" s="23">
        <x:f>K26-L26</x:f>
      </x:c>
      <x:c r="N26" s="22" t="s">
        <x:v>197</x:v>
      </x:c>
      <x:c r="O26" s="24">
        <x:f>IFERROR(INDEX('تطبیق کل'!$J:$J,MATCH(A26&amp;"",'تطبیق کل'!$A:$A,0))&amp;"","")</x:f>
      </x:c>
      <x:c r="P26" s="24"/>
      <x:c r="Q26" s="24" t="s">
        <x:v>198</x:v>
      </x:c>
      <x:c r="R26" s="25"/>
      <x:c r="S26" s="26"/>
      <x:c r="T26" s="22">
        <x:f>IF(S26="","",IFERROR(INDEX('درخت جدید'!$C:$C,MATCH(S26&amp;"",'درخت جدید'!$B:$B,0)),"—"))</x:f>
      </x:c>
      <x:c r="U26" s="22">
        <x:f>IF(S26="",IF(N26="بله","الزامی — تکمیل نشده",""),IF(AND(O26&lt;&gt;"",LEFT(S26&amp;"",4)&lt;&gt;O26),"زیر کل دیگری است — کل یا معین را اصلاح کنید",IF(COUNTIFS('درخت جدید'!$B:$B,S26&amp;"",'درخت جدید'!$A:$A,"معین")=0,IF(V26="","کد در درخت نیست — نام برای تعریف را بنویسید","OK"),"OK")))</x:f>
      </x:c>
      <x:c r="V26" s="27"/>
      <x:c r="W26" s="28"/>
    </x:row>
    <x:row r="27" spans="1:23">
      <x:c r="A27" s="21" t="s">
        <x:v>53</x:v>
      </x:c>
      <x:c r="B27" s="22" t="s">
        <x:v>105</x:v>
      </x:c>
      <x:c r="C27" s="22" t="s">
        <x:v>54</x:v>
      </x:c>
      <x:c r="D27" s="22" t="s">
        <x:v>239</x:v>
      </x:c>
      <x:c r="E27" s="22" t="s">
        <x:v>195</x:v>
      </x:c>
      <x:c r="F27" s="22" t="s">
        <x:v>195</x:v>
      </x:c>
      <x:c r="G27" s="22" t="s">
        <x:v>196</x:v>
      </x:c>
      <x:c r="H27" s="22">
        <x:v>4</x:v>
      </x:c>
      <x:c r="I27" s="22">
        <x:v>1</x:v>
      </x:c>
      <x:c r="J27" s="22">
        <x:v>6</x:v>
      </x:c>
      <x:c r="K27" s="23">
        <x:v>249120</x:v>
      </x:c>
      <x:c r="L27" s="23">
        <x:v>1245600</x:v>
      </x:c>
      <x:c r="M27" s="23">
        <x:f>K27-L27</x:f>
      </x:c>
      <x:c r="N27" s="22" t="s">
        <x:v>197</x:v>
      </x:c>
      <x:c r="O27" s="24">
        <x:f>IFERROR(INDEX('تطبیق کل'!$J:$J,MATCH(A27&amp;"",'تطبیق کل'!$A:$A,0))&amp;"","")</x:f>
      </x:c>
      <x:c r="P27" s="24"/>
      <x:c r="Q27" s="24" t="s">
        <x:v>198</x:v>
      </x:c>
      <x:c r="R27" s="25"/>
      <x:c r="S27" s="26"/>
      <x:c r="T27" s="22">
        <x:f>IF(S27="","",IFERROR(INDEX('درخت جدید'!$C:$C,MATCH(S27&amp;"",'درخت جدید'!$B:$B,0)),"—"))</x:f>
      </x:c>
      <x:c r="U27" s="22">
        <x:f>IF(S27="",IF(N27="بله","الزامی — تکمیل نشده",""),IF(AND(O27&lt;&gt;"",LEFT(S27&amp;"",4)&lt;&gt;O27),"زیر کل دیگری است — کل یا معین را اصلاح کنید",IF(COUNTIFS('درخت جدید'!$B:$B,S27&amp;"",'درخت جدید'!$A:$A,"معین")=0,IF(V27="","کد در درخت نیست — نام برای تعریف را بنویسید","OK"),"OK")))</x:f>
      </x:c>
      <x:c r="V27" s="27"/>
      <x:c r="W27" s="28"/>
    </x:row>
    <x:row r="28" spans="1:23">
      <x:c r="A28" s="21" t="s">
        <x:v>53</x:v>
      </x:c>
      <x:c r="B28" s="22" t="s">
        <x:v>163</x:v>
      </x:c>
      <x:c r="C28" s="22" t="s">
        <x:v>54</x:v>
      </x:c>
      <x:c r="D28" s="22" t="s">
        <x:v>240</x:v>
      </x:c>
      <x:c r="E28" s="22" t="s">
        <x:v>195</x:v>
      </x:c>
      <x:c r="F28" s="22" t="s">
        <x:v>195</x:v>
      </x:c>
      <x:c r="G28" s="22" t="s">
        <x:v>201</x:v>
      </x:c>
      <x:c r="H28" s="22">
        <x:v>1</x:v>
      </x:c>
      <x:c r="I28" s="22">
        <x:v>1</x:v>
      </x:c>
      <x:c r="J28" s="22">
        <x:v>300</x:v>
      </x:c>
      <x:c r="K28" s="23">
        <x:v>32948310413</x:v>
      </x:c>
      <x:c r="L28" s="23">
        <x:v>0</x:v>
      </x:c>
      <x:c r="M28" s="23">
        <x:f>K28-L28</x:f>
      </x:c>
      <x:c r="N28" s="22" t="s">
        <x:v>197</x:v>
      </x:c>
      <x:c r="O28" s="24">
        <x:f>IFERROR(INDEX('تطبیق کل'!$J:$J,MATCH(A28&amp;"",'تطبیق کل'!$A:$A,0))&amp;"","")</x:f>
      </x:c>
      <x:c r="P28" s="24"/>
      <x:c r="Q28" s="24" t="s">
        <x:v>198</x:v>
      </x:c>
      <x:c r="R28" s="25"/>
      <x:c r="S28" s="26"/>
      <x:c r="T28" s="22">
        <x:f>IF(S28="","",IFERROR(INDEX('درخت جدید'!$C:$C,MATCH(S28&amp;"",'درخت جدید'!$B:$B,0)),"—"))</x:f>
      </x:c>
      <x:c r="U28" s="22">
        <x:f>IF(S28="",IF(N28="بله","الزامی — تکمیل نشده",""),IF(AND(O28&lt;&gt;"",LEFT(S28&amp;"",4)&lt;&gt;O28),"زیر کل دیگری است — کل یا معین را اصلاح کنید",IF(COUNTIFS('درخت جدید'!$B:$B,S28&amp;"",'درخت جدید'!$A:$A,"معین")=0,IF(V28="","کد در درخت نیست — نام برای تعریف را بنویسید","OK"),"OK")))</x:f>
      </x:c>
      <x:c r="V28" s="27"/>
      <x:c r="W28" s="28"/>
    </x:row>
    <x:row r="29" spans="1:23">
      <x:c r="A29" s="21" t="s">
        <x:v>60</x:v>
      </x:c>
      <x:c r="B29" s="22" t="s">
        <x:v>204</x:v>
      </x:c>
      <x:c r="C29" s="22" t="s">
        <x:v>61</x:v>
      </x:c>
      <x:c r="D29" s="22" t="s">
        <x:v>241</x:v>
      </x:c>
      <x:c r="E29" s="22" t="s">
        <x:v>195</x:v>
      </x:c>
      <x:c r="F29" s="22" t="s">
        <x:v>195</x:v>
      </x:c>
      <x:c r="G29" s="22" t="s">
        <x:v>201</x:v>
      </x:c>
      <x:c r="H29" s="22">
        <x:v>3</x:v>
      </x:c>
      <x:c r="I29" s="22">
        <x:v>1</x:v>
      </x:c>
      <x:c r="J29" s="22">
        <x:v>23</x:v>
      </x:c>
      <x:c r="K29" s="23">
        <x:v>500000000</x:v>
      </x:c>
      <x:c r="L29" s="23">
        <x:v>550000000</x:v>
      </x:c>
      <x:c r="M29" s="23">
        <x:f>K29-L29</x:f>
      </x:c>
      <x:c r="N29" s="22" t="s">
        <x:v>197</x:v>
      </x:c>
      <x:c r="O29" s="24">
        <x:f>IFERROR(INDEX('تطبیق کل'!$J:$J,MATCH(A29&amp;"",'تطبیق کل'!$A:$A,0))&amp;"","")</x:f>
      </x:c>
      <x:c r="P29" s="24"/>
      <x:c r="Q29" s="24" t="s">
        <x:v>198</x:v>
      </x:c>
      <x:c r="R29" s="25"/>
      <x:c r="S29" s="26"/>
      <x:c r="T29" s="22">
        <x:f>IF(S29="","",IFERROR(INDEX('درخت جدید'!$C:$C,MATCH(S29&amp;"",'درخت جدید'!$B:$B,0)),"—"))</x:f>
      </x:c>
      <x:c r="U29" s="22">
        <x:f>IF(S29="",IF(N29="بله","الزامی — تکمیل نشده",""),IF(AND(O29&lt;&gt;"",LEFT(S29&amp;"",4)&lt;&gt;O29),"زیر کل دیگری است — کل یا معین را اصلاح کنید",IF(COUNTIFS('درخت جدید'!$B:$B,S29&amp;"",'درخت جدید'!$A:$A,"معین")=0,IF(V29="","کد در درخت نیست — نام برای تعریف را بنویسید","OK"),"OK")))</x:f>
      </x:c>
      <x:c r="V29" s="27"/>
      <x:c r="W29" s="28"/>
    </x:row>
    <x:row r="30" spans="1:23">
      <x:c r="A30" s="21" t="s">
        <x:v>64</x:v>
      </x:c>
      <x:c r="B30" s="22" t="s">
        <x:v>14</x:v>
      </x:c>
      <x:c r="C30" s="22" t="s">
        <x:v>65</x:v>
      </x:c>
      <x:c r="D30" s="22" t="s">
        <x:v>242</x:v>
      </x:c>
      <x:c r="E30" s="22" t="s">
        <x:v>195</x:v>
      </x:c>
      <x:c r="F30" s="22" t="s">
        <x:v>195</x:v>
      </x:c>
      <x:c r="G30" s="22" t="s">
        <x:v>201</x:v>
      </x:c>
      <x:c r="H30" s="22">
        <x:v>4</x:v>
      </x:c>
      <x:c r="I30" s="22">
        <x:v>1</x:v>
      </x:c>
      <x:c r="J30" s="22">
        <x:v>433</x:v>
      </x:c>
      <x:c r="K30" s="23">
        <x:v>1403809200</x:v>
      </x:c>
      <x:c r="L30" s="23">
        <x:v>1403809200</x:v>
      </x:c>
      <x:c r="M30" s="23">
        <x:f>K30-L30</x:f>
      </x:c>
      <x:c r="N30" s="22" t="s">
        <x:v>197</x:v>
      </x:c>
      <x:c r="O30" s="24">
        <x:f>IFERROR(INDEX('تطبیق کل'!$J:$J,MATCH(A30&amp;"",'تطبیق کل'!$A:$A,0))&amp;"","")</x:f>
      </x:c>
      <x:c r="P30" s="24" t="s">
        <x:v>243</x:v>
      </x:c>
      <x:c r="Q30" s="24" t="s">
        <x:v>244</x:v>
      </x:c>
      <x:c r="R30" s="25">
        <x:v>0.41</x:v>
      </x:c>
      <x:c r="S30" s="26"/>
      <x:c r="T30" s="22">
        <x:f>IF(S30="","",IFERROR(INDEX('درخت جدید'!$C:$C,MATCH(S30&amp;"",'درخت جدید'!$B:$B,0)),"—"))</x:f>
      </x:c>
      <x:c r="U30" s="22">
        <x:f>IF(S30="",IF(N30="بله","الزامی — تکمیل نشده",""),IF(AND(O30&lt;&gt;"",LEFT(S30&amp;"",4)&lt;&gt;O30),"زیر کل دیگری است — کل یا معین را اصلاح کنید",IF(COUNTIFS('درخت جدید'!$B:$B,S30&amp;"",'درخت جدید'!$A:$A,"معین")=0,IF(V30="","کد در درخت نیست — نام برای تعریف را بنویسید","OK"),"OK")))</x:f>
      </x:c>
      <x:c r="V30" s="27"/>
      <x:c r="W30" s="28"/>
    </x:row>
    <x:row r="31" spans="1:23">
      <x:c r="A31" s="21" t="s">
        <x:v>64</x:v>
      </x:c>
      <x:c r="B31" s="22" t="s">
        <x:v>199</x:v>
      </x:c>
      <x:c r="C31" s="22" t="s">
        <x:v>65</x:v>
      </x:c>
      <x:c r="D31" s="22" t="s">
        <x:v>245</x:v>
      </x:c>
      <x:c r="E31" s="22" t="s">
        <x:v>195</x:v>
      </x:c>
      <x:c r="F31" s="22" t="s">
        <x:v>195</x:v>
      </x:c>
      <x:c r="G31" s="22" t="s">
        <x:v>201</x:v>
      </x:c>
      <x:c r="H31" s="22">
        <x:v>5</x:v>
      </x:c>
      <x:c r="I31" s="22">
        <x:v>1</x:v>
      </x:c>
      <x:c r="J31" s="22">
        <x:v>632</x:v>
      </x:c>
      <x:c r="K31" s="23">
        <x:v>156791549953</x:v>
      </x:c>
      <x:c r="L31" s="23">
        <x:v>168772213423</x:v>
      </x:c>
      <x:c r="M31" s="23">
        <x:f>K31-L31</x:f>
      </x:c>
      <x:c r="N31" s="22" t="s">
        <x:v>197</x:v>
      </x:c>
      <x:c r="O31" s="24">
        <x:f>IFERROR(INDEX('تطبیق کل'!$J:$J,MATCH(A31&amp;"",'تطبیق کل'!$A:$A,0))&amp;"","")</x:f>
      </x:c>
      <x:c r="P31" s="24" t="s">
        <x:v>246</x:v>
      </x:c>
      <x:c r="Q31" s="24" t="s">
        <x:v>247</x:v>
      </x:c>
      <x:c r="R31" s="25">
        <x:v>0.35</x:v>
      </x:c>
      <x:c r="S31" s="26"/>
      <x:c r="T31" s="22">
        <x:f>IF(S31="","",IFERROR(INDEX('درخت جدید'!$C:$C,MATCH(S31&amp;"",'درخت جدید'!$B:$B,0)),"—"))</x:f>
      </x:c>
      <x:c r="U31" s="22">
        <x:f>IF(S31="",IF(N31="بله","الزامی — تکمیل نشده",""),IF(AND(O31&lt;&gt;"",LEFT(S31&amp;"",4)&lt;&gt;O31),"زیر کل دیگری است — کل یا معین را اصلاح کنید",IF(COUNTIFS('درخت جدید'!$B:$B,S31&amp;"",'درخت جدید'!$A:$A,"معین")=0,IF(V31="","کد در درخت نیست — نام برای تعریف را بنویسید","OK"),"OK")))</x:f>
      </x:c>
      <x:c r="V31" s="27"/>
      <x:c r="W31" s="28"/>
    </x:row>
    <x:row r="32" spans="1:23">
      <x:c r="A32" s="21" t="s">
        <x:v>64</x:v>
      </x:c>
      <x:c r="B32" s="22" t="s">
        <x:v>202</x:v>
      </x:c>
      <x:c r="C32" s="22" t="s">
        <x:v>65</x:v>
      </x:c>
      <x:c r="D32" s="22" t="s">
        <x:v>248</x:v>
      </x:c>
      <x:c r="E32" s="22" t="s">
        <x:v>195</x:v>
      </x:c>
      <x:c r="F32" s="22" t="s">
        <x:v>195</x:v>
      </x:c>
      <x:c r="G32" s="22" t="s">
        <x:v>196</x:v>
      </x:c>
      <x:c r="H32" s="22">
        <x:v>2</x:v>
      </x:c>
      <x:c r="I32" s="22">
        <x:v>1</x:v>
      </x:c>
      <x:c r="J32" s="22">
        <x:v>6</x:v>
      </x:c>
      <x:c r="K32" s="23">
        <x:v>260000000</x:v>
      </x:c>
      <x:c r="L32" s="23">
        <x:v>252961890</x:v>
      </x:c>
      <x:c r="M32" s="23">
        <x:f>K32-L32</x:f>
      </x:c>
      <x:c r="N32" s="22" t="s">
        <x:v>197</x:v>
      </x:c>
      <x:c r="O32" s="24">
        <x:f>IFERROR(INDEX('تطبیق کل'!$J:$J,MATCH(A32&amp;"",'تطبیق کل'!$A:$A,0))&amp;"","")</x:f>
      </x:c>
      <x:c r="P32" s="24" t="s">
        <x:v>249</x:v>
      </x:c>
      <x:c r="Q32" s="24" t="s">
        <x:v>250</x:v>
      </x:c>
      <x:c r="R32" s="25">
        <x:v>0.35</x:v>
      </x:c>
      <x:c r="S32" s="26"/>
      <x:c r="T32" s="22">
        <x:f>IF(S32="","",IFERROR(INDEX('درخت جدید'!$C:$C,MATCH(S32&amp;"",'درخت جدید'!$B:$B,0)),"—"))</x:f>
      </x:c>
      <x:c r="U32" s="22">
        <x:f>IF(S32="",IF(N32="بله","الزامی — تکمیل نشده",""),IF(AND(O32&lt;&gt;"",LEFT(S32&amp;"",4)&lt;&gt;O32),"زیر کل دیگری است — کل یا معین را اصلاح کنید",IF(COUNTIFS('درخت جدید'!$B:$B,S32&amp;"",'درخت جدید'!$A:$A,"معین")=0,IF(V32="","کد در درخت نیست — نام برای تعریف را بنویسید","OK"),"OK")))</x:f>
      </x:c>
      <x:c r="V32" s="27"/>
      <x:c r="W32" s="28"/>
    </x:row>
    <x:row r="33" spans="1:23">
      <x:c r="A33" s="21" t="s">
        <x:v>71</x:v>
      </x:c>
      <x:c r="B33" s="22" t="s">
        <x:v>251</x:v>
      </x:c>
      <x:c r="C33" s="22" t="s">
        <x:v>72</x:v>
      </x:c>
      <x:c r="D33" s="22" t="s">
        <x:v>252</x:v>
      </x:c>
      <x:c r="E33" s="22" t="s">
        <x:v>196</x:v>
      </x:c>
      <x:c r="F33" s="22" t="s">
        <x:v>195</x:v>
      </x:c>
      <x:c r="G33" s="22" t="s">
        <x:v>201</x:v>
      </x:c>
      <x:c r="H33" s="22">
        <x:v>4</x:v>
      </x:c>
      <x:c r="I33" s="22">
        <x:v>1</x:v>
      </x:c>
      <x:c r="J33" s="22">
        <x:v>56</x:v>
      </x:c>
      <x:c r="K33" s="23">
        <x:v>8930821268</x:v>
      </x:c>
      <x:c r="L33" s="23">
        <x:v>8189750143</x:v>
      </x:c>
      <x:c r="M33" s="23">
        <x:f>K33-L33</x:f>
      </x:c>
      <x:c r="N33" s="22" t="s">
        <x:v>197</x:v>
      </x:c>
      <x:c r="O33" s="24">
        <x:f>IFERROR(INDEX('تطبیق کل'!$J:$J,MATCH(A33&amp;"",'تطبیق کل'!$A:$A,0))&amp;"","")</x:f>
      </x:c>
      <x:c r="P33" s="24" t="s">
        <x:v>253</x:v>
      </x:c>
      <x:c r="Q33" s="24" t="s">
        <x:v>254</x:v>
      </x:c>
      <x:c r="R33" s="25">
        <x:v>0.43</x:v>
      </x:c>
      <x:c r="S33" s="26"/>
      <x:c r="T33" s="22">
        <x:f>IF(S33="","",IFERROR(INDEX('درخت جدید'!$C:$C,MATCH(S33&amp;"",'درخت جدید'!$B:$B,0)),"—"))</x:f>
      </x:c>
      <x:c r="U33" s="22">
        <x:f>IF(S33="",IF(N33="بله","الزامی — تکمیل نشده",""),IF(AND(O33&lt;&gt;"",LEFT(S33&amp;"",4)&lt;&gt;O33),"زیر کل دیگری است — کل یا معین را اصلاح کنید",IF(COUNTIFS('درخت جدید'!$B:$B,S33&amp;"",'درخت جدید'!$A:$A,"معین")=0,IF(V33="","کد در درخت نیست — نام برای تعریف را بنویسید","OK"),"OK")))</x:f>
      </x:c>
      <x:c r="V33" s="27"/>
      <x:c r="W33" s="28"/>
    </x:row>
    <x:row r="34" spans="1:23">
      <x:c r="A34" s="21" t="s">
        <x:v>71</x:v>
      </x:c>
      <x:c r="B34" s="22" t="s">
        <x:v>255</x:v>
      </x:c>
      <x:c r="C34" s="22" t="s">
        <x:v>72</x:v>
      </x:c>
      <x:c r="D34" s="22" t="s">
        <x:v>256</x:v>
      </x:c>
      <x:c r="E34" s="22" t="s">
        <x:v>196</x:v>
      </x:c>
      <x:c r="F34" s="22" t="s">
        <x:v>195</x:v>
      </x:c>
      <x:c r="G34" s="22" t="s">
        <x:v>201</x:v>
      </x:c>
      <x:c r="H34" s="22">
        <x:v>3</x:v>
      </x:c>
      <x:c r="I34" s="22">
        <x:v>1</x:v>
      </x:c>
      <x:c r="J34" s="22">
        <x:v>38</x:v>
      </x:c>
      <x:c r="K34" s="23">
        <x:v>9908144083</x:v>
      </x:c>
      <x:c r="L34" s="23">
        <x:v>9161700930</x:v>
      </x:c>
      <x:c r="M34" s="23">
        <x:f>K34-L34</x:f>
      </x:c>
      <x:c r="N34" s="22" t="s">
        <x:v>197</x:v>
      </x:c>
      <x:c r="O34" s="24">
        <x:f>IFERROR(INDEX('تطبیق کل'!$J:$J,MATCH(A34&amp;"",'تطبیق کل'!$A:$A,0))&amp;"","")</x:f>
      </x:c>
      <x:c r="P34" s="24" t="s">
        <x:v>257</x:v>
      </x:c>
      <x:c r="Q34" s="24" t="s">
        <x:v>258</x:v>
      </x:c>
      <x:c r="R34" s="25">
        <x:v>0.54</x:v>
      </x:c>
      <x:c r="S34" s="26"/>
      <x:c r="T34" s="22">
        <x:f>IF(S34="","",IFERROR(INDEX('درخت جدید'!$C:$C,MATCH(S34&amp;"",'درخت جدید'!$B:$B,0)),"—"))</x:f>
      </x:c>
      <x:c r="U34" s="22">
        <x:f>IF(S34="",IF(N34="بله","الزامی — تکمیل نشده",""),IF(AND(O34&lt;&gt;"",LEFT(S34&amp;"",4)&lt;&gt;O34),"زیر کل دیگری است — کل یا معین را اصلاح کنید",IF(COUNTIFS('درخت جدید'!$B:$B,S34&amp;"",'درخت جدید'!$A:$A,"معین")=0,IF(V34="","کد در درخت نیست — نام برای تعریف را بنویسید","OK"),"OK")))</x:f>
      </x:c>
      <x:c r="V34" s="27"/>
      <x:c r="W34" s="28"/>
    </x:row>
    <x:row r="35" spans="1:23">
      <x:c r="A35" s="21" t="s">
        <x:v>71</x:v>
      </x:c>
      <x:c r="B35" s="22" t="s">
        <x:v>204</x:v>
      </x:c>
      <x:c r="C35" s="22" t="s">
        <x:v>72</x:v>
      </x:c>
      <x:c r="D35" s="22" t="s">
        <x:v>259</x:v>
      </x:c>
      <x:c r="E35" s="22" t="s">
        <x:v>196</x:v>
      </x:c>
      <x:c r="F35" s="22" t="s">
        <x:v>195</x:v>
      </x:c>
      <x:c r="G35" s="22" t="s">
        <x:v>196</x:v>
      </x:c>
      <x:c r="H35" s="22">
        <x:v>2</x:v>
      </x:c>
      <x:c r="I35" s="22">
        <x:v>1</x:v>
      </x:c>
      <x:c r="J35" s="22">
        <x:v>50</x:v>
      </x:c>
      <x:c r="K35" s="23">
        <x:v>747293450</x:v>
      </x:c>
      <x:c r="L35" s="23">
        <x:v>657246050</x:v>
      </x:c>
      <x:c r="M35" s="23">
        <x:f>K35-L35</x:f>
      </x:c>
      <x:c r="N35" s="22" t="s">
        <x:v>197</x:v>
      </x:c>
      <x:c r="O35" s="24">
        <x:f>IFERROR(INDEX('تطبیق کل'!$J:$J,MATCH(A35&amp;"",'تطبیق کل'!$A:$A,0))&amp;"","")</x:f>
      </x:c>
      <x:c r="P35" s="24"/>
      <x:c r="Q35" s="24" t="s">
        <x:v>198</x:v>
      </x:c>
      <x:c r="R35" s="25"/>
      <x:c r="S35" s="26"/>
      <x:c r="T35" s="22">
        <x:f>IF(S35="","",IFERROR(INDEX('درخت جدید'!$C:$C,MATCH(S35&amp;"",'درخت جدید'!$B:$B,0)),"—"))</x:f>
      </x:c>
      <x:c r="U35" s="22">
        <x:f>IF(S35="",IF(N35="بله","الزامی — تکمیل نشده",""),IF(AND(O35&lt;&gt;"",LEFT(S35&amp;"",4)&lt;&gt;O35),"زیر کل دیگری است — کل یا معین را اصلاح کنید",IF(COUNTIFS('درخت جدید'!$B:$B,S35&amp;"",'درخت جدید'!$A:$A,"معین")=0,IF(V35="","کد در درخت نیست — نام برای تعریف را بنویسید","OK"),"OK")))</x:f>
      </x:c>
      <x:c r="V35" s="27"/>
      <x:c r="W35" s="28"/>
    </x:row>
    <x:row r="36" spans="1:23">
      <x:c r="A36" s="21" t="s">
        <x:v>71</x:v>
      </x:c>
      <x:c r="B36" s="22" t="s">
        <x:v>18</x:v>
      </x:c>
      <x:c r="C36" s="22" t="s">
        <x:v>72</x:v>
      </x:c>
      <x:c r="D36" s="22" t="s">
        <x:v>260</x:v>
      </x:c>
      <x:c r="E36" s="22" t="s">
        <x:v>196</x:v>
      </x:c>
      <x:c r="F36" s="22" t="s">
        <x:v>195</x:v>
      </x:c>
      <x:c r="G36" s="22" t="s">
        <x:v>201</x:v>
      </x:c>
      <x:c r="H36" s="22">
        <x:v>2</x:v>
      </x:c>
      <x:c r="I36" s="22">
        <x:v>1</x:v>
      </x:c>
      <x:c r="J36" s="22">
        <x:v>42</x:v>
      </x:c>
      <x:c r="K36" s="23">
        <x:v>3644821751</x:v>
      </x:c>
      <x:c r="L36" s="23">
        <x:v>3360612779</x:v>
      </x:c>
      <x:c r="M36" s="23">
        <x:f>K36-L36</x:f>
      </x:c>
      <x:c r="N36" s="22" t="s">
        <x:v>197</x:v>
      </x:c>
      <x:c r="O36" s="24">
        <x:f>IFERROR(INDEX('تطبیق کل'!$J:$J,MATCH(A36&amp;"",'تطبیق کل'!$A:$A,0))&amp;"","")</x:f>
      </x:c>
      <x:c r="P36" s="24"/>
      <x:c r="Q36" s="24" t="s">
        <x:v>198</x:v>
      </x:c>
      <x:c r="R36" s="25"/>
      <x:c r="S36" s="26"/>
      <x:c r="T36" s="22">
        <x:f>IF(S36="","",IFERROR(INDEX('درخت جدید'!$C:$C,MATCH(S36&amp;"",'درخت جدید'!$B:$B,0)),"—"))</x:f>
      </x:c>
      <x:c r="U36" s="22">
        <x:f>IF(S36="",IF(N36="بله","الزامی — تکمیل نشده",""),IF(AND(O36&lt;&gt;"",LEFT(S36&amp;"",4)&lt;&gt;O36),"زیر کل دیگری است — کل یا معین را اصلاح کنید",IF(COUNTIFS('درخت جدید'!$B:$B,S36&amp;"",'درخت جدید'!$A:$A,"معین")=0,IF(V36="","کد در درخت نیست — نام برای تعریف را بنویسید","OK"),"OK")))</x:f>
      </x:c>
      <x:c r="V36" s="27"/>
      <x:c r="W36" s="28"/>
    </x:row>
    <x:row r="37" spans="1:23">
      <x:c r="A37" s="21" t="s">
        <x:v>71</x:v>
      </x:c>
      <x:c r="B37" s="22" t="s">
        <x:v>24</x:v>
      </x:c>
      <x:c r="C37" s="22" t="s">
        <x:v>72</x:v>
      </x:c>
      <x:c r="D37" s="22" t="s">
        <x:v>261</x:v>
      </x:c>
      <x:c r="E37" s="22" t="s">
        <x:v>196</x:v>
      </x:c>
      <x:c r="F37" s="22" t="s">
        <x:v>195</x:v>
      </x:c>
      <x:c r="G37" s="22" t="s">
        <x:v>201</x:v>
      </x:c>
      <x:c r="H37" s="22">
        <x:v>2</x:v>
      </x:c>
      <x:c r="I37" s="22">
        <x:v>1</x:v>
      </x:c>
      <x:c r="J37" s="22">
        <x:v>4</x:v>
      </x:c>
      <x:c r="K37" s="23">
        <x:v>9138576</x:v>
      </x:c>
      <x:c r="L37" s="23">
        <x:v>9138576</x:v>
      </x:c>
      <x:c r="M37" s="23">
        <x:f>K37-L37</x:f>
      </x:c>
      <x:c r="N37" s="22" t="s">
        <x:v>197</x:v>
      </x:c>
      <x:c r="O37" s="24">
        <x:f>IFERROR(INDEX('تطبیق کل'!$J:$J,MATCH(A37&amp;"",'تطبیق کل'!$A:$A,0))&amp;"","")</x:f>
      </x:c>
      <x:c r="P37" s="24" t="s">
        <x:v>262</x:v>
      </x:c>
      <x:c r="Q37" s="24" t="s">
        <x:v>263</x:v>
      </x:c>
      <x:c r="R37" s="25">
        <x:v>0.36</x:v>
      </x:c>
      <x:c r="S37" s="26"/>
      <x:c r="T37" s="22">
        <x:f>IF(S37="","",IFERROR(INDEX('درخت جدید'!$C:$C,MATCH(S37&amp;"",'درخت جدید'!$B:$B,0)),"—"))</x:f>
      </x:c>
      <x:c r="U37" s="22">
        <x:f>IF(S37="",IF(N37="بله","الزامی — تکمیل نشده",""),IF(AND(O37&lt;&gt;"",LEFT(S37&amp;"",4)&lt;&gt;O37),"زیر کل دیگری است — کل یا معین را اصلاح کنید",IF(COUNTIFS('درخت جدید'!$B:$B,S37&amp;"",'درخت جدید'!$A:$A,"معین")=0,IF(V37="","کد در درخت نیست — نام برای تعریف را بنویسید","OK"),"OK")))</x:f>
      </x:c>
      <x:c r="V37" s="27"/>
      <x:c r="W37" s="28"/>
    </x:row>
    <x:row r="38" spans="1:23">
      <x:c r="A38" s="21" t="s">
        <x:v>71</x:v>
      </x:c>
      <x:c r="B38" s="22" t="s">
        <x:v>27</x:v>
      </x:c>
      <x:c r="C38" s="22" t="s">
        <x:v>72</x:v>
      </x:c>
      <x:c r="D38" s="22" t="s">
        <x:v>264</x:v>
      </x:c>
      <x:c r="E38" s="22" t="s">
        <x:v>196</x:v>
      </x:c>
      <x:c r="F38" s="22" t="s">
        <x:v>195</x:v>
      </x:c>
      <x:c r="G38" s="22" t="s">
        <x:v>201</x:v>
      </x:c>
      <x:c r="H38" s="22">
        <x:v>7</x:v>
      </x:c>
      <x:c r="I38" s="22">
        <x:v>1</x:v>
      </x:c>
      <x:c r="J38" s="22">
        <x:v>57</x:v>
      </x:c>
      <x:c r="K38" s="23">
        <x:v>2168275824</x:v>
      </x:c>
      <x:c r="L38" s="23">
        <x:v>2139409824</x:v>
      </x:c>
      <x:c r="M38" s="23">
        <x:f>K38-L38</x:f>
      </x:c>
      <x:c r="N38" s="22" t="s">
        <x:v>197</x:v>
      </x:c>
      <x:c r="O38" s="24">
        <x:f>IFERROR(INDEX('تطبیق کل'!$J:$J,MATCH(A38&amp;"",'تطبیق کل'!$A:$A,0))&amp;"","")</x:f>
      </x:c>
      <x:c r="P38" s="24" t="s">
        <x:v>257</x:v>
      </x:c>
      <x:c r="Q38" s="24" t="s">
        <x:v>258</x:v>
      </x:c>
      <x:c r="R38" s="25">
        <x:v>0.38</x:v>
      </x:c>
      <x:c r="S38" s="26"/>
      <x:c r="T38" s="22">
        <x:f>IF(S38="","",IFERROR(INDEX('درخت جدید'!$C:$C,MATCH(S38&amp;"",'درخت جدید'!$B:$B,0)),"—"))</x:f>
      </x:c>
      <x:c r="U38" s="22">
        <x:f>IF(S38="",IF(N38="بله","الزامی — تکمیل نشده",""),IF(AND(O38&lt;&gt;"",LEFT(S38&amp;"",4)&lt;&gt;O38),"زیر کل دیگری است — کل یا معین را اصلاح کنید",IF(COUNTIFS('درخت جدید'!$B:$B,S38&amp;"",'درخت جدید'!$A:$A,"معین")=0,IF(V38="","کد در درخت نیست — نام برای تعریف را بنویسید","OK"),"OK")))</x:f>
      </x:c>
      <x:c r="V38" s="27"/>
      <x:c r="W38" s="28"/>
    </x:row>
    <x:row r="39" spans="1:23">
      <x:c r="A39" s="21" t="s">
        <x:v>71</x:v>
      </x:c>
      <x:c r="B39" s="22" t="s">
        <x:v>265</x:v>
      </x:c>
      <x:c r="C39" s="22" t="s">
        <x:v>72</x:v>
      </x:c>
      <x:c r="D39" s="22" t="s">
        <x:v>266</x:v>
      </x:c>
      <x:c r="E39" s="22" t="s">
        <x:v>196</x:v>
      </x:c>
      <x:c r="F39" s="22" t="s">
        <x:v>195</x:v>
      </x:c>
      <x:c r="G39" s="22" t="s">
        <x:v>201</x:v>
      </x:c>
      <x:c r="H39" s="22">
        <x:v>57</x:v>
      </x:c>
      <x:c r="I39" s="22">
        <x:v>7</x:v>
      </x:c>
      <x:c r="J39" s="22">
        <x:v>73</x:v>
      </x:c>
      <x:c r="K39" s="23">
        <x:v>309100805</x:v>
      </x:c>
      <x:c r="L39" s="23">
        <x:v>460754815</x:v>
      </x:c>
      <x:c r="M39" s="23">
        <x:f>K39-L39</x:f>
      </x:c>
      <x:c r="N39" s="22" t="s">
        <x:v>197</x:v>
      </x:c>
      <x:c r="O39" s="24">
        <x:f>IFERROR(INDEX('تطبیق کل'!$J:$J,MATCH(A39&amp;"",'تطبیق کل'!$A:$A,0))&amp;"","")</x:f>
      </x:c>
      <x:c r="P39" s="24" t="s">
        <x:v>267</x:v>
      </x:c>
      <x:c r="Q39" s="24" t="s">
        <x:v>268</x:v>
      </x:c>
      <x:c r="R39" s="25">
        <x:v>0.41</x:v>
      </x:c>
      <x:c r="S39" s="26"/>
      <x:c r="T39" s="22">
        <x:f>IF(S39="","",IFERROR(INDEX('درخت جدید'!$C:$C,MATCH(S39&amp;"",'درخت جدید'!$B:$B,0)),"—"))</x:f>
      </x:c>
      <x:c r="U39" s="22">
        <x:f>IF(S39="",IF(N39="بله","الزامی — تکمیل نشده",""),IF(AND(O39&lt;&gt;"",LEFT(S39&amp;"",4)&lt;&gt;O39),"زیر کل دیگری است — کل یا معین را اصلاح کنید",IF(COUNTIFS('درخت جدید'!$B:$B,S39&amp;"",'درخت جدید'!$A:$A,"معین")=0,IF(V39="","کد در درخت نیست — نام برای تعریف را بنویسید","OK"),"OK")))</x:f>
      </x:c>
      <x:c r="V39" s="27"/>
      <x:c r="W39" s="28"/>
    </x:row>
    <x:row r="40" spans="1:23">
      <x:c r="A40" s="21" t="s">
        <x:v>71</x:v>
      </x:c>
      <x:c r="B40" s="22" t="s">
        <x:v>269</x:v>
      </x:c>
      <x:c r="C40" s="22" t="s">
        <x:v>72</x:v>
      </x:c>
      <x:c r="D40" s="22" t="s">
        <x:v>270</x:v>
      </x:c>
      <x:c r="E40" s="22" t="s">
        <x:v>196</x:v>
      </x:c>
      <x:c r="F40" s="22" t="s">
        <x:v>195</x:v>
      </x:c>
      <x:c r="G40" s="22" t="s">
        <x:v>201</x:v>
      </x:c>
      <x:c r="H40" s="22">
        <x:v>58</x:v>
      </x:c>
      <x:c r="I40" s="22">
        <x:v>7</x:v>
      </x:c>
      <x:c r="J40" s="22">
        <x:v>62</x:v>
      </x:c>
      <x:c r="K40" s="23">
        <x:v>540896630</x:v>
      </x:c>
      <x:c r="L40" s="23">
        <x:v>682782842</x:v>
      </x:c>
      <x:c r="M40" s="23">
        <x:f>K40-L40</x:f>
      </x:c>
      <x:c r="N40" s="22" t="s">
        <x:v>197</x:v>
      </x:c>
      <x:c r="O40" s="24">
        <x:f>IFERROR(INDEX('تطبیق کل'!$J:$J,MATCH(A40&amp;"",'تطبیق کل'!$A:$A,0))&amp;"","")</x:f>
      </x:c>
      <x:c r="P40" s="24"/>
      <x:c r="Q40" s="24" t="s">
        <x:v>198</x:v>
      </x:c>
      <x:c r="R40" s="25"/>
      <x:c r="S40" s="26"/>
      <x:c r="T40" s="22">
        <x:f>IF(S40="","",IFERROR(INDEX('درخت جدید'!$C:$C,MATCH(S40&amp;"",'درخت جدید'!$B:$B,0)),"—"))</x:f>
      </x:c>
      <x:c r="U40" s="22">
        <x:f>IF(S40="",IF(N40="بله","الزامی — تکمیل نشده",""),IF(AND(O40&lt;&gt;"",LEFT(S40&amp;"",4)&lt;&gt;O40),"زیر کل دیگری است — کل یا معین را اصلاح کنید",IF(COUNTIFS('درخت جدید'!$B:$B,S40&amp;"",'درخت جدید'!$A:$A,"معین")=0,IF(V40="","کد در درخت نیست — نام برای تعریف را بنویسید","OK"),"OK")))</x:f>
      </x:c>
      <x:c r="V40" s="27"/>
      <x:c r="W40" s="28"/>
    </x:row>
    <x:row r="41" spans="1:23">
      <x:c r="A41" s="21" t="s">
        <x:v>71</x:v>
      </x:c>
      <x:c r="B41" s="22" t="s">
        <x:v>34</x:v>
      </x:c>
      <x:c r="C41" s="22" t="s">
        <x:v>72</x:v>
      </x:c>
      <x:c r="D41" s="22" t="s">
        <x:v>271</x:v>
      </x:c>
      <x:c r="E41" s="22" t="s">
        <x:v>196</x:v>
      </x:c>
      <x:c r="F41" s="22" t="s">
        <x:v>195</x:v>
      </x:c>
      <x:c r="G41" s="22" t="s">
        <x:v>201</x:v>
      </x:c>
      <x:c r="H41" s="22">
        <x:v>2</x:v>
      </x:c>
      <x:c r="I41" s="22">
        <x:v>1</x:v>
      </x:c>
      <x:c r="J41" s="22">
        <x:v>4</x:v>
      </x:c>
      <x:c r="K41" s="23">
        <x:v>30375840</x:v>
      </x:c>
      <x:c r="L41" s="23">
        <x:v>30375840</x:v>
      </x:c>
      <x:c r="M41" s="23">
        <x:f>K41-L41</x:f>
      </x:c>
      <x:c r="N41" s="22" t="s">
        <x:v>197</x:v>
      </x:c>
      <x:c r="O41" s="24">
        <x:f>IFERROR(INDEX('تطبیق کل'!$J:$J,MATCH(A41&amp;"",'تطبیق کل'!$A:$A,0))&amp;"","")</x:f>
      </x:c>
      <x:c r="P41" s="24" t="s">
        <x:v>272</x:v>
      </x:c>
      <x:c r="Q41" s="24" t="s">
        <x:v>273</x:v>
      </x:c>
      <x:c r="R41" s="25">
        <x:v>0.51</x:v>
      </x:c>
      <x:c r="S41" s="26"/>
      <x:c r="T41" s="22">
        <x:f>IF(S41="","",IFERROR(INDEX('درخت جدید'!$C:$C,MATCH(S41&amp;"",'درخت جدید'!$B:$B,0)),"—"))</x:f>
      </x:c>
      <x:c r="U41" s="22">
        <x:f>IF(S41="",IF(N41="بله","الزامی — تکمیل نشده",""),IF(AND(O41&lt;&gt;"",LEFT(S41&amp;"",4)&lt;&gt;O41),"زیر کل دیگری است — کل یا معین را اصلاح کنید",IF(COUNTIFS('درخت جدید'!$B:$B,S41&amp;"",'درخت جدید'!$A:$A,"معین")=0,IF(V41="","کد در درخت نیست — نام برای تعریف را بنویسید","OK"),"OK")))</x:f>
      </x:c>
      <x:c r="V41" s="27"/>
      <x:c r="W41" s="28"/>
    </x:row>
    <x:row r="42" spans="1:23">
      <x:c r="A42" s="21" t="s">
        <x:v>71</x:v>
      </x:c>
      <x:c r="B42" s="22" t="s">
        <x:v>49</x:v>
      </x:c>
      <x:c r="C42" s="22" t="s">
        <x:v>72</x:v>
      </x:c>
      <x:c r="D42" s="22" t="s">
        <x:v>274</x:v>
      </x:c>
      <x:c r="E42" s="22" t="s">
        <x:v>196</x:v>
      </x:c>
      <x:c r="F42" s="22" t="s">
        <x:v>195</x:v>
      </x:c>
      <x:c r="G42" s="22" t="s">
        <x:v>201</x:v>
      </x:c>
      <x:c r="H42" s="22">
        <x:v>2</x:v>
      </x:c>
      <x:c r="I42" s="22">
        <x:v>1</x:v>
      </x:c>
      <x:c r="J42" s="22">
        <x:v>108</x:v>
      </x:c>
      <x:c r="K42" s="23">
        <x:v>23967732809</x:v>
      </x:c>
      <x:c r="L42" s="23">
        <x:v>19481042406</x:v>
      </x:c>
      <x:c r="M42" s="23">
        <x:f>K42-L42</x:f>
      </x:c>
      <x:c r="N42" s="22" t="s">
        <x:v>197</x:v>
      </x:c>
      <x:c r="O42" s="24">
        <x:f>IFERROR(INDEX('تطبیق کل'!$J:$J,MATCH(A42&amp;"",'تطبیق کل'!$A:$A,0))&amp;"","")</x:f>
      </x:c>
      <x:c r="P42" s="24" t="s">
        <x:v>262</x:v>
      </x:c>
      <x:c r="Q42" s="24" t="s">
        <x:v>263</x:v>
      </x:c>
      <x:c r="R42" s="25">
        <x:v>0.45</x:v>
      </x:c>
      <x:c r="S42" s="26"/>
      <x:c r="T42" s="22">
        <x:f>IF(S42="","",IFERROR(INDEX('درخت جدید'!$C:$C,MATCH(S42&amp;"",'درخت جدید'!$B:$B,0)),"—"))</x:f>
      </x:c>
      <x:c r="U42" s="22">
        <x:f>IF(S42="",IF(N42="بله","الزامی — تکمیل نشده",""),IF(AND(O42&lt;&gt;"",LEFT(S42&amp;"",4)&lt;&gt;O42),"زیر کل دیگری است — کل یا معین را اصلاح کنید",IF(COUNTIFS('درخت جدید'!$B:$B,S42&amp;"",'درخت جدید'!$A:$A,"معین")=0,IF(V42="","کد در درخت نیست — نام برای تعریف را بنویسید","OK"),"OK")))</x:f>
      </x:c>
      <x:c r="V42" s="27"/>
      <x:c r="W42" s="28"/>
    </x:row>
    <x:row r="43" spans="1:23">
      <x:c r="A43" s="21" t="s">
        <x:v>71</x:v>
      </x:c>
      <x:c r="B43" s="22" t="s">
        <x:v>209</x:v>
      </x:c>
      <x:c r="C43" s="22" t="s">
        <x:v>72</x:v>
      </x:c>
      <x:c r="D43" s="22" t="s">
        <x:v>275</x:v>
      </x:c>
      <x:c r="E43" s="22" t="s">
        <x:v>195</x:v>
      </x:c>
      <x:c r="F43" s="22" t="s">
        <x:v>195</x:v>
      </x:c>
      <x:c r="G43" s="22" t="s">
        <x:v>201</x:v>
      </x:c>
      <x:c r="H43" s="22">
        <x:v>1</x:v>
      </x:c>
      <x:c r="I43" s="22">
        <x:v>1</x:v>
      </x:c>
      <x:c r="J43" s="22">
        <x:v>4</x:v>
      </x:c>
      <x:c r="K43" s="23">
        <x:v>15563993500</x:v>
      </x:c>
      <x:c r="L43" s="23">
        <x:v>3000</x:v>
      </x:c>
      <x:c r="M43" s="23">
        <x:f>K43-L43</x:f>
      </x:c>
      <x:c r="N43" s="22" t="s">
        <x:v>197</x:v>
      </x:c>
      <x:c r="O43" s="24">
        <x:f>IFERROR(INDEX('تطبیق کل'!$J:$J,MATCH(A43&amp;"",'تطبیق کل'!$A:$A,0))&amp;"","")</x:f>
      </x:c>
      <x:c r="P43" s="24"/>
      <x:c r="Q43" s="24" t="s">
        <x:v>198</x:v>
      </x:c>
      <x:c r="R43" s="25"/>
      <x:c r="S43" s="26"/>
      <x:c r="T43" s="22">
        <x:f>IF(S43="","",IFERROR(INDEX('درخت جدید'!$C:$C,MATCH(S43&amp;"",'درخت جدید'!$B:$B,0)),"—"))</x:f>
      </x:c>
      <x:c r="U43" s="22">
        <x:f>IF(S43="",IF(N43="بله","الزامی — تکمیل نشده",""),IF(AND(O43&lt;&gt;"",LEFT(S43&amp;"",4)&lt;&gt;O43),"زیر کل دیگری است — کل یا معین را اصلاح کنید",IF(COUNTIFS('درخت جدید'!$B:$B,S43&amp;"",'درخت جدید'!$A:$A,"معین")=0,IF(V43="","کد در درخت نیست — نام برای تعریف را بنویسید","OK"),"OK")))</x:f>
      </x:c>
      <x:c r="V43" s="27"/>
      <x:c r="W43" s="28"/>
    </x:row>
    <x:row r="44" spans="1:23">
      <x:c r="A44" s="21" t="s">
        <x:v>71</x:v>
      </x:c>
      <x:c r="B44" s="22" t="s">
        <x:v>235</x:v>
      </x:c>
      <x:c r="C44" s="22" t="s">
        <x:v>72</x:v>
      </x:c>
      <x:c r="D44" s="22" t="s">
        <x:v>276</x:v>
      </x:c>
      <x:c r="E44" s="22" t="s">
        <x:v>196</x:v>
      </x:c>
      <x:c r="F44" s="22" t="s">
        <x:v>195</x:v>
      </x:c>
      <x:c r="G44" s="22" t="s">
        <x:v>196</x:v>
      </x:c>
      <x:c r="H44" s="22">
        <x:v>4</x:v>
      </x:c>
      <x:c r="I44" s="22">
        <x:v>3</x:v>
      </x:c>
      <x:c r="J44" s="22">
        <x:v>15</x:v>
      </x:c>
      <x:c r="K44" s="23">
        <x:v>113764500</x:v>
      </x:c>
      <x:c r="L44" s="23">
        <x:v>38831625</x:v>
      </x:c>
      <x:c r="M44" s="23">
        <x:f>K44-L44</x:f>
      </x:c>
      <x:c r="N44" s="22" t="s">
        <x:v>197</x:v>
      </x:c>
      <x:c r="O44" s="24">
        <x:f>IFERROR(INDEX('تطبیق کل'!$J:$J,MATCH(A44&amp;"",'تطبیق کل'!$A:$A,0))&amp;"","")</x:f>
      </x:c>
      <x:c r="P44" s="24"/>
      <x:c r="Q44" s="24" t="s">
        <x:v>198</x:v>
      </x:c>
      <x:c r="R44" s="25"/>
      <x:c r="S44" s="26"/>
      <x:c r="T44" s="22">
        <x:f>IF(S44="","",IFERROR(INDEX('درخت جدید'!$C:$C,MATCH(S44&amp;"",'درخت جدید'!$B:$B,0)),"—"))</x:f>
      </x:c>
      <x:c r="U44" s="22">
        <x:f>IF(S44="",IF(N44="بله","الزامی — تکمیل نشده",""),IF(AND(O44&lt;&gt;"",LEFT(S44&amp;"",4)&lt;&gt;O44),"زیر کل دیگری است — کل یا معین را اصلاح کنید",IF(COUNTIFS('درخت جدید'!$B:$B,S44&amp;"",'درخت جدید'!$A:$A,"معین")=0,IF(V44="","کد در درخت نیست — نام برای تعریف را بنویسید","OK"),"OK")))</x:f>
      </x:c>
      <x:c r="V44" s="27"/>
      <x:c r="W44" s="28"/>
    </x:row>
    <x:row r="45" spans="1:23">
      <x:c r="A45" s="21" t="s">
        <x:v>71</x:v>
      </x:c>
      <x:c r="B45" s="22" t="s">
        <x:v>211</x:v>
      </x:c>
      <x:c r="C45" s="22" t="s">
        <x:v>72</x:v>
      </x:c>
      <x:c r="D45" s="22" t="s">
        <x:v>237</x:v>
      </x:c>
      <x:c r="E45" s="22" t="s">
        <x:v>196</x:v>
      </x:c>
      <x:c r="F45" s="22" t="s">
        <x:v>195</x:v>
      </x:c>
      <x:c r="G45" s="22" t="s">
        <x:v>201</x:v>
      </x:c>
      <x:c r="H45" s="22">
        <x:v>810</x:v>
      </x:c>
      <x:c r="I45" s="22">
        <x:v>36</x:v>
      </x:c>
      <x:c r="J45" s="22">
        <x:v>404</x:v>
      </x:c>
      <x:c r="K45" s="23">
        <x:v>68280040718</x:v>
      </x:c>
      <x:c r="L45" s="23">
        <x:v>118215567824</x:v>
      </x:c>
      <x:c r="M45" s="23">
        <x:f>K45-L45</x:f>
      </x:c>
      <x:c r="N45" s="22" t="s">
        <x:v>197</x:v>
      </x:c>
      <x:c r="O45" s="24">
        <x:f>IFERROR(INDEX('تطبیق کل'!$J:$J,MATCH(A45&amp;"",'تطبیق کل'!$A:$A,0))&amp;"","")</x:f>
      </x:c>
      <x:c r="P45" s="24"/>
      <x:c r="Q45" s="24" t="s">
        <x:v>198</x:v>
      </x:c>
      <x:c r="R45" s="25"/>
      <x:c r="S45" s="26"/>
      <x:c r="T45" s="22">
        <x:f>IF(S45="","",IFERROR(INDEX('درخت جدید'!$C:$C,MATCH(S45&amp;"",'درخت جدید'!$B:$B,0)),"—"))</x:f>
      </x:c>
      <x:c r="U45" s="22">
        <x:f>IF(S45="",IF(N45="بله","الزامی — تکمیل نشده",""),IF(AND(O45&lt;&gt;"",LEFT(S45&amp;"",4)&lt;&gt;O45),"زیر کل دیگری است — کل یا معین را اصلاح کنید",IF(COUNTIFS('درخت جدید'!$B:$B,S45&amp;"",'درخت جدید'!$A:$A,"معین")=0,IF(V45="","کد در درخت نیست — نام برای تعریف را بنویسید","OK"),"OK")))</x:f>
      </x:c>
      <x:c r="V45" s="27"/>
      <x:c r="W45" s="28"/>
    </x:row>
    <x:row r="46" spans="1:23">
      <x:c r="A46" s="21" t="s">
        <x:v>71</x:v>
      </x:c>
      <x:c r="B46" s="22" t="s">
        <x:v>86</x:v>
      </x:c>
      <x:c r="C46" s="22" t="s">
        <x:v>72</x:v>
      </x:c>
      <x:c r="D46" s="22" t="s">
        <x:v>277</x:v>
      </x:c>
      <x:c r="E46" s="22" t="s">
        <x:v>196</x:v>
      </x:c>
      <x:c r="F46" s="22" t="s">
        <x:v>195</x:v>
      </x:c>
      <x:c r="G46" s="22" t="s">
        <x:v>201</x:v>
      </x:c>
      <x:c r="H46" s="22">
        <x:v>43</x:v>
      </x:c>
      <x:c r="I46" s="22">
        <x:v>21</x:v>
      </x:c>
      <x:c r="J46" s="22">
        <x:v>281</x:v>
      </x:c>
      <x:c r="K46" s="23">
        <x:v>24649429555</x:v>
      </x:c>
      <x:c r="L46" s="23">
        <x:v>30400455074</x:v>
      </x:c>
      <x:c r="M46" s="23">
        <x:f>K46-L46</x:f>
      </x:c>
      <x:c r="N46" s="22" t="s">
        <x:v>197</x:v>
      </x:c>
      <x:c r="O46" s="24">
        <x:f>IFERROR(INDEX('تطبیق کل'!$J:$J,MATCH(A46&amp;"",'تطبیق کل'!$A:$A,0))&amp;"","")</x:f>
      </x:c>
      <x:c r="P46" s="24" t="s">
        <x:v>278</x:v>
      </x:c>
      <x:c r="Q46" s="24" t="s">
        <x:v>279</x:v>
      </x:c>
      <x:c r="R46" s="25">
        <x:v>0.55</x:v>
      </x:c>
      <x:c r="S46" s="26"/>
      <x:c r="T46" s="22">
        <x:f>IF(S46="","",IFERROR(INDEX('درخت جدید'!$C:$C,MATCH(S46&amp;"",'درخت جدید'!$B:$B,0)),"—"))</x:f>
      </x:c>
      <x:c r="U46" s="22">
        <x:f>IF(S46="",IF(N46="بله","الزامی — تکمیل نشده",""),IF(AND(O46&lt;&gt;"",LEFT(S46&amp;"",4)&lt;&gt;O46),"زیر کل دیگری است — کل یا معین را اصلاح کنید",IF(COUNTIFS('درخت جدید'!$B:$B,S46&amp;"",'درخت جدید'!$A:$A,"معین")=0,IF(V46="","کد در درخت نیست — نام برای تعریف را بنویسید","OK"),"OK")))</x:f>
      </x:c>
      <x:c r="V46" s="27"/>
      <x:c r="W46" s="28"/>
    </x:row>
    <x:row r="47" spans="1:23">
      <x:c r="A47" s="21" t="s">
        <x:v>71</x:v>
      </x:c>
      <x:c r="B47" s="22" t="s">
        <x:v>98</x:v>
      </x:c>
      <x:c r="C47" s="22" t="s">
        <x:v>72</x:v>
      </x:c>
      <x:c r="D47" s="22" t="s">
        <x:v>280</x:v>
      </x:c>
      <x:c r="E47" s="22" t="s">
        <x:v>196</x:v>
      </x:c>
      <x:c r="F47" s="22" t="s">
        <x:v>195</x:v>
      </x:c>
      <x:c r="G47" s="22" t="s">
        <x:v>196</x:v>
      </x:c>
      <x:c r="H47" s="22">
        <x:v>4</x:v>
      </x:c>
      <x:c r="I47" s="22">
        <x:v>3</x:v>
      </x:c>
      <x:c r="J47" s="22">
        <x:v>47</x:v>
      </x:c>
      <x:c r="K47" s="23">
        <x:v>4203422088</x:v>
      </x:c>
      <x:c r="L47" s="23">
        <x:v>4626577787</x:v>
      </x:c>
      <x:c r="M47" s="23">
        <x:f>K47-L47</x:f>
      </x:c>
      <x:c r="N47" s="22" t="s">
        <x:v>197</x:v>
      </x:c>
      <x:c r="O47" s="24">
        <x:f>IFERROR(INDEX('تطبیق کل'!$J:$J,MATCH(A47&amp;"",'تطبیق کل'!$A:$A,0))&amp;"","")</x:f>
      </x:c>
      <x:c r="P47" s="24"/>
      <x:c r="Q47" s="24" t="s">
        <x:v>198</x:v>
      </x:c>
      <x:c r="R47" s="25"/>
      <x:c r="S47" s="26"/>
      <x:c r="T47" s="22">
        <x:f>IF(S47="","",IFERROR(INDEX('درخت جدید'!$C:$C,MATCH(S47&amp;"",'درخت جدید'!$B:$B,0)),"—"))</x:f>
      </x:c>
      <x:c r="U47" s="22">
        <x:f>IF(S47="",IF(N47="بله","الزامی — تکمیل نشده",""),IF(AND(O47&lt;&gt;"",LEFT(S47&amp;"",4)&lt;&gt;O47),"زیر کل دیگری است — کل یا معین را اصلاح کنید",IF(COUNTIFS('درخت جدید'!$B:$B,S47&amp;"",'درخت جدید'!$A:$A,"معین")=0,IF(V47="","کد در درخت نیست — نام برای تعریف را بنویسید","OK"),"OK")))</x:f>
      </x:c>
      <x:c r="V47" s="27"/>
      <x:c r="W47" s="28"/>
    </x:row>
    <x:row r="48" spans="1:23">
      <x:c r="A48" s="21" t="s">
        <x:v>71</x:v>
      </x:c>
      <x:c r="B48" s="22" t="s">
        <x:v>105</x:v>
      </x:c>
      <x:c r="C48" s="22" t="s">
        <x:v>72</x:v>
      </x:c>
      <x:c r="D48" s="22" t="s">
        <x:v>239</x:v>
      </x:c>
      <x:c r="E48" s="22" t="s">
        <x:v>196</x:v>
      </x:c>
      <x:c r="F48" s="22" t="s">
        <x:v>195</x:v>
      </x:c>
      <x:c r="G48" s="22" t="s">
        <x:v>196</x:v>
      </x:c>
      <x:c r="H48" s="22">
        <x:v>78</x:v>
      </x:c>
      <x:c r="I48" s="22">
        <x:v>14</x:v>
      </x:c>
      <x:c r="J48" s="22">
        <x:v>83</x:v>
      </x:c>
      <x:c r="K48" s="23">
        <x:v>10813568197</x:v>
      </x:c>
      <x:c r="L48" s="23">
        <x:v>11250513304</x:v>
      </x:c>
      <x:c r="M48" s="23">
        <x:f>K48-L48</x:f>
      </x:c>
      <x:c r="N48" s="22" t="s">
        <x:v>197</x:v>
      </x:c>
      <x:c r="O48" s="24">
        <x:f>IFERROR(INDEX('تطبیق کل'!$J:$J,MATCH(A48&amp;"",'تطبیق کل'!$A:$A,0))&amp;"","")</x:f>
      </x:c>
      <x:c r="P48" s="24" t="s">
        <x:v>281</x:v>
      </x:c>
      <x:c r="Q48" s="24" t="s">
        <x:v>282</x:v>
      </x:c>
      <x:c r="R48" s="25">
        <x:v>0.36</x:v>
      </x:c>
      <x:c r="S48" s="26"/>
      <x:c r="T48" s="22">
        <x:f>IF(S48="","",IFERROR(INDEX('درخت جدید'!$C:$C,MATCH(S48&amp;"",'درخت جدید'!$B:$B,0)),"—"))</x:f>
      </x:c>
      <x:c r="U48" s="22">
        <x:f>IF(S48="",IF(N48="بله","الزامی — تکمیل نشده",""),IF(AND(O48&lt;&gt;"",LEFT(S48&amp;"",4)&lt;&gt;O48),"زیر کل دیگری است — کل یا معین را اصلاح کنید",IF(COUNTIFS('درخت جدید'!$B:$B,S48&amp;"",'درخت جدید'!$A:$A,"معین")=0,IF(V48="","کد در درخت نیست — نام برای تعریف را بنویسید","OK"),"OK")))</x:f>
      </x:c>
      <x:c r="V48" s="27"/>
      <x:c r="W48" s="28"/>
    </x:row>
    <x:row r="49" spans="1:23">
      <x:c r="A49" s="21" t="s">
        <x:v>71</x:v>
      </x:c>
      <x:c r="B49" s="22" t="s">
        <x:v>163</x:v>
      </x:c>
      <x:c r="C49" s="22" t="s">
        <x:v>72</x:v>
      </x:c>
      <x:c r="D49" s="22" t="s">
        <x:v>283</x:v>
      </x:c>
      <x:c r="E49" s="22" t="s">
        <x:v>195</x:v>
      </x:c>
      <x:c r="F49" s="22" t="s">
        <x:v>195</x:v>
      </x:c>
      <x:c r="G49" s="22" t="s">
        <x:v>201</x:v>
      </x:c>
      <x:c r="H49" s="22">
        <x:v>1</x:v>
      </x:c>
      <x:c r="I49" s="22">
        <x:v>1</x:v>
      </x:c>
      <x:c r="J49" s="22">
        <x:v>1</x:v>
      </x:c>
      <x:c r="K49" s="23">
        <x:v>0</x:v>
      </x:c>
      <x:c r="L49" s="23">
        <x:v>7000000</x:v>
      </x:c>
      <x:c r="M49" s="23">
        <x:f>K49-L49</x:f>
      </x:c>
      <x:c r="N49" s="22" t="s">
        <x:v>197</x:v>
      </x:c>
      <x:c r="O49" s="24">
        <x:f>IFERROR(INDEX('تطبیق کل'!$J:$J,MATCH(A49&amp;"",'تطبیق کل'!$A:$A,0))&amp;"","")</x:f>
      </x:c>
      <x:c r="P49" s="24"/>
      <x:c r="Q49" s="24" t="s">
        <x:v>198</x:v>
      </x:c>
      <x:c r="R49" s="25"/>
      <x:c r="S49" s="26"/>
      <x:c r="T49" s="22">
        <x:f>IF(S49="","",IFERROR(INDEX('درخت جدید'!$C:$C,MATCH(S49&amp;"",'درخت جدید'!$B:$B,0)),"—"))</x:f>
      </x:c>
      <x:c r="U49" s="22">
        <x:f>IF(S49="",IF(N49="بله","الزامی — تکمیل نشده",""),IF(AND(O49&lt;&gt;"",LEFT(S49&amp;"",4)&lt;&gt;O49),"زیر کل دیگری است — کل یا معین را اصلاح کنید",IF(COUNTIFS('درخت جدید'!$B:$B,S49&amp;"",'درخت جدید'!$A:$A,"معین")=0,IF(V49="","کد در درخت نیست — نام برای تعریف را بنویسید","OK"),"OK")))</x:f>
      </x:c>
      <x:c r="V49" s="27"/>
      <x:c r="W49" s="28"/>
    </x:row>
    <x:row r="50" spans="1:23">
      <x:c r="A50" s="21" t="s">
        <x:v>74</x:v>
      </x:c>
      <x:c r="B50" s="22" t="s">
        <x:v>235</x:v>
      </x:c>
      <x:c r="C50" s="22" t="s">
        <x:v>75</x:v>
      </x:c>
      <x:c r="D50" s="22" t="s">
        <x:v>284</x:v>
      </x:c>
      <x:c r="E50" s="22" t="s">
        <x:v>195</x:v>
      </x:c>
      <x:c r="F50" s="22" t="s">
        <x:v>195</x:v>
      </x:c>
      <x:c r="G50" s="22" t="s">
        <x:v>201</x:v>
      </x:c>
      <x:c r="H50" s="22">
        <x:v>1</x:v>
      </x:c>
      <x:c r="I50" s="22">
        <x:v>1</x:v>
      </x:c>
      <x:c r="J50" s="22">
        <x:v>7</x:v>
      </x:c>
      <x:c r="K50" s="23">
        <x:v>526001</x:v>
      </x:c>
      <x:c r="L50" s="23">
        <x:v>67104000</x:v>
      </x:c>
      <x:c r="M50" s="23">
        <x:f>K50-L50</x:f>
      </x:c>
      <x:c r="N50" s="22" t="s">
        <x:v>197</x:v>
      </x:c>
      <x:c r="O50" s="24">
        <x:f>IFERROR(INDEX('تطبیق کل'!$J:$J,MATCH(A50&amp;"",'تطبیق کل'!$A:$A,0))&amp;"","")</x:f>
      </x:c>
      <x:c r="P50" s="24"/>
      <x:c r="Q50" s="24" t="s">
        <x:v>198</x:v>
      </x:c>
      <x:c r="R50" s="25"/>
      <x:c r="S50" s="26"/>
      <x:c r="T50" s="22">
        <x:f>IF(S50="","",IFERROR(INDEX('درخت جدید'!$C:$C,MATCH(S50&amp;"",'درخت جدید'!$B:$B,0)),"—"))</x:f>
      </x:c>
      <x:c r="U50" s="22">
        <x:f>IF(S50="",IF(N50="بله","الزامی — تکمیل نشده",""),IF(AND(O50&lt;&gt;"",LEFT(S50&amp;"",4)&lt;&gt;O50),"زیر کل دیگری است — کل یا معین را اصلاح کنید",IF(COUNTIFS('درخت جدید'!$B:$B,S50&amp;"",'درخت جدید'!$A:$A,"معین")=0,IF(V50="","کد در درخت نیست — نام برای تعریف را بنویسید","OK"),"OK")))</x:f>
      </x:c>
      <x:c r="V50" s="27"/>
      <x:c r="W50" s="28"/>
    </x:row>
    <x:row r="51" spans="1:23">
      <x:c r="A51" s="21" t="s">
        <x:v>82</x:v>
      </x:c>
      <x:c r="B51" s="22" t="s">
        <x:v>156</x:v>
      </x:c>
      <x:c r="C51" s="22" t="s">
        <x:v>83</x:v>
      </x:c>
      <x:c r="D51" s="22" t="s">
        <x:v>285</x:v>
      </x:c>
      <x:c r="E51" s="22" t="s">
        <x:v>195</x:v>
      </x:c>
      <x:c r="F51" s="22" t="s">
        <x:v>195</x:v>
      </x:c>
      <x:c r="G51" s="22" t="s">
        <x:v>201</x:v>
      </x:c>
      <x:c r="H51" s="22">
        <x:v>64</x:v>
      </x:c>
      <x:c r="I51" s="22">
        <x:v>56</x:v>
      </x:c>
      <x:c r="J51" s="22">
        <x:v>271</x:v>
      </x:c>
      <x:c r="K51" s="23">
        <x:v>392055980759</x:v>
      </x:c>
      <x:c r="L51" s="23">
        <x:v>153138478529</x:v>
      </x:c>
      <x:c r="M51" s="23">
        <x:f>K51-L51</x:f>
      </x:c>
      <x:c r="N51" s="22" t="s">
        <x:v>197</x:v>
      </x:c>
      <x:c r="O51" s="24">
        <x:f>IFERROR(INDEX('تطبیق کل'!$J:$J,MATCH(A51&amp;"",'تطبیق کل'!$A:$A,0))&amp;"","")</x:f>
      </x:c>
      <x:c r="P51" s="24" t="s">
        <x:v>257</x:v>
      </x:c>
      <x:c r="Q51" s="24" t="s">
        <x:v>258</x:v>
      </x:c>
      <x:c r="R51" s="25">
        <x:v>0.4</x:v>
      </x:c>
      <x:c r="S51" s="26"/>
      <x:c r="T51" s="22">
        <x:f>IF(S51="","",IFERROR(INDEX('درخت جدید'!$C:$C,MATCH(S51&amp;"",'درخت جدید'!$B:$B,0)),"—"))</x:f>
      </x:c>
      <x:c r="U51" s="22">
        <x:f>IF(S51="",IF(N51="بله","الزامی — تکمیل نشده",""),IF(AND(O51&lt;&gt;"",LEFT(S51&amp;"",4)&lt;&gt;O51),"زیر کل دیگری است — کل یا معین را اصلاح کنید",IF(COUNTIFS('درخت جدید'!$B:$B,S51&amp;"",'درخت جدید'!$A:$A,"معین")=0,IF(V51="","کد در درخت نیست — نام برای تعریف را بنویسید","OK"),"OK")))</x:f>
      </x:c>
      <x:c r="V51" s="27"/>
      <x:c r="W51" s="28"/>
    </x:row>
    <x:row r="52" spans="1:23">
      <x:c r="A52" s="21" t="s">
        <x:v>82</x:v>
      </x:c>
      <x:c r="B52" s="22" t="s">
        <x:v>286</x:v>
      </x:c>
      <x:c r="C52" s="22" t="s">
        <x:v>83</x:v>
      </x:c>
      <x:c r="D52" s="22" t="s">
        <x:v>287</x:v>
      </x:c>
      <x:c r="E52" s="22" t="s">
        <x:v>195</x:v>
      </x:c>
      <x:c r="F52" s="22" t="s">
        <x:v>195</x:v>
      </x:c>
      <x:c r="G52" s="22" t="s">
        <x:v>196</x:v>
      </x:c>
      <x:c r="H52" s="22">
        <x:v>63</x:v>
      </x:c>
      <x:c r="I52" s="22">
        <x:v>55</x:v>
      </x:c>
      <x:c r="J52" s="22">
        <x:v>268</x:v>
      </x:c>
      <x:c r="K52" s="23">
        <x:v>30343145430</x:v>
      </x:c>
      <x:c r="L52" s="23">
        <x:v>11526698763</x:v>
      </x:c>
      <x:c r="M52" s="23">
        <x:f>K52-L52</x:f>
      </x:c>
      <x:c r="N52" s="22" t="s">
        <x:v>197</x:v>
      </x:c>
      <x:c r="O52" s="24">
        <x:f>IFERROR(INDEX('تطبیق کل'!$J:$J,MATCH(A52&amp;"",'تطبیق کل'!$A:$A,0))&amp;"","")</x:f>
      </x:c>
      <x:c r="P52" s="24"/>
      <x:c r="Q52" s="24" t="s">
        <x:v>198</x:v>
      </x:c>
      <x:c r="R52" s="25"/>
      <x:c r="S52" s="26"/>
      <x:c r="T52" s="22">
        <x:f>IF(S52="","",IFERROR(INDEX('درخت جدید'!$C:$C,MATCH(S52&amp;"",'درخت جدید'!$B:$B,0)),"—"))</x:f>
      </x:c>
      <x:c r="U52" s="22">
        <x:f>IF(S52="",IF(N52="بله","الزامی — تکمیل نشده",""),IF(AND(O52&lt;&gt;"",LEFT(S52&amp;"",4)&lt;&gt;O52),"زیر کل دیگری است — کل یا معین را اصلاح کنید",IF(COUNTIFS('درخت جدید'!$B:$B,S52&amp;"",'درخت جدید'!$A:$A,"معین")=0,IF(V52="","کد در درخت نیست — نام برای تعریف را بنویسید","OK"),"OK")))</x:f>
      </x:c>
      <x:c r="V52" s="27"/>
      <x:c r="W52" s="28"/>
    </x:row>
    <x:row r="53" spans="1:23">
      <x:c r="A53" s="21" t="s">
        <x:v>86</x:v>
      </x:c>
      <x:c r="B53" s="22" t="s">
        <x:v>204</x:v>
      </x:c>
      <x:c r="C53" s="22" t="s">
        <x:v>87</x:v>
      </x:c>
      <x:c r="D53" s="22" t="s">
        <x:v>288</x:v>
      </x:c>
      <x:c r="E53" s="22" t="s">
        <x:v>196</x:v>
      </x:c>
      <x:c r="F53" s="22" t="s">
        <x:v>196</x:v>
      </x:c>
      <x:c r="G53" s="22" t="s">
        <x:v>196</x:v>
      </x:c>
      <x:c r="H53" s="22">
        <x:v>1</x:v>
      </x:c>
      <x:c r="I53" s="22">
        <x:v>1</x:v>
      </x:c>
      <x:c r="J53" s="22">
        <x:v>1</x:v>
      </x:c>
      <x:c r="K53" s="23">
        <x:v>0</x:v>
      </x:c>
      <x:c r="L53" s="23">
        <x:v>1</x:v>
      </x:c>
      <x:c r="M53" s="23">
        <x:f>K53-L53</x:f>
      </x:c>
      <x:c r="N53" s="22" t="s">
        <x:v>197</x:v>
      </x:c>
      <x:c r="O53" s="24">
        <x:f>IFERROR(INDEX('تطبیق کل'!$J:$J,MATCH(A53&amp;"",'تطبیق کل'!$A:$A,0))&amp;"","")</x:f>
      </x:c>
      <x:c r="P53" s="24"/>
      <x:c r="Q53" s="24" t="s">
        <x:v>198</x:v>
      </x:c>
      <x:c r="R53" s="25"/>
      <x:c r="S53" s="26"/>
      <x:c r="T53" s="22">
        <x:f>IF(S53="","",IFERROR(INDEX('درخت جدید'!$C:$C,MATCH(S53&amp;"",'درخت جدید'!$B:$B,0)),"—"))</x:f>
      </x:c>
      <x:c r="U53" s="22">
        <x:f>IF(S53="",IF(N53="بله","الزامی — تکمیل نشده",""),IF(AND(O53&lt;&gt;"",LEFT(S53&amp;"",4)&lt;&gt;O53),"زیر کل دیگری است — کل یا معین را اصلاح کنید",IF(COUNTIFS('درخت جدید'!$B:$B,S53&amp;"",'درخت جدید'!$A:$A,"معین")=0,IF(V53="","کد در درخت نیست — نام برای تعریف را بنویسید","OK"),"OK")))</x:f>
      </x:c>
      <x:c r="V53" s="27"/>
      <x:c r="W53" s="28"/>
    </x:row>
    <x:row r="54" spans="1:23">
      <x:c r="A54" s="21" t="s">
        <x:v>98</x:v>
      </x:c>
      <x:c r="B54" s="22" t="s">
        <x:v>199</x:v>
      </x:c>
      <x:c r="C54" s="22" t="s">
        <x:v>99</x:v>
      </x:c>
      <x:c r="D54" s="22" t="s">
        <x:v>289</x:v>
      </x:c>
      <x:c r="E54" s="22" t="s">
        <x:v>196</x:v>
      </x:c>
      <x:c r="F54" s="22" t="s">
        <x:v>196</x:v>
      </x:c>
      <x:c r="G54" s="22" t="s">
        <x:v>201</x:v>
      </x:c>
      <x:c r="H54" s="22">
        <x:v>1</x:v>
      </x:c>
      <x:c r="I54" s="22">
        <x:v>1</x:v>
      </x:c>
      <x:c r="J54" s="22">
        <x:v>2</x:v>
      </x:c>
      <x:c r="K54" s="23">
        <x:v>2020000</x:v>
      </x:c>
      <x:c r="L54" s="23">
        <x:v>2020000</x:v>
      </x:c>
      <x:c r="M54" s="23">
        <x:f>K54-L54</x:f>
      </x:c>
      <x:c r="N54" s="22" t="s">
        <x:v>197</x:v>
      </x:c>
      <x:c r="O54" s="24">
        <x:f>IFERROR(INDEX('تطبیق کل'!$J:$J,MATCH(A54&amp;"",'تطبیق کل'!$A:$A,0))&amp;"","")</x:f>
      </x:c>
      <x:c r="P54" s="24" t="s">
        <x:v>290</x:v>
      </x:c>
      <x:c r="Q54" s="24" t="s">
        <x:v>291</x:v>
      </x:c>
      <x:c r="R54" s="25">
        <x:v>0.45</x:v>
      </x:c>
      <x:c r="S54" s="26"/>
      <x:c r="T54" s="22">
        <x:f>IF(S54="","",IFERROR(INDEX('درخت جدید'!$C:$C,MATCH(S54&amp;"",'درخت جدید'!$B:$B,0)),"—"))</x:f>
      </x:c>
      <x:c r="U54" s="22">
        <x:f>IF(S54="",IF(N54="بله","الزامی — تکمیل نشده",""),IF(AND(O54&lt;&gt;"",LEFT(S54&amp;"",4)&lt;&gt;O54),"زیر کل دیگری است — کل یا معین را اصلاح کنید",IF(COUNTIFS('درخت جدید'!$B:$B,S54&amp;"",'درخت جدید'!$A:$A,"معین")=0,IF(V54="","کد در درخت نیست — نام برای تعریف را بنویسید","OK"),"OK")))</x:f>
      </x:c>
      <x:c r="V54" s="27"/>
      <x:c r="W54" s="28"/>
    </x:row>
    <x:row r="55" spans="1:23">
      <x:c r="A55" s="21" t="s">
        <x:v>102</x:v>
      </x:c>
      <x:c r="B55" s="22" t="s">
        <x:v>292</x:v>
      </x:c>
      <x:c r="C55" s="22" t="s">
        <x:v>103</x:v>
      </x:c>
      <x:c r="D55" s="22" t="s">
        <x:v>293</x:v>
      </x:c>
      <x:c r="E55" s="22" t="s">
        <x:v>196</x:v>
      </x:c>
      <x:c r="F55" s="22" t="s">
        <x:v>196</x:v>
      </x:c>
      <x:c r="G55" s="22" t="s">
        <x:v>201</x:v>
      </x:c>
      <x:c r="H55" s="22">
        <x:v>5</x:v>
      </x:c>
      <x:c r="I55" s="22">
        <x:v>2</x:v>
      </x:c>
      <x:c r="J55" s="22">
        <x:v>60</x:v>
      </x:c>
      <x:c r="K55" s="23">
        <x:v>1403809200</x:v>
      </x:c>
      <x:c r="L55" s="23">
        <x:v>1403809200</x:v>
      </x:c>
      <x:c r="M55" s="23">
        <x:f>K55-L55</x:f>
      </x:c>
      <x:c r="N55" s="22" t="s">
        <x:v>197</x:v>
      </x:c>
      <x:c r="O55" s="24">
        <x:f>IFERROR(INDEX('تطبیق کل'!$J:$J,MATCH(A55&amp;"",'تطبیق کل'!$A:$A,0))&amp;"","")</x:f>
      </x:c>
      <x:c r="P55" s="24" t="s">
        <x:v>294</x:v>
      </x:c>
      <x:c r="Q55" s="24" t="s">
        <x:v>295</x:v>
      </x:c>
      <x:c r="R55" s="25">
        <x:v>0.35</x:v>
      </x:c>
      <x:c r="S55" s="26"/>
      <x:c r="T55" s="22">
        <x:f>IF(S55="","",IFERROR(INDEX('درخت جدید'!$C:$C,MATCH(S55&amp;"",'درخت جدید'!$B:$B,0)),"—"))</x:f>
      </x:c>
      <x:c r="U55" s="22">
        <x:f>IF(S55="",IF(N55="بله","الزامی — تکمیل نشده",""),IF(AND(O55&lt;&gt;"",LEFT(S55&amp;"",4)&lt;&gt;O55),"زیر کل دیگری است — کل یا معین را اصلاح کنید",IF(COUNTIFS('درخت جدید'!$B:$B,S55&amp;"",'درخت جدید'!$A:$A,"معین")=0,IF(V55="","کد در درخت نیست — نام برای تعریف را بنویسید","OK"),"OK")))</x:f>
      </x:c>
      <x:c r="V55" s="27"/>
      <x:c r="W55" s="28"/>
    </x:row>
    <x:row r="56" spans="1:23">
      <x:c r="A56" s="21" t="s">
        <x:v>102</x:v>
      </x:c>
      <x:c r="B56" s="22" t="s">
        <x:v>211</x:v>
      </x:c>
      <x:c r="C56" s="22" t="s">
        <x:v>103</x:v>
      </x:c>
      <x:c r="D56" s="22" t="s">
        <x:v>296</x:v>
      </x:c>
      <x:c r="E56" s="22" t="s">
        <x:v>196</x:v>
      </x:c>
      <x:c r="F56" s="22" t="s">
        <x:v>196</x:v>
      </x:c>
      <x:c r="G56" s="22" t="s">
        <x:v>201</x:v>
      </x:c>
      <x:c r="H56" s="22">
        <x:v>1</x:v>
      </x:c>
      <x:c r="I56" s="22">
        <x:v>1</x:v>
      </x:c>
      <x:c r="J56" s="22">
        <x:v>5</x:v>
      </x:c>
      <x:c r="K56" s="23">
        <x:v>62865000</x:v>
      </x:c>
      <x:c r="L56" s="23">
        <x:v>62865000</x:v>
      </x:c>
      <x:c r="M56" s="23">
        <x:f>K56-L56</x:f>
      </x:c>
      <x:c r="N56" s="22" t="s">
        <x:v>197</x:v>
      </x:c>
      <x:c r="O56" s="24">
        <x:f>IFERROR(INDEX('تطبیق کل'!$J:$J,MATCH(A56&amp;"",'تطبیق کل'!$A:$A,0))&amp;"","")</x:f>
      </x:c>
      <x:c r="P56" s="24" t="s">
        <x:v>297</x:v>
      </x:c>
      <x:c r="Q56" s="24" t="s">
        <x:v>298</x:v>
      </x:c>
      <x:c r="R56" s="25">
        <x:v>0.35</x:v>
      </x:c>
      <x:c r="S56" s="26"/>
      <x:c r="T56" s="22">
        <x:f>IF(S56="","",IFERROR(INDEX('درخت جدید'!$C:$C,MATCH(S56&amp;"",'درخت جدید'!$B:$B,0)),"—"))</x:f>
      </x:c>
      <x:c r="U56" s="22">
        <x:f>IF(S56="",IF(N56="بله","الزامی — تکمیل نشده",""),IF(AND(O56&lt;&gt;"",LEFT(S56&amp;"",4)&lt;&gt;O56),"زیر کل دیگری است — کل یا معین را اصلاح کنید",IF(COUNTIFS('درخت جدید'!$B:$B,S56&amp;"",'درخت جدید'!$A:$A,"معین")=0,IF(V56="","کد در درخت نیست — نام برای تعریف را بنویسید","OK"),"OK")))</x:f>
      </x:c>
      <x:c r="V56" s="27"/>
      <x:c r="W56" s="28"/>
    </x:row>
    <x:row r="57" spans="1:23">
      <x:c r="A57" s="21" t="s">
        <x:v>102</x:v>
      </x:c>
      <x:c r="B57" s="22" t="s">
        <x:v>102</x:v>
      </x:c>
      <x:c r="C57" s="22" t="s">
        <x:v>103</x:v>
      </x:c>
      <x:c r="D57" s="22" t="s">
        <x:v>299</x:v>
      </x:c>
      <x:c r="E57" s="22" t="s">
        <x:v>196</x:v>
      </x:c>
      <x:c r="F57" s="22" t="s">
        <x:v>196</x:v>
      </x:c>
      <x:c r="G57" s="22" t="s">
        <x:v>201</x:v>
      </x:c>
      <x:c r="H57" s="22">
        <x:v>1</x:v>
      </x:c>
      <x:c r="I57" s="22">
        <x:v>1</x:v>
      </x:c>
      <x:c r="J57" s="22">
        <x:v>2</x:v>
      </x:c>
      <x:c r="K57" s="23">
        <x:v>52585000</x:v>
      </x:c>
      <x:c r="L57" s="23">
        <x:v>52585000</x:v>
      </x:c>
      <x:c r="M57" s="23">
        <x:f>K57-L57</x:f>
      </x:c>
      <x:c r="N57" s="22" t="s">
        <x:v>197</x:v>
      </x:c>
      <x:c r="O57" s="24">
        <x:f>IFERROR(INDEX('تطبیق کل'!$J:$J,MATCH(A57&amp;"",'تطبیق کل'!$A:$A,0))&amp;"","")</x:f>
      </x:c>
      <x:c r="P57" s="24" t="s">
        <x:v>300</x:v>
      </x:c>
      <x:c r="Q57" s="24" t="s">
        <x:v>301</x:v>
      </x:c>
      <x:c r="R57" s="25">
        <x:v>0.61</x:v>
      </x:c>
      <x:c r="S57" s="26"/>
      <x:c r="T57" s="22">
        <x:f>IF(S57="","",IFERROR(INDEX('درخت جدید'!$C:$C,MATCH(S57&amp;"",'درخت جدید'!$B:$B,0)),"—"))</x:f>
      </x:c>
      <x:c r="U57" s="22">
        <x:f>IF(S57="",IF(N57="بله","الزامی — تکمیل نشده",""),IF(AND(O57&lt;&gt;"",LEFT(S57&amp;"",4)&lt;&gt;O57),"زیر کل دیگری است — کل یا معین را اصلاح کنید",IF(COUNTIFS('درخت جدید'!$B:$B,S57&amp;"",'درخت جدید'!$A:$A,"معین")=0,IF(V57="","کد در درخت نیست — نام برای تعریف را بنویسید","OK"),"OK")))</x:f>
      </x:c>
      <x:c r="V57" s="27"/>
      <x:c r="W57" s="28"/>
    </x:row>
    <x:row r="58" spans="1:23">
      <x:c r="A58" s="21" t="s">
        <x:v>116</x:v>
      </x:c>
      <x:c r="B58" s="22" t="s">
        <x:v>27</x:v>
      </x:c>
      <x:c r="C58" s="22" t="s">
        <x:v>117</x:v>
      </x:c>
      <x:c r="D58" s="22" t="s">
        <x:v>302</x:v>
      </x:c>
      <x:c r="E58" s="22" t="s">
        <x:v>195</x:v>
      </x:c>
      <x:c r="F58" s="22" t="s">
        <x:v>196</x:v>
      </x:c>
      <x:c r="G58" s="22" t="s">
        <x:v>201</x:v>
      </x:c>
      <x:c r="H58" s="22">
        <x:v>6</x:v>
      </x:c>
      <x:c r="I58" s="22">
        <x:v>1</x:v>
      </x:c>
      <x:c r="J58" s="22">
        <x:v>2</x:v>
      </x:c>
      <x:c r="K58" s="23">
        <x:v>27604800</x:v>
      </x:c>
      <x:c r="L58" s="23">
        <x:v>27604800</x:v>
      </x:c>
      <x:c r="M58" s="23">
        <x:f>K58-L58</x:f>
      </x:c>
      <x:c r="N58" s="22" t="s">
        <x:v>197</x:v>
      </x:c>
      <x:c r="O58" s="24">
        <x:f>IFERROR(INDEX('تطبیق کل'!$J:$J,MATCH(A58&amp;"",'تطبیق کل'!$A:$A,0))&amp;"","")</x:f>
      </x:c>
      <x:c r="P58" s="24" t="s">
        <x:v>303</x:v>
      </x:c>
      <x:c r="Q58" s="24" t="s">
        <x:v>304</x:v>
      </x:c>
      <x:c r="R58" s="25">
        <x:v>0.64</x:v>
      </x:c>
      <x:c r="S58" s="26"/>
      <x:c r="T58" s="22">
        <x:f>IF(S58="","",IFERROR(INDEX('درخت جدید'!$C:$C,MATCH(S58&amp;"",'درخت جدید'!$B:$B,0)),"—"))</x:f>
      </x:c>
      <x:c r="U58" s="22">
        <x:f>IF(S58="",IF(N58="بله","الزامی — تکمیل نشده",""),IF(AND(O58&lt;&gt;"",LEFT(S58&amp;"",4)&lt;&gt;O58),"زیر کل دیگری است — کل یا معین را اصلاح کنید",IF(COUNTIFS('درخت جدید'!$B:$B,S58&amp;"",'درخت جدید'!$A:$A,"معین")=0,IF(V58="","کد در درخت نیست — نام برای تعریف را بنویسید","OK"),"OK")))</x:f>
      </x:c>
      <x:c r="V58" s="27"/>
      <x:c r="W58" s="28"/>
    </x:row>
    <x:row r="59" spans="1:23">
      <x:c r="A59" s="21" t="s">
        <x:v>128</x:v>
      </x:c>
      <x:c r="B59" s="22" t="s">
        <x:v>251</x:v>
      </x:c>
      <x:c r="C59" s="22" t="s">
        <x:v>129</x:v>
      </x:c>
      <x:c r="D59" s="22" t="s">
        <x:v>305</x:v>
      </x:c>
      <x:c r="E59" s="22" t="s">
        <x:v>195</x:v>
      </x:c>
      <x:c r="F59" s="22" t="s">
        <x:v>196</x:v>
      </x:c>
      <x:c r="G59" s="22" t="s">
        <x:v>201</x:v>
      </x:c>
      <x:c r="H59" s="22">
        <x:v>5</x:v>
      </x:c>
      <x:c r="I59" s="22">
        <x:v>3</x:v>
      </x:c>
      <x:c r="J59" s="22">
        <x:v>26</x:v>
      </x:c>
      <x:c r="K59" s="23">
        <x:v>2134770888</x:v>
      </x:c>
      <x:c r="L59" s="23">
        <x:v>2675269520</x:v>
      </x:c>
      <x:c r="M59" s="23">
        <x:f>K59-L59</x:f>
      </x:c>
      <x:c r="N59" s="22" t="s">
        <x:v>197</x:v>
      </x:c>
      <x:c r="O59" s="24">
        <x:f>IFERROR(INDEX('تطبیق کل'!$J:$J,MATCH(A59&amp;"",'تطبیق کل'!$A:$A,0))&amp;"","")</x:f>
      </x:c>
      <x:c r="P59" s="24"/>
      <x:c r="Q59" s="24" t="s">
        <x:v>198</x:v>
      </x:c>
      <x:c r="R59" s="25"/>
      <x:c r="S59" s="26"/>
      <x:c r="T59" s="22">
        <x:f>IF(S59="","",IFERROR(INDEX('درخت جدید'!$C:$C,MATCH(S59&amp;"",'درخت جدید'!$B:$B,0)),"—"))</x:f>
      </x:c>
      <x:c r="U59" s="22">
        <x:f>IF(S59="",IF(N59="بله","الزامی — تکمیل نشده",""),IF(AND(O59&lt;&gt;"",LEFT(S59&amp;"",4)&lt;&gt;O59),"زیر کل دیگری است — کل یا معین را اصلاح کنید",IF(COUNTIFS('درخت جدید'!$B:$B,S59&amp;"",'درخت جدید'!$A:$A,"معین")=0,IF(V59="","کد در درخت نیست — نام برای تعریف را بنویسید","OK"),"OK")))</x:f>
      </x:c>
      <x:c r="V59" s="27"/>
      <x:c r="W59" s="28"/>
    </x:row>
    <x:row r="60" spans="1:23">
      <x:c r="A60" s="21" t="s">
        <x:v>128</x:v>
      </x:c>
      <x:c r="B60" s="22" t="s">
        <x:v>306</x:v>
      </x:c>
      <x:c r="C60" s="22" t="s">
        <x:v>129</x:v>
      </x:c>
      <x:c r="D60" s="22" t="s">
        <x:v>307</x:v>
      </x:c>
      <x:c r="E60" s="22" t="s">
        <x:v>195</x:v>
      </x:c>
      <x:c r="F60" s="22" t="s">
        <x:v>196</x:v>
      </x:c>
      <x:c r="G60" s="22" t="s">
        <x:v>201</x:v>
      </x:c>
      <x:c r="H60" s="22">
        <x:v>4</x:v>
      </x:c>
      <x:c r="I60" s="22">
        <x:v>3</x:v>
      </x:c>
      <x:c r="J60" s="22">
        <x:v>12</x:v>
      </x:c>
      <x:c r="K60" s="23">
        <x:v>103976982</x:v>
      </x:c>
      <x:c r="L60" s="23">
        <x:v>577649900</x:v>
      </x:c>
      <x:c r="M60" s="23">
        <x:f>K60-L60</x:f>
      </x:c>
      <x:c r="N60" s="22" t="s">
        <x:v>197</x:v>
      </x:c>
      <x:c r="O60" s="24">
        <x:f>IFERROR(INDEX('تطبیق کل'!$J:$J,MATCH(A60&amp;"",'تطبیق کل'!$A:$A,0))&amp;"","")</x:f>
      </x:c>
      <x:c r="P60" s="24" t="s">
        <x:v>278</x:v>
      </x:c>
      <x:c r="Q60" s="24" t="s">
        <x:v>279</x:v>
      </x:c>
      <x:c r="R60" s="25">
        <x:v>0.41</x:v>
      </x:c>
      <x:c r="S60" s="26"/>
      <x:c r="T60" s="22">
        <x:f>IF(S60="","",IFERROR(INDEX('درخت جدید'!$C:$C,MATCH(S60&amp;"",'درخت جدید'!$B:$B,0)),"—"))</x:f>
      </x:c>
      <x:c r="U60" s="22">
        <x:f>IF(S60="",IF(N60="بله","الزامی — تکمیل نشده",""),IF(AND(O60&lt;&gt;"",LEFT(S60&amp;"",4)&lt;&gt;O60),"زیر کل دیگری است — کل یا معین را اصلاح کنید",IF(COUNTIFS('درخت جدید'!$B:$B,S60&amp;"",'درخت جدید'!$A:$A,"معین")=0,IF(V60="","کد در درخت نیست — نام برای تعریف را بنویسید","OK"),"OK")))</x:f>
      </x:c>
      <x:c r="V60" s="27"/>
      <x:c r="W60" s="28"/>
    </x:row>
    <x:row r="61" spans="1:23">
      <x:c r="A61" s="21" t="s">
        <x:v>128</x:v>
      </x:c>
      <x:c r="B61" s="22" t="s">
        <x:v>308</x:v>
      </x:c>
      <x:c r="C61" s="22" t="s">
        <x:v>129</x:v>
      </x:c>
      <x:c r="D61" s="22" t="s">
        <x:v>309</x:v>
      </x:c>
      <x:c r="E61" s="22" t="s">
        <x:v>195</x:v>
      </x:c>
      <x:c r="F61" s="22" t="s">
        <x:v>196</x:v>
      </x:c>
      <x:c r="G61" s="22" t="s">
        <x:v>201</x:v>
      </x:c>
      <x:c r="H61" s="22">
        <x:v>2</x:v>
      </x:c>
      <x:c r="I61" s="22">
        <x:v>1</x:v>
      </x:c>
      <x:c r="J61" s="22">
        <x:v>1</x:v>
      </x:c>
      <x:c r="K61" s="23">
        <x:v>0</x:v>
      </x:c>
      <x:c r="L61" s="23">
        <x:v>760000000</x:v>
      </x:c>
      <x:c r="M61" s="23">
        <x:f>K61-L61</x:f>
      </x:c>
      <x:c r="N61" s="22" t="s">
        <x:v>197</x:v>
      </x:c>
      <x:c r="O61" s="24">
        <x:f>IFERROR(INDEX('تطبیق کل'!$J:$J,MATCH(A61&amp;"",'تطبیق کل'!$A:$A,0))&amp;"","")</x:f>
      </x:c>
      <x:c r="P61" s="24" t="s">
        <x:v>303</x:v>
      </x:c>
      <x:c r="Q61" s="24" t="s">
        <x:v>304</x:v>
      </x:c>
      <x:c r="R61" s="25">
        <x:v>0.52</x:v>
      </x:c>
      <x:c r="S61" s="26"/>
      <x:c r="T61" s="22">
        <x:f>IF(S61="","",IFERROR(INDEX('درخت جدید'!$C:$C,MATCH(S61&amp;"",'درخت جدید'!$B:$B,0)),"—"))</x:f>
      </x:c>
      <x:c r="U61" s="22">
        <x:f>IF(S61="",IF(N61="بله","الزامی — تکمیل نشده",""),IF(AND(O61&lt;&gt;"",LEFT(S61&amp;"",4)&lt;&gt;O61),"زیر کل دیگری است — کل یا معین را اصلاح کنید",IF(COUNTIFS('درخت جدید'!$B:$B,S61&amp;"",'درخت جدید'!$A:$A,"معین")=0,IF(V61="","کد در درخت نیست — نام برای تعریف را بنویسید","OK"),"OK")))</x:f>
      </x:c>
      <x:c r="V61" s="27"/>
      <x:c r="W61" s="28"/>
    </x:row>
    <x:row r="62" spans="1:23">
      <x:c r="A62" s="21" t="s">
        <x:v>128</x:v>
      </x:c>
      <x:c r="B62" s="22" t="s">
        <x:v>310</x:v>
      </x:c>
      <x:c r="C62" s="22" t="s">
        <x:v>129</x:v>
      </x:c>
      <x:c r="D62" s="22" t="s">
        <x:v>311</x:v>
      </x:c>
      <x:c r="E62" s="22" t="s">
        <x:v>195</x:v>
      </x:c>
      <x:c r="F62" s="22" t="s">
        <x:v>196</x:v>
      </x:c>
      <x:c r="G62" s="22" t="s">
        <x:v>201</x:v>
      </x:c>
      <x:c r="H62" s="22">
        <x:v>14</x:v>
      </x:c>
      <x:c r="I62" s="22">
        <x:v>8</x:v>
      </x:c>
      <x:c r="J62" s="22">
        <x:v>214</x:v>
      </x:c>
      <x:c r="K62" s="23">
        <x:v>94515021543</x:v>
      </x:c>
      <x:c r="L62" s="23">
        <x:v>26455292622</x:v>
      </x:c>
      <x:c r="M62" s="23">
        <x:f>K62-L62</x:f>
      </x:c>
      <x:c r="N62" s="22" t="s">
        <x:v>197</x:v>
      </x:c>
      <x:c r="O62" s="24">
        <x:f>IFERROR(INDEX('تطبیق کل'!$J:$J,MATCH(A62&amp;"",'تطبیق کل'!$A:$A,0))&amp;"","")</x:f>
      </x:c>
      <x:c r="P62" s="24"/>
      <x:c r="Q62" s="24" t="s">
        <x:v>198</x:v>
      </x:c>
      <x:c r="R62" s="25"/>
      <x:c r="S62" s="26"/>
      <x:c r="T62" s="22">
        <x:f>IF(S62="","",IFERROR(INDEX('درخت جدید'!$C:$C,MATCH(S62&amp;"",'درخت جدید'!$B:$B,0)),"—"))</x:f>
      </x:c>
      <x:c r="U62" s="22">
        <x:f>IF(S62="",IF(N62="بله","الزامی — تکمیل نشده",""),IF(AND(O62&lt;&gt;"",LEFT(S62&amp;"",4)&lt;&gt;O62),"زیر کل دیگری است — کل یا معین را اصلاح کنید",IF(COUNTIFS('درخت جدید'!$B:$B,S62&amp;"",'درخت جدید'!$A:$A,"معین")=0,IF(V62="","کد در درخت نیست — نام برای تعریف را بنویسید","OK"),"OK")))</x:f>
      </x:c>
      <x:c r="V62" s="27"/>
      <x:c r="W62" s="28"/>
    </x:row>
    <x:row r="63" spans="1:23">
      <x:c r="A63" s="21" t="s">
        <x:v>136</x:v>
      </x:c>
      <x:c r="B63" s="22" t="s">
        <x:v>251</x:v>
      </x:c>
      <x:c r="C63" s="22" t="s">
        <x:v>137</x:v>
      </x:c>
      <x:c r="D63" s="22" t="s">
        <x:v>312</x:v>
      </x:c>
      <x:c r="E63" s="22" t="s">
        <x:v>195</x:v>
      </x:c>
      <x:c r="F63" s="22" t="s">
        <x:v>196</x:v>
      </x:c>
      <x:c r="G63" s="22" t="s">
        <x:v>201</x:v>
      </x:c>
      <x:c r="H63" s="22">
        <x:v>48</x:v>
      </x:c>
      <x:c r="I63" s="22">
        <x:v>19</x:v>
      </x:c>
      <x:c r="J63" s="22">
        <x:v>249</x:v>
      </x:c>
      <x:c r="K63" s="23">
        <x:v>100020379131490</x:v>
      </x:c>
      <x:c r="L63" s="23">
        <x:v>26033851093</x:v>
      </x:c>
      <x:c r="M63" s="23">
        <x:f>K63-L63</x:f>
      </x:c>
      <x:c r="N63" s="22" t="s">
        <x:v>197</x:v>
      </x:c>
      <x:c r="O63" s="24">
        <x:f>IFERROR(INDEX('تطبیق کل'!$J:$J,MATCH(A63&amp;"",'تطبیق کل'!$A:$A,0))&amp;"","")</x:f>
      </x:c>
      <x:c r="P63" s="24" t="s">
        <x:v>257</x:v>
      </x:c>
      <x:c r="Q63" s="24" t="s">
        <x:v>258</x:v>
      </x:c>
      <x:c r="R63" s="25">
        <x:v>0.41</x:v>
      </x:c>
      <x:c r="S63" s="26"/>
      <x:c r="T63" s="22">
        <x:f>IF(S63="","",IFERROR(INDEX('درخت جدید'!$C:$C,MATCH(S63&amp;"",'درخت جدید'!$B:$B,0)),"—"))</x:f>
      </x:c>
      <x:c r="U63" s="22">
        <x:f>IF(S63="",IF(N63="بله","الزامی — تکمیل نشده",""),IF(AND(O63&lt;&gt;"",LEFT(S63&amp;"",4)&lt;&gt;O63),"زیر کل دیگری است — کل یا معین را اصلاح کنید",IF(COUNTIFS('درخت جدید'!$B:$B,S63&amp;"",'درخت جدید'!$A:$A,"معین")=0,IF(V63="","کد در درخت نیست — نام برای تعریف را بنویسید","OK"),"OK")))</x:f>
      </x:c>
      <x:c r="V63" s="27"/>
      <x:c r="W63" s="28"/>
    </x:row>
    <x:row r="64" spans="1:23">
      <x:c r="A64" s="21" t="s">
        <x:v>136</x:v>
      </x:c>
      <x:c r="B64" s="22" t="s">
        <x:v>306</x:v>
      </x:c>
      <x:c r="C64" s="22" t="s">
        <x:v>137</x:v>
      </x:c>
      <x:c r="D64" s="22" t="s">
        <x:v>313</x:v>
      </x:c>
      <x:c r="E64" s="22" t="s">
        <x:v>195</x:v>
      </x:c>
      <x:c r="F64" s="22" t="s">
        <x:v>196</x:v>
      </x:c>
      <x:c r="G64" s="22" t="s">
        <x:v>201</x:v>
      </x:c>
      <x:c r="H64" s="22">
        <x:v>1</x:v>
      </x:c>
      <x:c r="I64" s="22">
        <x:v>1</x:v>
      </x:c>
      <x:c r="J64" s="22">
        <x:v>12</x:v>
      </x:c>
      <x:c r="K64" s="23">
        <x:v>1196733024</x:v>
      </x:c>
      <x:c r="L64" s="23">
        <x:v>1616709244</x:v>
      </x:c>
      <x:c r="M64" s="23">
        <x:f>K64-L64</x:f>
      </x:c>
      <x:c r="N64" s="22" t="s">
        <x:v>197</x:v>
      </x:c>
      <x:c r="O64" s="24">
        <x:f>IFERROR(INDEX('تطبیق کل'!$J:$J,MATCH(A64&amp;"",'تطبیق کل'!$A:$A,0))&amp;"","")</x:f>
      </x:c>
      <x:c r="P64" s="24" t="s">
        <x:v>257</x:v>
      </x:c>
      <x:c r="Q64" s="24" t="s">
        <x:v>258</x:v>
      </x:c>
      <x:c r="R64" s="25">
        <x:v>0.36</x:v>
      </x:c>
      <x:c r="S64" s="26"/>
      <x:c r="T64" s="22">
        <x:f>IF(S64="","",IFERROR(INDEX('درخت جدید'!$C:$C,MATCH(S64&amp;"",'درخت جدید'!$B:$B,0)),"—"))</x:f>
      </x:c>
      <x:c r="U64" s="22">
        <x:f>IF(S64="",IF(N64="بله","الزامی — تکمیل نشده",""),IF(AND(O64&lt;&gt;"",LEFT(S64&amp;"",4)&lt;&gt;O64),"زیر کل دیگری است — کل یا معین را اصلاح کنید",IF(COUNTIFS('درخت جدید'!$B:$B,S64&amp;"",'درخت جدید'!$A:$A,"معین")=0,IF(V64="","کد در درخت نیست — نام برای تعریف را بنویسید","OK"),"OK")))</x:f>
      </x:c>
      <x:c r="V64" s="27"/>
      <x:c r="W64" s="28"/>
    </x:row>
    <x:row r="65" spans="1:23">
      <x:c r="A65" s="21" t="s">
        <x:v>139</x:v>
      </x:c>
      <x:c r="B65" s="22" t="s">
        <x:v>251</x:v>
      </x:c>
      <x:c r="C65" s="22" t="s">
        <x:v>140</x:v>
      </x:c>
      <x:c r="D65" s="22" t="s">
        <x:v>314</x:v>
      </x:c>
      <x:c r="E65" s="22" t="s">
        <x:v>195</x:v>
      </x:c>
      <x:c r="F65" s="22" t="s">
        <x:v>196</x:v>
      </x:c>
      <x:c r="G65" s="22" t="s">
        <x:v>201</x:v>
      </x:c>
      <x:c r="H65" s="22">
        <x:v>24</x:v>
      </x:c>
      <x:c r="I65" s="22">
        <x:v>10</x:v>
      </x:c>
      <x:c r="J65" s="22">
        <x:v>104</x:v>
      </x:c>
      <x:c r="K65" s="23">
        <x:v>4206536109</x:v>
      </x:c>
      <x:c r="L65" s="23">
        <x:v>5602931887</x:v>
      </x:c>
      <x:c r="M65" s="23">
        <x:f>K65-L65</x:f>
      </x:c>
      <x:c r="N65" s="22" t="s">
        <x:v>197</x:v>
      </x:c>
      <x:c r="O65" s="24">
        <x:f>IFERROR(INDEX('تطبیق کل'!$J:$J,MATCH(A65&amp;"",'تطبیق کل'!$A:$A,0))&amp;"","")</x:f>
      </x:c>
      <x:c r="P65" s="24"/>
      <x:c r="Q65" s="24" t="s">
        <x:v>198</x:v>
      </x:c>
      <x:c r="R65" s="25"/>
      <x:c r="S65" s="26"/>
      <x:c r="T65" s="22">
        <x:f>IF(S65="","",IFERROR(INDEX('درخت جدید'!$C:$C,MATCH(S65&amp;"",'درخت جدید'!$B:$B,0)),"—"))</x:f>
      </x:c>
      <x:c r="U65" s="22">
        <x:f>IF(S65="",IF(N65="بله","الزامی — تکمیل نشده",""),IF(AND(O65&lt;&gt;"",LEFT(S65&amp;"",4)&lt;&gt;O65),"زیر کل دیگری است — کل یا معین را اصلاح کنید",IF(COUNTIFS('درخت جدید'!$B:$B,S65&amp;"",'درخت جدید'!$A:$A,"معین")=0,IF(V65="","کد در درخت نیست — نام برای تعریف را بنویسید","OK"),"OK")))</x:f>
      </x:c>
      <x:c r="V65" s="27"/>
      <x:c r="W65" s="28"/>
    </x:row>
    <x:row r="66" spans="1:23">
      <x:c r="A66" s="21" t="s">
        <x:v>139</x:v>
      </x:c>
      <x:c r="B66" s="22" t="s">
        <x:v>255</x:v>
      </x:c>
      <x:c r="C66" s="22" t="s">
        <x:v>140</x:v>
      </x:c>
      <x:c r="D66" s="22" t="s">
        <x:v>315</x:v>
      </x:c>
      <x:c r="E66" s="22" t="s">
        <x:v>195</x:v>
      </x:c>
      <x:c r="F66" s="22" t="s">
        <x:v>196</x:v>
      </x:c>
      <x:c r="G66" s="22" t="s">
        <x:v>201</x:v>
      </x:c>
      <x:c r="H66" s="22">
        <x:v>4</x:v>
      </x:c>
      <x:c r="I66" s="22">
        <x:v>2</x:v>
      </x:c>
      <x:c r="J66" s="22">
        <x:v>21</x:v>
      </x:c>
      <x:c r="K66" s="23">
        <x:v>8186091358</x:v>
      </x:c>
      <x:c r="L66" s="23">
        <x:v>10973426660</x:v>
      </x:c>
      <x:c r="M66" s="23">
        <x:f>K66-L66</x:f>
      </x:c>
      <x:c r="N66" s="22" t="s">
        <x:v>197</x:v>
      </x:c>
      <x:c r="O66" s="24">
        <x:f>IFERROR(INDEX('تطبیق کل'!$J:$J,MATCH(A66&amp;"",'تطبیق کل'!$A:$A,0))&amp;"","")</x:f>
      </x:c>
      <x:c r="P66" s="24"/>
      <x:c r="Q66" s="24" t="s">
        <x:v>198</x:v>
      </x:c>
      <x:c r="R66" s="25"/>
      <x:c r="S66" s="26"/>
      <x:c r="T66" s="22">
        <x:f>IF(S66="","",IFERROR(INDEX('درخت جدید'!$C:$C,MATCH(S66&amp;"",'درخت جدید'!$B:$B,0)),"—"))</x:f>
      </x:c>
      <x:c r="U66" s="22">
        <x:f>IF(S66="",IF(N66="بله","الزامی — تکمیل نشده",""),IF(AND(O66&lt;&gt;"",LEFT(S66&amp;"",4)&lt;&gt;O66),"زیر کل دیگری است — کل یا معین را اصلاح کنید",IF(COUNTIFS('درخت جدید'!$B:$B,S66&amp;"",'درخت جدید'!$A:$A,"معین")=0,IF(V66="","کد در درخت نیست — نام برای تعریف را بنویسید","OK"),"OK")))</x:f>
      </x:c>
      <x:c r="V66" s="27"/>
      <x:c r="W66" s="28"/>
    </x:row>
    <x:row r="67" spans="1:23">
      <x:c r="A67" s="21" t="s">
        <x:v>139</x:v>
      </x:c>
      <x:c r="B67" s="22" t="s">
        <x:v>308</x:v>
      </x:c>
      <x:c r="C67" s="22" t="s">
        <x:v>140</x:v>
      </x:c>
      <x:c r="D67" s="22" t="s">
        <x:v>316</x:v>
      </x:c>
      <x:c r="E67" s="22" t="s">
        <x:v>195</x:v>
      </x:c>
      <x:c r="F67" s="22" t="s">
        <x:v>196</x:v>
      </x:c>
      <x:c r="G67" s="22" t="s">
        <x:v>201</x:v>
      </x:c>
      <x:c r="H67" s="22">
        <x:v>9</x:v>
      </x:c>
      <x:c r="I67" s="22">
        <x:v>3</x:v>
      </x:c>
      <x:c r="J67" s="22">
        <x:v>75</x:v>
      </x:c>
      <x:c r="K67" s="23">
        <x:v>11364594066</x:v>
      </x:c>
      <x:c r="L67" s="23">
        <x:v>14776786206</x:v>
      </x:c>
      <x:c r="M67" s="23">
        <x:f>K67-L67</x:f>
      </x:c>
      <x:c r="N67" s="22" t="s">
        <x:v>197</x:v>
      </x:c>
      <x:c r="O67" s="24">
        <x:f>IFERROR(INDEX('تطبیق کل'!$J:$J,MATCH(A67&amp;"",'تطبیق کل'!$A:$A,0))&amp;"","")</x:f>
      </x:c>
      <x:c r="P67" s="24" t="s">
        <x:v>262</x:v>
      </x:c>
      <x:c r="Q67" s="24" t="s">
        <x:v>263</x:v>
      </x:c>
      <x:c r="R67" s="25">
        <x:v>0.42</x:v>
      </x:c>
      <x:c r="S67" s="26"/>
      <x:c r="T67" s="22">
        <x:f>IF(S67="","",IFERROR(INDEX('درخت جدید'!$C:$C,MATCH(S67&amp;"",'درخت جدید'!$B:$B,0)),"—"))</x:f>
      </x:c>
      <x:c r="U67" s="22">
        <x:f>IF(S67="",IF(N67="بله","الزامی — تکمیل نشده",""),IF(AND(O67&lt;&gt;"",LEFT(S67&amp;"",4)&lt;&gt;O67),"زیر کل دیگری است — کل یا معین را اصلاح کنید",IF(COUNTIFS('درخت جدید'!$B:$B,S67&amp;"",'درخت جدید'!$A:$A,"معین")=0,IF(V67="","کد در درخت نیست — نام برای تعریف را بنویسید","OK"),"OK")))</x:f>
      </x:c>
      <x:c r="V67" s="27"/>
      <x:c r="W67" s="28"/>
    </x:row>
    <x:row r="68" spans="1:23">
      <x:c r="A68" s="21" t="s">
        <x:v>139</x:v>
      </x:c>
      <x:c r="B68" s="22" t="s">
        <x:v>317</x:v>
      </x:c>
      <x:c r="C68" s="22" t="s">
        <x:v>140</x:v>
      </x:c>
      <x:c r="D68" s="22" t="s">
        <x:v>318</x:v>
      </x:c>
      <x:c r="E68" s="22" t="s">
        <x:v>195</x:v>
      </x:c>
      <x:c r="F68" s="22" t="s">
        <x:v>196</x:v>
      </x:c>
      <x:c r="G68" s="22" t="s">
        <x:v>201</x:v>
      </x:c>
      <x:c r="H68" s="22">
        <x:v>7</x:v>
      </x:c>
      <x:c r="I68" s="22">
        <x:v>4</x:v>
      </x:c>
      <x:c r="J68" s="22">
        <x:v>10</x:v>
      </x:c>
      <x:c r="K68" s="23">
        <x:v>4819832314</x:v>
      </x:c>
      <x:c r="L68" s="23">
        <x:v>4819832314</x:v>
      </x:c>
      <x:c r="M68" s="23">
        <x:f>K68-L68</x:f>
      </x:c>
      <x:c r="N68" s="22" t="s">
        <x:v>197</x:v>
      </x:c>
      <x:c r="O68" s="24">
        <x:f>IFERROR(INDEX('تطبیق کل'!$J:$J,MATCH(A68&amp;"",'تطبیق کل'!$A:$A,0))&amp;"","")</x:f>
      </x:c>
      <x:c r="P68" s="24"/>
      <x:c r="Q68" s="24" t="s">
        <x:v>198</x:v>
      </x:c>
      <x:c r="R68" s="25"/>
      <x:c r="S68" s="26"/>
      <x:c r="T68" s="22">
        <x:f>IF(S68="","",IFERROR(INDEX('درخت جدید'!$C:$C,MATCH(S68&amp;"",'درخت جدید'!$B:$B,0)),"—"))</x:f>
      </x:c>
      <x:c r="U68" s="22">
        <x:f>IF(S68="",IF(N68="بله","الزامی — تکمیل نشده",""),IF(AND(O68&lt;&gt;"",LEFT(S68&amp;"",4)&lt;&gt;O68),"زیر کل دیگری است — کل یا معین را اصلاح کنید",IF(COUNTIFS('درخت جدید'!$B:$B,S68&amp;"",'درخت جدید'!$A:$A,"معین")=0,IF(V68="","کد در درخت نیست — نام برای تعریف را بنویسید","OK"),"OK")))</x:f>
      </x:c>
      <x:c r="V68" s="27"/>
      <x:c r="W68" s="28"/>
    </x:row>
    <x:row r="69" spans="1:23">
      <x:c r="A69" s="21" t="s">
        <x:v>139</x:v>
      </x:c>
      <x:c r="B69" s="22" t="s">
        <x:v>193</x:v>
      </x:c>
      <x:c r="C69" s="22" t="s">
        <x:v>140</x:v>
      </x:c>
      <x:c r="D69" s="22" t="s">
        <x:v>319</x:v>
      </x:c>
      <x:c r="E69" s="22" t="s">
        <x:v>195</x:v>
      </x:c>
      <x:c r="F69" s="22" t="s">
        <x:v>196</x:v>
      </x:c>
      <x:c r="G69" s="22" t="s">
        <x:v>201</x:v>
      </x:c>
      <x:c r="H69" s="22">
        <x:v>40</x:v>
      </x:c>
      <x:c r="I69" s="22">
        <x:v>13</x:v>
      </x:c>
      <x:c r="J69" s="22">
        <x:v>45</x:v>
      </x:c>
      <x:c r="K69" s="23">
        <x:v>1452411751</x:v>
      </x:c>
      <x:c r="L69" s="23">
        <x:v>1800101995</x:v>
      </x:c>
      <x:c r="M69" s="23">
        <x:f>K69-L69</x:f>
      </x:c>
      <x:c r="N69" s="22" t="s">
        <x:v>197</x:v>
      </x:c>
      <x:c r="O69" s="24">
        <x:f>IFERROR(INDEX('تطبیق کل'!$J:$J,MATCH(A69&amp;"",'تطبیق کل'!$A:$A,0))&amp;"","")</x:f>
      </x:c>
      <x:c r="P69" s="24" t="s">
        <x:v>320</x:v>
      </x:c>
      <x:c r="Q69" s="24" t="s">
        <x:v>321</x:v>
      </x:c>
      <x:c r="R69" s="25">
        <x:v>0.61</x:v>
      </x:c>
      <x:c r="S69" s="26"/>
      <x:c r="T69" s="22">
        <x:f>IF(S69="","",IFERROR(INDEX('درخت جدید'!$C:$C,MATCH(S69&amp;"",'درخت جدید'!$B:$B,0)),"—"))</x:f>
      </x:c>
      <x:c r="U69" s="22">
        <x:f>IF(S69="",IF(N69="بله","الزامی — تکمیل نشده",""),IF(AND(O69&lt;&gt;"",LEFT(S69&amp;"",4)&lt;&gt;O69),"زیر کل دیگری است — کل یا معین را اصلاح کنید",IF(COUNTIFS('درخت جدید'!$B:$B,S69&amp;"",'درخت جدید'!$A:$A,"معین")=0,IF(V69="","کد در درخت نیست — نام برای تعریف را بنویسید","OK"),"OK")))</x:f>
      </x:c>
      <x:c r="V69" s="27"/>
      <x:c r="W69" s="28"/>
    </x:row>
    <x:row r="70" spans="1:23">
      <x:c r="A70" s="21" t="s">
        <x:v>139</x:v>
      </x:c>
      <x:c r="B70" s="22" t="s">
        <x:v>14</x:v>
      </x:c>
      <x:c r="C70" s="22" t="s">
        <x:v>140</x:v>
      </x:c>
      <x:c r="D70" s="22" t="s">
        <x:v>322</x:v>
      </x:c>
      <x:c r="E70" s="22" t="s">
        <x:v>195</x:v>
      </x:c>
      <x:c r="F70" s="22" t="s">
        <x:v>196</x:v>
      </x:c>
      <x:c r="G70" s="22" t="s">
        <x:v>201</x:v>
      </x:c>
      <x:c r="H70" s="22">
        <x:v>4</x:v>
      </x:c>
      <x:c r="I70" s="22">
        <x:v>1</x:v>
      </x:c>
      <x:c r="J70" s="22">
        <x:v>2</x:v>
      </x:c>
      <x:c r="K70" s="23">
        <x:v>99318609</x:v>
      </x:c>
      <x:c r="L70" s="23">
        <x:v>99318609</x:v>
      </x:c>
      <x:c r="M70" s="23">
        <x:f>K70-L70</x:f>
      </x:c>
      <x:c r="N70" s="22" t="s">
        <x:v>197</x:v>
      </x:c>
      <x:c r="O70" s="24">
        <x:f>IFERROR(INDEX('تطبیق کل'!$J:$J,MATCH(A70&amp;"",'تطبیق کل'!$A:$A,0))&amp;"","")</x:f>
      </x:c>
      <x:c r="P70" s="24"/>
      <x:c r="Q70" s="24" t="s">
        <x:v>198</x:v>
      </x:c>
      <x:c r="R70" s="25"/>
      <x:c r="S70" s="26"/>
      <x:c r="T70" s="22">
        <x:f>IF(S70="","",IFERROR(INDEX('درخت جدید'!$C:$C,MATCH(S70&amp;"",'درخت جدید'!$B:$B,0)),"—"))</x:f>
      </x:c>
      <x:c r="U70" s="22">
        <x:f>IF(S70="",IF(N70="بله","الزامی — تکمیل نشده",""),IF(AND(O70&lt;&gt;"",LEFT(S70&amp;"",4)&lt;&gt;O70),"زیر کل دیگری است — کل یا معین را اصلاح کنید",IF(COUNTIFS('درخت جدید'!$B:$B,S70&amp;"",'درخت جدید'!$A:$A,"معین")=0,IF(V70="","کد در درخت نیست — نام برای تعریف را بنویسید","OK"),"OK")))</x:f>
      </x:c>
      <x:c r="V70" s="27"/>
      <x:c r="W70" s="28"/>
    </x:row>
    <x:row r="71" spans="1:23">
      <x:c r="A71" s="21" t="s">
        <x:v>139</x:v>
      </x:c>
      <x:c r="B71" s="22" t="s">
        <x:v>18</x:v>
      </x:c>
      <x:c r="C71" s="22" t="s">
        <x:v>140</x:v>
      </x:c>
      <x:c r="D71" s="22" t="s">
        <x:v>323</x:v>
      </x:c>
      <x:c r="E71" s="22" t="s">
        <x:v>195</x:v>
      </x:c>
      <x:c r="F71" s="22" t="s">
        <x:v>196</x:v>
      </x:c>
      <x:c r="G71" s="22" t="s">
        <x:v>201</x:v>
      </x:c>
      <x:c r="H71" s="22">
        <x:v>4</x:v>
      </x:c>
      <x:c r="I71" s="22">
        <x:v>2</x:v>
      </x:c>
      <x:c r="J71" s="22">
        <x:v>24</x:v>
      </x:c>
      <x:c r="K71" s="23">
        <x:v>168250614</x:v>
      </x:c>
      <x:c r="L71" s="23">
        <x:v>232305950</x:v>
      </x:c>
      <x:c r="M71" s="23">
        <x:f>K71-L71</x:f>
      </x:c>
      <x:c r="N71" s="22" t="s">
        <x:v>197</x:v>
      </x:c>
      <x:c r="O71" s="24">
        <x:f>IFERROR(INDEX('تطبیق کل'!$J:$J,MATCH(A71&amp;"",'تطبیق کل'!$A:$A,0))&amp;"","")</x:f>
      </x:c>
      <x:c r="P71" s="24" t="s">
        <x:v>303</x:v>
      </x:c>
      <x:c r="Q71" s="24" t="s">
        <x:v>304</x:v>
      </x:c>
      <x:c r="R71" s="25">
        <x:v>1</x:v>
      </x:c>
      <x:c r="S71" s="26"/>
      <x:c r="T71" s="22">
        <x:f>IF(S71="","",IFERROR(INDEX('درخت جدید'!$C:$C,MATCH(S71&amp;"",'درخت جدید'!$B:$B,0)),"—"))</x:f>
      </x:c>
      <x:c r="U71" s="22">
        <x:f>IF(S71="",IF(N71="بله","الزامی — تکمیل نشده",""),IF(AND(O71&lt;&gt;"",LEFT(S71&amp;"",4)&lt;&gt;O71),"زیر کل دیگری است — کل یا معین را اصلاح کنید",IF(COUNTIFS('درخت جدید'!$B:$B,S71&amp;"",'درخت جدید'!$A:$A,"معین")=0,IF(V71="","کد در درخت نیست — نام برای تعریف را بنویسید","OK"),"OK")))</x:f>
      </x:c>
      <x:c r="V71" s="27"/>
      <x:c r="W71" s="28"/>
    </x:row>
    <x:row r="72" spans="1:23">
      <x:c r="A72" s="21" t="s">
        <x:v>139</x:v>
      </x:c>
      <x:c r="B72" s="22" t="s">
        <x:v>21</x:v>
      </x:c>
      <x:c r="C72" s="22" t="s">
        <x:v>140</x:v>
      </x:c>
      <x:c r="D72" s="22" t="s">
        <x:v>324</x:v>
      </x:c>
      <x:c r="E72" s="22" t="s">
        <x:v>195</x:v>
      </x:c>
      <x:c r="F72" s="22" t="s">
        <x:v>196</x:v>
      </x:c>
      <x:c r="G72" s="22" t="s">
        <x:v>201</x:v>
      </x:c>
      <x:c r="H72" s="22">
        <x:v>4</x:v>
      </x:c>
      <x:c r="I72" s="22">
        <x:v>2</x:v>
      </x:c>
      <x:c r="J72" s="22">
        <x:v>24</x:v>
      </x:c>
      <x:c r="K72" s="23">
        <x:v>2664072837</x:v>
      </x:c>
      <x:c r="L72" s="23">
        <x:v>3580456385</x:v>
      </x:c>
      <x:c r="M72" s="23">
        <x:f>K72-L72</x:f>
      </x:c>
      <x:c r="N72" s="22" t="s">
        <x:v>197</x:v>
      </x:c>
      <x:c r="O72" s="24">
        <x:f>IFERROR(INDEX('تطبیق کل'!$J:$J,MATCH(A72&amp;"",'تطبیق کل'!$A:$A,0))&amp;"","")</x:f>
      </x:c>
      <x:c r="P72" s="24"/>
      <x:c r="Q72" s="24" t="s">
        <x:v>198</x:v>
      </x:c>
      <x:c r="R72" s="25"/>
      <x:c r="S72" s="26"/>
      <x:c r="T72" s="22">
        <x:f>IF(S72="","",IFERROR(INDEX('درخت جدید'!$C:$C,MATCH(S72&amp;"",'درخت جدید'!$B:$B,0)),"—"))</x:f>
      </x:c>
      <x:c r="U72" s="22">
        <x:f>IF(S72="",IF(N72="بله","الزامی — تکمیل نشده",""),IF(AND(O72&lt;&gt;"",LEFT(S72&amp;"",4)&lt;&gt;O72),"زیر کل دیگری است — کل یا معین را اصلاح کنید",IF(COUNTIFS('درخت جدید'!$B:$B,S72&amp;"",'درخت جدید'!$A:$A,"معین")=0,IF(V72="","کد در درخت نیست — نام برای تعریف را بنویسید","OK"),"OK")))</x:f>
      </x:c>
      <x:c r="V72" s="27"/>
      <x:c r="W72" s="28"/>
    </x:row>
    <x:row r="73" spans="1:23">
      <x:c r="A73" s="21" t="s">
        <x:v>139</x:v>
      </x:c>
      <x:c r="B73" s="22" t="s">
        <x:v>24</x:v>
      </x:c>
      <x:c r="C73" s="22" t="s">
        <x:v>140</x:v>
      </x:c>
      <x:c r="D73" s="22" t="s">
        <x:v>325</x:v>
      </x:c>
      <x:c r="E73" s="22" t="s">
        <x:v>195</x:v>
      </x:c>
      <x:c r="F73" s="22" t="s">
        <x:v>196</x:v>
      </x:c>
      <x:c r="G73" s="22" t="s">
        <x:v>196</x:v>
      </x:c>
      <x:c r="H73" s="22">
        <x:v>2</x:v>
      </x:c>
      <x:c r="I73" s="22">
        <x:v>1</x:v>
      </x:c>
      <x:c r="J73" s="22">
        <x:v>76</x:v>
      </x:c>
      <x:c r="K73" s="23">
        <x:v>1671761918</x:v>
      </x:c>
      <x:c r="L73" s="23">
        <x:v>2380306308</x:v>
      </x:c>
      <x:c r="M73" s="23">
        <x:f>K73-L73</x:f>
      </x:c>
      <x:c r="N73" s="22" t="s">
        <x:v>197</x:v>
      </x:c>
      <x:c r="O73" s="24">
        <x:f>IFERROR(INDEX('تطبیق کل'!$J:$J,MATCH(A73&amp;"",'تطبیق کل'!$A:$A,0))&amp;"","")</x:f>
      </x:c>
      <x:c r="P73" s="24"/>
      <x:c r="Q73" s="24" t="s">
        <x:v>198</x:v>
      </x:c>
      <x:c r="R73" s="25"/>
      <x:c r="S73" s="26"/>
      <x:c r="T73" s="22">
        <x:f>IF(S73="","",IFERROR(INDEX('درخت جدید'!$C:$C,MATCH(S73&amp;"",'درخت جدید'!$B:$B,0)),"—"))</x:f>
      </x:c>
      <x:c r="U73" s="22">
        <x:f>IF(S73="",IF(N73="بله","الزامی — تکمیل نشده",""),IF(AND(O73&lt;&gt;"",LEFT(S73&amp;"",4)&lt;&gt;O73),"زیر کل دیگری است — کل یا معین را اصلاح کنید",IF(COUNTIFS('درخت جدید'!$B:$B,S73&amp;"",'درخت جدید'!$A:$A,"معین")=0,IF(V73="","کد در درخت نیست — نام برای تعریف را بنویسید","OK"),"OK")))</x:f>
      </x:c>
      <x:c r="V73" s="27"/>
      <x:c r="W73" s="28"/>
    </x:row>
    <x:row r="74" spans="1:23">
      <x:c r="A74" s="21" t="s">
        <x:v>139</x:v>
      </x:c>
      <x:c r="B74" s="22" t="s">
        <x:v>326</x:v>
      </x:c>
      <x:c r="C74" s="22" t="s">
        <x:v>140</x:v>
      </x:c>
      <x:c r="D74" s="22" t="s">
        <x:v>327</x:v>
      </x:c>
      <x:c r="E74" s="22" t="s">
        <x:v>195</x:v>
      </x:c>
      <x:c r="F74" s="22" t="s">
        <x:v>196</x:v>
      </x:c>
      <x:c r="G74" s="22" t="s">
        <x:v>201</x:v>
      </x:c>
      <x:c r="H74" s="22">
        <x:v>4</x:v>
      </x:c>
      <x:c r="I74" s="22">
        <x:v>2</x:v>
      </x:c>
      <x:c r="J74" s="22">
        <x:v>25</x:v>
      </x:c>
      <x:c r="K74" s="23">
        <x:v>484965145</x:v>
      </x:c>
      <x:c r="L74" s="23">
        <x:v>666841293</x:v>
      </x:c>
      <x:c r="M74" s="23">
        <x:f>K74-L74</x:f>
      </x:c>
      <x:c r="N74" s="22" t="s">
        <x:v>197</x:v>
      </x:c>
      <x:c r="O74" s="24">
        <x:f>IFERROR(INDEX('تطبیق کل'!$J:$J,MATCH(A74&amp;"",'تطبیق کل'!$A:$A,0))&amp;"","")</x:f>
      </x:c>
      <x:c r="P74" s="24" t="s">
        <x:v>328</x:v>
      </x:c>
      <x:c r="Q74" s="24" t="s">
        <x:v>329</x:v>
      </x:c>
      <x:c r="R74" s="25">
        <x:v>1</x:v>
      </x:c>
      <x:c r="S74" s="26"/>
      <x:c r="T74" s="22">
        <x:f>IF(S74="","",IFERROR(INDEX('درخت جدید'!$C:$C,MATCH(S74&amp;"",'درخت جدید'!$B:$B,0)),"—"))</x:f>
      </x:c>
      <x:c r="U74" s="22">
        <x:f>IF(S74="",IF(N74="بله","الزامی — تکمیل نشده",""),IF(AND(O74&lt;&gt;"",LEFT(S74&amp;"",4)&lt;&gt;O74),"زیر کل دیگری است — کل یا معین را اصلاح کنید",IF(COUNTIFS('درخت جدید'!$B:$B,S74&amp;"",'درخت جدید'!$A:$A,"معین")=0,IF(V74="","کد در درخت نیست — نام برای تعریف را بنویسید","OK"),"OK")))</x:f>
      </x:c>
      <x:c r="V74" s="27"/>
      <x:c r="W74" s="28"/>
    </x:row>
    <x:row r="75" spans="1:23">
      <x:c r="A75" s="21" t="s">
        <x:v>139</x:v>
      </x:c>
      <x:c r="B75" s="22" t="s">
        <x:v>30</x:v>
      </x:c>
      <x:c r="C75" s="22" t="s">
        <x:v>140</x:v>
      </x:c>
      <x:c r="D75" s="22" t="s">
        <x:v>330</x:v>
      </x:c>
      <x:c r="E75" s="22" t="s">
        <x:v>195</x:v>
      </x:c>
      <x:c r="F75" s="22" t="s">
        <x:v>196</x:v>
      </x:c>
      <x:c r="G75" s="22" t="s">
        <x:v>201</x:v>
      </x:c>
      <x:c r="H75" s="22">
        <x:v>11</x:v>
      </x:c>
      <x:c r="I75" s="22">
        <x:v>2</x:v>
      </x:c>
      <x:c r="J75" s="22">
        <x:v>6</x:v>
      </x:c>
      <x:c r="K75" s="23">
        <x:v>75831528</x:v>
      </x:c>
      <x:c r="L75" s="23">
        <x:v>75831528</x:v>
      </x:c>
      <x:c r="M75" s="23">
        <x:f>K75-L75</x:f>
      </x:c>
      <x:c r="N75" s="22" t="s">
        <x:v>197</x:v>
      </x:c>
      <x:c r="O75" s="24">
        <x:f>IFERROR(INDEX('تطبیق کل'!$J:$J,MATCH(A75&amp;"",'تطبیق کل'!$A:$A,0))&amp;"","")</x:f>
      </x:c>
      <x:c r="P75" s="24" t="s">
        <x:v>272</x:v>
      </x:c>
      <x:c r="Q75" s="24" t="s">
        <x:v>273</x:v>
      </x:c>
      <x:c r="R75" s="25">
        <x:v>0.62</x:v>
      </x:c>
      <x:c r="S75" s="26"/>
      <x:c r="T75" s="22">
        <x:f>IF(S75="","",IFERROR(INDEX('درخت جدید'!$C:$C,MATCH(S75&amp;"",'درخت جدید'!$B:$B,0)),"—"))</x:f>
      </x:c>
      <x:c r="U75" s="22">
        <x:f>IF(S75="",IF(N75="بله","الزامی — تکمیل نشده",""),IF(AND(O75&lt;&gt;"",LEFT(S75&amp;"",4)&lt;&gt;O75),"زیر کل دیگری است — کل یا معین را اصلاح کنید",IF(COUNTIFS('درخت جدید'!$B:$B,S75&amp;"",'درخت جدید'!$A:$A,"معین")=0,IF(V75="","کد در درخت نیست — نام برای تعریف را بنویسید","OK"),"OK")))</x:f>
      </x:c>
      <x:c r="V75" s="27"/>
      <x:c r="W75" s="28"/>
    </x:row>
    <x:row r="76" spans="1:23">
      <x:c r="A76" s="21" t="s">
        <x:v>139</x:v>
      </x:c>
      <x:c r="B76" s="22" t="s">
        <x:v>34</x:v>
      </x:c>
      <x:c r="C76" s="22" t="s">
        <x:v>140</x:v>
      </x:c>
      <x:c r="D76" s="22" t="s">
        <x:v>331</x:v>
      </x:c>
      <x:c r="E76" s="22" t="s">
        <x:v>195</x:v>
      </x:c>
      <x:c r="F76" s="22" t="s">
        <x:v>196</x:v>
      </x:c>
      <x:c r="G76" s="22" t="s">
        <x:v>201</x:v>
      </x:c>
      <x:c r="H76" s="22">
        <x:v>3</x:v>
      </x:c>
      <x:c r="I76" s="22">
        <x:v>2</x:v>
      </x:c>
      <x:c r="J76" s="22">
        <x:v>27</x:v>
      </x:c>
      <x:c r="K76" s="23">
        <x:v>1822652737</x:v>
      </x:c>
      <x:c r="L76" s="23">
        <x:v>2429686045</x:v>
      </x:c>
      <x:c r="M76" s="23">
        <x:f>K76-L76</x:f>
      </x:c>
      <x:c r="N76" s="22" t="s">
        <x:v>197</x:v>
      </x:c>
      <x:c r="O76" s="24">
        <x:f>IFERROR(INDEX('تطبیق کل'!$J:$J,MATCH(A76&amp;"",'تطبیق کل'!$A:$A,0))&amp;"","")</x:f>
      </x:c>
      <x:c r="P76" s="24" t="s">
        <x:v>332</x:v>
      </x:c>
      <x:c r="Q76" s="24" t="s">
        <x:v>333</x:v>
      </x:c>
      <x:c r="R76" s="25">
        <x:v>0.41</x:v>
      </x:c>
      <x:c r="S76" s="26"/>
      <x:c r="T76" s="22">
        <x:f>IF(S76="","",IFERROR(INDEX('درخت جدید'!$C:$C,MATCH(S76&amp;"",'درخت جدید'!$B:$B,0)),"—"))</x:f>
      </x:c>
      <x:c r="U76" s="22">
        <x:f>IF(S76="",IF(N76="بله","الزامی — تکمیل نشده",""),IF(AND(O76&lt;&gt;"",LEFT(S76&amp;"",4)&lt;&gt;O76),"زیر کل دیگری است — کل یا معین را اصلاح کنید",IF(COUNTIFS('درخت جدید'!$B:$B,S76&amp;"",'درخت جدید'!$A:$A,"معین")=0,IF(V76="","کد در درخت نیست — نام برای تعریف را بنویسید","OK"),"OK")))</x:f>
      </x:c>
      <x:c r="V76" s="27"/>
      <x:c r="W76" s="28"/>
    </x:row>
    <x:row r="77" spans="1:23">
      <x:c r="A77" s="21" t="s">
        <x:v>139</x:v>
      </x:c>
      <x:c r="B77" s="22" t="s">
        <x:v>334</x:v>
      </x:c>
      <x:c r="C77" s="22" t="s">
        <x:v>140</x:v>
      </x:c>
      <x:c r="D77" s="22" t="s">
        <x:v>335</x:v>
      </x:c>
      <x:c r="E77" s="22" t="s">
        <x:v>195</x:v>
      </x:c>
      <x:c r="F77" s="22" t="s">
        <x:v>196</x:v>
      </x:c>
      <x:c r="G77" s="22" t="s">
        <x:v>201</x:v>
      </x:c>
      <x:c r="H77" s="22">
        <x:v>5</x:v>
      </x:c>
      <x:c r="I77" s="22">
        <x:v>1</x:v>
      </x:c>
      <x:c r="J77" s="22">
        <x:v>5</x:v>
      </x:c>
      <x:c r="K77" s="23">
        <x:v>4238682</x:v>
      </x:c>
      <x:c r="L77" s="23">
        <x:v>4238682</x:v>
      </x:c>
      <x:c r="M77" s="23">
        <x:f>K77-L77</x:f>
      </x:c>
      <x:c r="N77" s="22" t="s">
        <x:v>197</x:v>
      </x:c>
      <x:c r="O77" s="24">
        <x:f>IFERROR(INDEX('تطبیق کل'!$J:$J,MATCH(A77&amp;"",'تطبیق کل'!$A:$A,0))&amp;"","")</x:f>
      </x:c>
      <x:c r="P77" s="24"/>
      <x:c r="Q77" s="24" t="s">
        <x:v>198</x:v>
      </x:c>
      <x:c r="R77" s="25"/>
      <x:c r="S77" s="26"/>
      <x:c r="T77" s="22">
        <x:f>IF(S77="","",IFERROR(INDEX('درخت جدید'!$C:$C,MATCH(S77&amp;"",'درخت جدید'!$B:$B,0)),"—"))</x:f>
      </x:c>
      <x:c r="U77" s="22">
        <x:f>IF(S77="",IF(N77="بله","الزامی — تکمیل نشده",""),IF(AND(O77&lt;&gt;"",LEFT(S77&amp;"",4)&lt;&gt;O77),"زیر کل دیگری است — کل یا معین را اصلاح کنید",IF(COUNTIFS('درخت جدید'!$B:$B,S77&amp;"",'درخت جدید'!$A:$A,"معین")=0,IF(V77="","کد در درخت نیست — نام برای تعریف را بنویسید","OK"),"OK")))</x:f>
      </x:c>
      <x:c r="V77" s="27"/>
      <x:c r="W77" s="28"/>
    </x:row>
    <x:row r="78" spans="1:23">
      <x:c r="A78" s="21" t="s">
        <x:v>139</x:v>
      </x:c>
      <x:c r="B78" s="22" t="s">
        <x:v>336</x:v>
      </x:c>
      <x:c r="C78" s="22" t="s">
        <x:v>140</x:v>
      </x:c>
      <x:c r="D78" s="22" t="s">
        <x:v>337</x:v>
      </x:c>
      <x:c r="E78" s="22" t="s">
        <x:v>195</x:v>
      </x:c>
      <x:c r="F78" s="22" t="s">
        <x:v>196</x:v>
      </x:c>
      <x:c r="G78" s="22" t="s">
        <x:v>201</x:v>
      </x:c>
      <x:c r="H78" s="22">
        <x:v>4</x:v>
      </x:c>
      <x:c r="I78" s="22">
        <x:v>2</x:v>
      </x:c>
      <x:c r="J78" s="22">
        <x:v>320</x:v>
      </x:c>
      <x:c r="K78" s="23">
        <x:v>16647796975</x:v>
      </x:c>
      <x:c r="L78" s="23">
        <x:v>20115309407</x:v>
      </x:c>
      <x:c r="M78" s="23">
        <x:f>K78-L78</x:f>
      </x:c>
      <x:c r="N78" s="22" t="s">
        <x:v>197</x:v>
      </x:c>
      <x:c r="O78" s="24">
        <x:f>IFERROR(INDEX('تطبیق کل'!$J:$J,MATCH(A78&amp;"",'تطبیق کل'!$A:$A,0))&amp;"","")</x:f>
      </x:c>
      <x:c r="P78" s="24"/>
      <x:c r="Q78" s="24" t="s">
        <x:v>198</x:v>
      </x:c>
      <x:c r="R78" s="25"/>
      <x:c r="S78" s="26"/>
      <x:c r="T78" s="22">
        <x:f>IF(S78="","",IFERROR(INDEX('درخت جدید'!$C:$C,MATCH(S78&amp;"",'درخت جدید'!$B:$B,0)),"—"))</x:f>
      </x:c>
      <x:c r="U78" s="22">
        <x:f>IF(S78="",IF(N78="بله","الزامی — تکمیل نشده",""),IF(AND(O78&lt;&gt;"",LEFT(S78&amp;"",4)&lt;&gt;O78),"زیر کل دیگری است — کل یا معین را اصلاح کنید",IF(COUNTIFS('درخت جدید'!$B:$B,S78&amp;"",'درخت جدید'!$A:$A,"معین")=0,IF(V78="","کد در درخت نیست — نام برای تعریف را بنویسید","OK"),"OK")))</x:f>
      </x:c>
      <x:c r="V78" s="27"/>
      <x:c r="W78" s="28"/>
    </x:row>
    <x:row r="79" spans="1:23">
      <x:c r="A79" s="21" t="s">
        <x:v>139</x:v>
      </x:c>
      <x:c r="B79" s="22" t="s">
        <x:v>64</x:v>
      </x:c>
      <x:c r="C79" s="22" t="s">
        <x:v>140</x:v>
      </x:c>
      <x:c r="D79" s="22" t="s">
        <x:v>338</x:v>
      </x:c>
      <x:c r="E79" s="22" t="s">
        <x:v>195</x:v>
      </x:c>
      <x:c r="F79" s="22" t="s">
        <x:v>196</x:v>
      </x:c>
      <x:c r="G79" s="22" t="s">
        <x:v>201</x:v>
      </x:c>
      <x:c r="H79" s="22">
        <x:v>4</x:v>
      </x:c>
      <x:c r="I79" s="22">
        <x:v>2</x:v>
      </x:c>
      <x:c r="J79" s="22">
        <x:v>5</x:v>
      </x:c>
      <x:c r="K79" s="23">
        <x:v>34837237486</x:v>
      </x:c>
      <x:c r="L79" s="23">
        <x:v>46793992963</x:v>
      </x:c>
      <x:c r="M79" s="23">
        <x:f>K79-L79</x:f>
      </x:c>
      <x:c r="N79" s="22" t="s">
        <x:v>197</x:v>
      </x:c>
      <x:c r="O79" s="24">
        <x:f>IFERROR(INDEX('تطبیق کل'!$J:$J,MATCH(A79&amp;"",'تطبیق کل'!$A:$A,0))&amp;"","")</x:f>
      </x:c>
      <x:c r="P79" s="24"/>
      <x:c r="Q79" s="24" t="s">
        <x:v>198</x:v>
      </x:c>
      <x:c r="R79" s="25"/>
      <x:c r="S79" s="26"/>
      <x:c r="T79" s="22">
        <x:f>IF(S79="","",IFERROR(INDEX('درخت جدید'!$C:$C,MATCH(S79&amp;"",'درخت جدید'!$B:$B,0)),"—"))</x:f>
      </x:c>
      <x:c r="U79" s="22">
        <x:f>IF(S79="",IF(N79="بله","الزامی — تکمیل نشده",""),IF(AND(O79&lt;&gt;"",LEFT(S79&amp;"",4)&lt;&gt;O79),"زیر کل دیگری است — کل یا معین را اصلاح کنید",IF(COUNTIFS('درخت جدید'!$B:$B,S79&amp;"",'درخت جدید'!$A:$A,"معین")=0,IF(V79="","کد در درخت نیست — نام برای تعریف را بنویسید","OK"),"OK")))</x:f>
      </x:c>
      <x:c r="V79" s="27"/>
      <x:c r="W79" s="28"/>
    </x:row>
    <x:row r="80" spans="1:23">
      <x:c r="A80" s="21" t="s">
        <x:v>139</x:v>
      </x:c>
      <x:c r="B80" s="22" t="s">
        <x:v>67</x:v>
      </x:c>
      <x:c r="C80" s="22" t="s">
        <x:v>140</x:v>
      </x:c>
      <x:c r="D80" s="22" t="s">
        <x:v>339</x:v>
      </x:c>
      <x:c r="E80" s="22" t="s">
        <x:v>195</x:v>
      </x:c>
      <x:c r="F80" s="22" t="s">
        <x:v>196</x:v>
      </x:c>
      <x:c r="G80" s="22" t="s">
        <x:v>201</x:v>
      </x:c>
      <x:c r="H80" s="22">
        <x:v>7</x:v>
      </x:c>
      <x:c r="I80" s="22">
        <x:v>3</x:v>
      </x:c>
      <x:c r="J80" s="22">
        <x:v>7</x:v>
      </x:c>
      <x:c r="K80" s="23">
        <x:v>978992099</x:v>
      </x:c>
      <x:c r="L80" s="23">
        <x:v>1945424336</x:v>
      </x:c>
      <x:c r="M80" s="23">
        <x:f>K80-L80</x:f>
      </x:c>
      <x:c r="N80" s="22" t="s">
        <x:v>197</x:v>
      </x:c>
      <x:c r="O80" s="24">
        <x:f>IFERROR(INDEX('تطبیق کل'!$J:$J,MATCH(A80&amp;"",'تطبیق کل'!$A:$A,0))&amp;"","")</x:f>
      </x:c>
      <x:c r="P80" s="24"/>
      <x:c r="Q80" s="24" t="s">
        <x:v>198</x:v>
      </x:c>
      <x:c r="R80" s="25"/>
      <x:c r="S80" s="26"/>
      <x:c r="T80" s="22">
        <x:f>IF(S80="","",IFERROR(INDEX('درخت جدید'!$C:$C,MATCH(S80&amp;"",'درخت جدید'!$B:$B,0)),"—"))</x:f>
      </x:c>
      <x:c r="U80" s="22">
        <x:f>IF(S80="",IF(N80="بله","الزامی — تکمیل نشده",""),IF(AND(O80&lt;&gt;"",LEFT(S80&amp;"",4)&lt;&gt;O80),"زیر کل دیگری است — کل یا معین را اصلاح کنید",IF(COUNTIFS('درخت جدید'!$B:$B,S80&amp;"",'درخت جدید'!$A:$A,"معین")=0,IF(V80="","کد در درخت نیست — نام برای تعریف را بنویسید","OK"),"OK")))</x:f>
      </x:c>
      <x:c r="V80" s="27"/>
      <x:c r="W80" s="28"/>
    </x:row>
    <x:row r="81" spans="1:23">
      <x:c r="A81" s="21" t="s">
        <x:v>139</x:v>
      </x:c>
      <x:c r="B81" s="22" t="s">
        <x:v>71</x:v>
      </x:c>
      <x:c r="C81" s="22" t="s">
        <x:v>140</x:v>
      </x:c>
      <x:c r="D81" s="22" t="s">
        <x:v>340</x:v>
      </x:c>
      <x:c r="E81" s="22" t="s">
        <x:v>195</x:v>
      </x:c>
      <x:c r="F81" s="22" t="s">
        <x:v>196</x:v>
      </x:c>
      <x:c r="G81" s="22" t="s">
        <x:v>196</x:v>
      </x:c>
      <x:c r="H81" s="22">
        <x:v>5</x:v>
      </x:c>
      <x:c r="I81" s="22">
        <x:v>3</x:v>
      </x:c>
      <x:c r="J81" s="22">
        <x:v>29</x:v>
      </x:c>
      <x:c r="K81" s="23">
        <x:v>19259468330</x:v>
      </x:c>
      <x:c r="L81" s="23">
        <x:v>9259468320</x:v>
      </x:c>
      <x:c r="M81" s="23">
        <x:f>K81-L81</x:f>
      </x:c>
      <x:c r="N81" s="22" t="s">
        <x:v>197</x:v>
      </x:c>
      <x:c r="O81" s="24">
        <x:f>IFERROR(INDEX('تطبیق کل'!$J:$J,MATCH(A81&amp;"",'تطبیق کل'!$A:$A,0))&amp;"","")</x:f>
      </x:c>
      <x:c r="P81" s="24" t="s">
        <x:v>257</x:v>
      </x:c>
      <x:c r="Q81" s="24" t="s">
        <x:v>258</x:v>
      </x:c>
      <x:c r="R81" s="25">
        <x:v>0.35</x:v>
      </x:c>
      <x:c r="S81" s="26"/>
      <x:c r="T81" s="22">
        <x:f>IF(S81="","",IFERROR(INDEX('درخت جدید'!$C:$C,MATCH(S81&amp;"",'درخت جدید'!$B:$B,0)),"—"))</x:f>
      </x:c>
      <x:c r="U81" s="22">
        <x:f>IF(S81="",IF(N81="بله","الزامی — تکمیل نشده",""),IF(AND(O81&lt;&gt;"",LEFT(S81&amp;"",4)&lt;&gt;O81),"زیر کل دیگری است — کل یا معین را اصلاح کنید",IF(COUNTIFS('درخت جدید'!$B:$B,S81&amp;"",'درخت جدید'!$A:$A,"معین")=0,IF(V81="","کد در درخت نیست — نام برای تعریف را بنویسید","OK"),"OK")))</x:f>
      </x:c>
      <x:c r="V81" s="27"/>
      <x:c r="W81" s="28"/>
    </x:row>
    <x:row r="82" spans="1:23">
      <x:c r="A82" s="21" t="s">
        <x:v>139</x:v>
      </x:c>
      <x:c r="B82" s="22" t="s">
        <x:v>209</x:v>
      </x:c>
      <x:c r="C82" s="22" t="s">
        <x:v>140</x:v>
      </x:c>
      <x:c r="D82" s="22" t="s">
        <x:v>341</x:v>
      </x:c>
      <x:c r="E82" s="22" t="s">
        <x:v>195</x:v>
      </x:c>
      <x:c r="F82" s="22" t="s">
        <x:v>196</x:v>
      </x:c>
      <x:c r="G82" s="22" t="s">
        <x:v>201</x:v>
      </x:c>
      <x:c r="H82" s="22">
        <x:v>73</x:v>
      </x:c>
      <x:c r="I82" s="22">
        <x:v>26</x:v>
      </x:c>
      <x:c r="J82" s="22">
        <x:v>90</x:v>
      </x:c>
      <x:c r="K82" s="23">
        <x:v>5077234629</x:v>
      </x:c>
      <x:c r="L82" s="23">
        <x:v>5126383673</x:v>
      </x:c>
      <x:c r="M82" s="23">
        <x:f>K82-L82</x:f>
      </x:c>
      <x:c r="N82" s="22" t="s">
        <x:v>197</x:v>
      </x:c>
      <x:c r="O82" s="24">
        <x:f>IFERROR(INDEX('تطبیق کل'!$J:$J,MATCH(A82&amp;"",'تطبیق کل'!$A:$A,0))&amp;"","")</x:f>
      </x:c>
      <x:c r="P82" s="24" t="s">
        <x:v>246</x:v>
      </x:c>
      <x:c r="Q82" s="24" t="s">
        <x:v>247</x:v>
      </x:c>
      <x:c r="R82" s="25">
        <x:v>0.42</x:v>
      </x:c>
      <x:c r="S82" s="26"/>
      <x:c r="T82" s="22">
        <x:f>IF(S82="","",IFERROR(INDEX('درخت جدید'!$C:$C,MATCH(S82&amp;"",'درخت جدید'!$B:$B,0)),"—"))</x:f>
      </x:c>
      <x:c r="U82" s="22">
        <x:f>IF(S82="",IF(N82="بله","الزامی — تکمیل نشده",""),IF(AND(O82&lt;&gt;"",LEFT(S82&amp;"",4)&lt;&gt;O82),"زیر کل دیگری است — کل یا معین را اصلاح کنید",IF(COUNTIFS('درخت جدید'!$B:$B,S82&amp;"",'درخت جدید'!$A:$A,"معین")=0,IF(V82="","کد در درخت نیست — نام برای تعریف را بنویسید","OK"),"OK")))</x:f>
      </x:c>
      <x:c r="V82" s="27"/>
      <x:c r="W82" s="28"/>
    </x:row>
    <x:row r="83" spans="1:23">
      <x:c r="A83" s="21" t="s">
        <x:v>143</x:v>
      </x:c>
      <x:c r="B83" s="22" t="s">
        <x:v>251</x:v>
      </x:c>
      <x:c r="C83" s="22" t="s">
        <x:v>144</x:v>
      </x:c>
      <x:c r="D83" s="22" t="s">
        <x:v>342</x:v>
      </x:c>
      <x:c r="E83" s="22" t="s">
        <x:v>195</x:v>
      </x:c>
      <x:c r="F83" s="22" t="s">
        <x:v>196</x:v>
      </x:c>
      <x:c r="G83" s="22" t="s">
        <x:v>201</x:v>
      </x:c>
      <x:c r="H83" s="22">
        <x:v>11</x:v>
      </x:c>
      <x:c r="I83" s="22">
        <x:v>2</x:v>
      </x:c>
      <x:c r="J83" s="22">
        <x:v>10</x:v>
      </x:c>
      <x:c r="K83" s="23">
        <x:v>6950000</x:v>
      </x:c>
      <x:c r="L83" s="23">
        <x:v>9580000</x:v>
      </x:c>
      <x:c r="M83" s="23">
        <x:f>K83-L83</x:f>
      </x:c>
      <x:c r="N83" s="22" t="s">
        <x:v>197</x:v>
      </x:c>
      <x:c r="O83" s="24">
        <x:f>IFERROR(INDEX('تطبیق کل'!$J:$J,MATCH(A83&amp;"",'تطبیق کل'!$A:$A,0))&amp;"","")</x:f>
      </x:c>
      <x:c r="P83" s="24"/>
      <x:c r="Q83" s="24" t="s">
        <x:v>198</x:v>
      </x:c>
      <x:c r="R83" s="25"/>
      <x:c r="S83" s="26"/>
      <x:c r="T83" s="22">
        <x:f>IF(S83="","",IFERROR(INDEX('درخت جدید'!$C:$C,MATCH(S83&amp;"",'درخت جدید'!$B:$B,0)),"—"))</x:f>
      </x:c>
      <x:c r="U83" s="22">
        <x:f>IF(S83="",IF(N83="بله","الزامی — تکمیل نشده",""),IF(AND(O83&lt;&gt;"",LEFT(S83&amp;"",4)&lt;&gt;O83),"زیر کل دیگری است — کل یا معین را اصلاح کنید",IF(COUNTIFS('درخت جدید'!$B:$B,S83&amp;"",'درخت جدید'!$A:$A,"معین")=0,IF(V83="","کد در درخت نیست — نام برای تعریف را بنویسید","OK"),"OK")))</x:f>
      </x:c>
      <x:c r="V83" s="27"/>
      <x:c r="W83" s="28"/>
    </x:row>
    <x:row r="84" spans="1:23">
      <x:c r="A84" s="21" t="s">
        <x:v>143</x:v>
      </x:c>
      <x:c r="B84" s="22" t="s">
        <x:v>306</x:v>
      </x:c>
      <x:c r="C84" s="22" t="s">
        <x:v>144</x:v>
      </x:c>
      <x:c r="D84" s="22" t="s">
        <x:v>343</x:v>
      </x:c>
      <x:c r="E84" s="22" t="s">
        <x:v>195</x:v>
      </x:c>
      <x:c r="F84" s="22" t="s">
        <x:v>196</x:v>
      </x:c>
      <x:c r="G84" s="22" t="s">
        <x:v>201</x:v>
      </x:c>
      <x:c r="H84" s="22">
        <x:v>5</x:v>
      </x:c>
      <x:c r="I84" s="22">
        <x:v>1</x:v>
      </x:c>
      <x:c r="J84" s="22">
        <x:v>24</x:v>
      </x:c>
      <x:c r="K84" s="23">
        <x:v>653090000</x:v>
      </x:c>
      <x:c r="L84" s="23">
        <x:v>737090000</x:v>
      </x:c>
      <x:c r="M84" s="23">
        <x:f>K84-L84</x:f>
      </x:c>
      <x:c r="N84" s="22" t="s">
        <x:v>197</x:v>
      </x:c>
      <x:c r="O84" s="24">
        <x:f>IFERROR(INDEX('تطبیق کل'!$J:$J,MATCH(A84&amp;"",'تطبیق کل'!$A:$A,0))&amp;"","")</x:f>
      </x:c>
      <x:c r="P84" s="24"/>
      <x:c r="Q84" s="24" t="s">
        <x:v>198</x:v>
      </x:c>
      <x:c r="R84" s="25"/>
      <x:c r="S84" s="26"/>
      <x:c r="T84" s="22">
        <x:f>IF(S84="","",IFERROR(INDEX('درخت جدید'!$C:$C,MATCH(S84&amp;"",'درخت جدید'!$B:$B,0)),"—"))</x:f>
      </x:c>
      <x:c r="U84" s="22">
        <x:f>IF(S84="",IF(N84="بله","الزامی — تکمیل نشده",""),IF(AND(O84&lt;&gt;"",LEFT(S84&amp;"",4)&lt;&gt;O84),"زیر کل دیگری است — کل یا معین را اصلاح کنید",IF(COUNTIFS('درخت جدید'!$B:$B,S84&amp;"",'درخت جدید'!$A:$A,"معین")=0,IF(V84="","کد در درخت نیست — نام برای تعریف را بنویسید","OK"),"OK")))</x:f>
      </x:c>
      <x:c r="V84" s="27"/>
      <x:c r="W84" s="28"/>
    </x:row>
    <x:row r="85" spans="1:23">
      <x:c r="A85" s="21" t="s">
        <x:v>143</x:v>
      </x:c>
      <x:c r="B85" s="22" t="s">
        <x:v>344</x:v>
      </x:c>
      <x:c r="C85" s="22" t="s">
        <x:v>144</x:v>
      </x:c>
      <x:c r="D85" s="22" t="s">
        <x:v>345</x:v>
      </x:c>
      <x:c r="E85" s="22" t="s">
        <x:v>195</x:v>
      </x:c>
      <x:c r="F85" s="22" t="s">
        <x:v>196</x:v>
      </x:c>
      <x:c r="G85" s="22" t="s">
        <x:v>201</x:v>
      </x:c>
      <x:c r="H85" s="22">
        <x:v>4</x:v>
      </x:c>
      <x:c r="I85" s="22">
        <x:v>3</x:v>
      </x:c>
      <x:c r="J85" s="22">
        <x:v>27</x:v>
      </x:c>
      <x:c r="K85" s="23">
        <x:v>257060265</x:v>
      </x:c>
      <x:c r="L85" s="23">
        <x:v>292913865</x:v>
      </x:c>
      <x:c r="M85" s="23">
        <x:f>K85-L85</x:f>
      </x:c>
      <x:c r="N85" s="22" t="s">
        <x:v>197</x:v>
      </x:c>
      <x:c r="O85" s="24">
        <x:f>IFERROR(INDEX('تطبیق کل'!$J:$J,MATCH(A85&amp;"",'تطبیق کل'!$A:$A,0))&amp;"","")</x:f>
      </x:c>
      <x:c r="P85" s="24"/>
      <x:c r="Q85" s="24" t="s">
        <x:v>198</x:v>
      </x:c>
      <x:c r="R85" s="25"/>
      <x:c r="S85" s="26"/>
      <x:c r="T85" s="22">
        <x:f>IF(S85="","",IFERROR(INDEX('درخت جدید'!$C:$C,MATCH(S85&amp;"",'درخت جدید'!$B:$B,0)),"—"))</x:f>
      </x:c>
      <x:c r="U85" s="22">
        <x:f>IF(S85="",IF(N85="بله","الزامی — تکمیل نشده",""),IF(AND(O85&lt;&gt;"",LEFT(S85&amp;"",4)&lt;&gt;O85),"زیر کل دیگری است — کل یا معین را اصلاح کنید",IF(COUNTIFS('درخت جدید'!$B:$B,S85&amp;"",'درخت جدید'!$A:$A,"معین")=0,IF(V85="","کد در درخت نیست — نام برای تعریف را بنویسید","OK"),"OK")))</x:f>
      </x:c>
      <x:c r="V85" s="27"/>
      <x:c r="W85" s="28"/>
    </x:row>
    <x:row r="86" spans="1:23">
      <x:c r="A86" s="21" t="s">
        <x:v>143</x:v>
      </x:c>
      <x:c r="B86" s="22" t="s">
        <x:v>255</x:v>
      </x:c>
      <x:c r="C86" s="22" t="s">
        <x:v>144</x:v>
      </x:c>
      <x:c r="D86" s="22" t="s">
        <x:v>346</x:v>
      </x:c>
      <x:c r="E86" s="22" t="s">
        <x:v>195</x:v>
      </x:c>
      <x:c r="F86" s="22" t="s">
        <x:v>196</x:v>
      </x:c>
      <x:c r="G86" s="22" t="s">
        <x:v>201</x:v>
      </x:c>
      <x:c r="H86" s="22">
        <x:v>7</x:v>
      </x:c>
      <x:c r="I86" s="22">
        <x:v>1</x:v>
      </x:c>
      <x:c r="J86" s="22">
        <x:v>15</x:v>
      </x:c>
      <x:c r="K86" s="23">
        <x:v>32454108</x:v>
      </x:c>
      <x:c r="L86" s="23">
        <x:v>32454108</x:v>
      </x:c>
      <x:c r="M86" s="23">
        <x:f>K86-L86</x:f>
      </x:c>
      <x:c r="N86" s="22" t="s">
        <x:v>197</x:v>
      </x:c>
      <x:c r="O86" s="24">
        <x:f>IFERROR(INDEX('تطبیق کل'!$J:$J,MATCH(A86&amp;"",'تطبیق کل'!$A:$A,0))&amp;"","")</x:f>
      </x:c>
      <x:c r="P86" s="24"/>
      <x:c r="Q86" s="24" t="s">
        <x:v>198</x:v>
      </x:c>
      <x:c r="R86" s="25"/>
      <x:c r="S86" s="26"/>
      <x:c r="T86" s="22">
        <x:f>IF(S86="","",IFERROR(INDEX('درخت جدید'!$C:$C,MATCH(S86&amp;"",'درخت جدید'!$B:$B,0)),"—"))</x:f>
      </x:c>
      <x:c r="U86" s="22">
        <x:f>IF(S86="",IF(N86="بله","الزامی — تکمیل نشده",""),IF(AND(O86&lt;&gt;"",LEFT(S86&amp;"",4)&lt;&gt;O86),"زیر کل دیگری است — کل یا معین را اصلاح کنید",IF(COUNTIFS('درخت جدید'!$B:$B,S86&amp;"",'درخت جدید'!$A:$A,"معین")=0,IF(V86="","کد در درخت نیست — نام برای تعریف را بنویسید","OK"),"OK")))</x:f>
      </x:c>
      <x:c r="V86" s="27"/>
      <x:c r="W86" s="28"/>
    </x:row>
    <x:row r="87" spans="1:23">
      <x:c r="A87" s="21" t="s">
        <x:v>143</x:v>
      </x:c>
      <x:c r="B87" s="22" t="s">
        <x:v>308</x:v>
      </x:c>
      <x:c r="C87" s="22" t="s">
        <x:v>144</x:v>
      </x:c>
      <x:c r="D87" s="22" t="s">
        <x:v>347</x:v>
      </x:c>
      <x:c r="E87" s="22" t="s">
        <x:v>195</x:v>
      </x:c>
      <x:c r="F87" s="22" t="s">
        <x:v>196</x:v>
      </x:c>
      <x:c r="G87" s="22" t="s">
        <x:v>201</x:v>
      </x:c>
      <x:c r="H87" s="22">
        <x:v>12</x:v>
      </x:c>
      <x:c r="I87" s="22">
        <x:v>6</x:v>
      </x:c>
      <x:c r="J87" s="22">
        <x:v>156</x:v>
      </x:c>
      <x:c r="K87" s="23">
        <x:v>8398839673</x:v>
      </x:c>
      <x:c r="L87" s="23">
        <x:v>8455739345</x:v>
      </x:c>
      <x:c r="M87" s="23">
        <x:f>K87-L87</x:f>
      </x:c>
      <x:c r="N87" s="22" t="s">
        <x:v>197</x:v>
      </x:c>
      <x:c r="O87" s="24">
        <x:f>IFERROR(INDEX('تطبیق کل'!$J:$J,MATCH(A87&amp;"",'تطبیق کل'!$A:$A,0))&amp;"","")</x:f>
      </x:c>
      <x:c r="P87" s="24" t="s">
        <x:v>348</x:v>
      </x:c>
      <x:c r="Q87" s="24" t="s">
        <x:v>33</x:v>
      </x:c>
      <x:c r="R87" s="25">
        <x:v>0.42</x:v>
      </x:c>
      <x:c r="S87" s="26"/>
      <x:c r="T87" s="22">
        <x:f>IF(S87="","",IFERROR(INDEX('درخت جدید'!$C:$C,MATCH(S87&amp;"",'درخت جدید'!$B:$B,0)),"—"))</x:f>
      </x:c>
      <x:c r="U87" s="22">
        <x:f>IF(S87="",IF(N87="بله","الزامی — تکمیل نشده",""),IF(AND(O87&lt;&gt;"",LEFT(S87&amp;"",4)&lt;&gt;O87),"زیر کل دیگری است — کل یا معین را اصلاح کنید",IF(COUNTIFS('درخت جدید'!$B:$B,S87&amp;"",'درخت جدید'!$A:$A,"معین")=0,IF(V87="","کد در درخت نیست — نام برای تعریف را بنویسید","OK"),"OK")))</x:f>
      </x:c>
      <x:c r="V87" s="27"/>
      <x:c r="W87" s="28"/>
    </x:row>
    <x:row r="88" spans="1:23">
      <x:c r="A88" s="21" t="s">
        <x:v>143</x:v>
      </x:c>
      <x:c r="B88" s="22" t="s">
        <x:v>310</x:v>
      </x:c>
      <x:c r="C88" s="22" t="s">
        <x:v>144</x:v>
      </x:c>
      <x:c r="D88" s="22" t="s">
        <x:v>349</x:v>
      </x:c>
      <x:c r="E88" s="22" t="s">
        <x:v>195</x:v>
      </x:c>
      <x:c r="F88" s="22" t="s">
        <x:v>196</x:v>
      </x:c>
      <x:c r="G88" s="22" t="s">
        <x:v>201</x:v>
      </x:c>
      <x:c r="H88" s="22">
        <x:v>5</x:v>
      </x:c>
      <x:c r="I88" s="22">
        <x:v>2</x:v>
      </x:c>
      <x:c r="J88" s="22">
        <x:v>8</x:v>
      </x:c>
      <x:c r="K88" s="23">
        <x:v>74564413</x:v>
      </x:c>
      <x:c r="L88" s="23">
        <x:v>74564413</x:v>
      </x:c>
      <x:c r="M88" s="23">
        <x:f>K88-L88</x:f>
      </x:c>
      <x:c r="N88" s="22" t="s">
        <x:v>197</x:v>
      </x:c>
      <x:c r="O88" s="24">
        <x:f>IFERROR(INDEX('تطبیق کل'!$J:$J,MATCH(A88&amp;"",'تطبیق کل'!$A:$A,0))&amp;"","")</x:f>
      </x:c>
      <x:c r="P88" s="24" t="s">
        <x:v>350</x:v>
      </x:c>
      <x:c r="Q88" s="24" t="s">
        <x:v>37</x:v>
      </x:c>
      <x:c r="R88" s="25">
        <x:v>0.44</x:v>
      </x:c>
      <x:c r="S88" s="26"/>
      <x:c r="T88" s="22">
        <x:f>IF(S88="","",IFERROR(INDEX('درخت جدید'!$C:$C,MATCH(S88&amp;"",'درخت جدید'!$B:$B,0)),"—"))</x:f>
      </x:c>
      <x:c r="U88" s="22">
        <x:f>IF(S88="",IF(N88="بله","الزامی — تکمیل نشده",""),IF(AND(O88&lt;&gt;"",LEFT(S88&amp;"",4)&lt;&gt;O88),"زیر کل دیگری است — کل یا معین را اصلاح کنید",IF(COUNTIFS('درخت جدید'!$B:$B,S88&amp;"",'درخت جدید'!$A:$A,"معین")=0,IF(V88="","کد در درخت نیست — نام برای تعریف را بنویسید","OK"),"OK")))</x:f>
      </x:c>
      <x:c r="V88" s="27"/>
      <x:c r="W88" s="28"/>
    </x:row>
    <x:row r="89" spans="1:23">
      <x:c r="A89" s="21" t="s">
        <x:v>143</x:v>
      </x:c>
      <x:c r="B89" s="22" t="s">
        <x:v>351</x:v>
      </x:c>
      <x:c r="C89" s="22" t="s">
        <x:v>144</x:v>
      </x:c>
      <x:c r="D89" s="22" t="s">
        <x:v>352</x:v>
      </x:c>
      <x:c r="E89" s="22" t="s">
        <x:v>195</x:v>
      </x:c>
      <x:c r="F89" s="22" t="s">
        <x:v>196</x:v>
      </x:c>
      <x:c r="G89" s="22" t="s">
        <x:v>201</x:v>
      </x:c>
      <x:c r="H89" s="22">
        <x:v>4</x:v>
      </x:c>
      <x:c r="I89" s="22">
        <x:v>1</x:v>
      </x:c>
      <x:c r="J89" s="22">
        <x:v>5</x:v>
      </x:c>
      <x:c r="K89" s="23">
        <x:v>25650000</x:v>
      </x:c>
      <x:c r="L89" s="23">
        <x:v>25650000</x:v>
      </x:c>
      <x:c r="M89" s="23">
        <x:f>K89-L89</x:f>
      </x:c>
      <x:c r="N89" s="22" t="s">
        <x:v>197</x:v>
      </x:c>
      <x:c r="O89" s="24">
        <x:f>IFERROR(INDEX('تطبیق کل'!$J:$J,MATCH(A89&amp;"",'تطبیق کل'!$A:$A,0))&amp;"","")</x:f>
      </x:c>
      <x:c r="P89" s="24"/>
      <x:c r="Q89" s="24" t="s">
        <x:v>198</x:v>
      </x:c>
      <x:c r="R89" s="25"/>
      <x:c r="S89" s="26"/>
      <x:c r="T89" s="22">
        <x:f>IF(S89="","",IFERROR(INDEX('درخت جدید'!$C:$C,MATCH(S89&amp;"",'درخت جدید'!$B:$B,0)),"—"))</x:f>
      </x:c>
      <x:c r="U89" s="22">
        <x:f>IF(S89="",IF(N89="بله","الزامی — تکمیل نشده",""),IF(AND(O89&lt;&gt;"",LEFT(S89&amp;"",4)&lt;&gt;O89),"زیر کل دیگری است — کل یا معین را اصلاح کنید",IF(COUNTIFS('درخت جدید'!$B:$B,S89&amp;"",'درخت جدید'!$A:$A,"معین")=0,IF(V89="","کد در درخت نیست — نام برای تعریف را بنویسید","OK"),"OK")))</x:f>
      </x:c>
      <x:c r="V89" s="27"/>
      <x:c r="W89" s="28"/>
    </x:row>
    <x:row r="90" spans="1:23">
      <x:c r="A90" s="21" t="s">
        <x:v>143</x:v>
      </x:c>
      <x:c r="B90" s="22" t="s">
        <x:v>193</x:v>
      </x:c>
      <x:c r="C90" s="22" t="s">
        <x:v>144</x:v>
      </x:c>
      <x:c r="D90" s="22" t="s">
        <x:v>353</x:v>
      </x:c>
      <x:c r="E90" s="22" t="s">
        <x:v>195</x:v>
      </x:c>
      <x:c r="F90" s="22" t="s">
        <x:v>196</x:v>
      </x:c>
      <x:c r="G90" s="22" t="s">
        <x:v>201</x:v>
      </x:c>
      <x:c r="H90" s="22">
        <x:v>5</x:v>
      </x:c>
      <x:c r="I90" s="22">
        <x:v>2</x:v>
      </x:c>
      <x:c r="J90" s="22">
        <x:v>35</x:v>
      </x:c>
      <x:c r="K90" s="23">
        <x:v>198991180</x:v>
      </x:c>
      <x:c r="L90" s="23">
        <x:v>233261180</x:v>
      </x:c>
      <x:c r="M90" s="23">
        <x:f>K90-L90</x:f>
      </x:c>
      <x:c r="N90" s="22" t="s">
        <x:v>197</x:v>
      </x:c>
      <x:c r="O90" s="24">
        <x:f>IFERROR(INDEX('تطبیق کل'!$J:$J,MATCH(A90&amp;"",'تطبیق کل'!$A:$A,0))&amp;"","")</x:f>
      </x:c>
      <x:c r="P90" s="24"/>
      <x:c r="Q90" s="24" t="s">
        <x:v>198</x:v>
      </x:c>
      <x:c r="R90" s="25"/>
      <x:c r="S90" s="26"/>
      <x:c r="T90" s="22">
        <x:f>IF(S90="","",IFERROR(INDEX('درخت جدید'!$C:$C,MATCH(S90&amp;"",'درخت جدید'!$B:$B,0)),"—"))</x:f>
      </x:c>
      <x:c r="U90" s="22">
        <x:f>IF(S90="",IF(N90="بله","الزامی — تکمیل نشده",""),IF(AND(O90&lt;&gt;"",LEFT(S90&amp;"",4)&lt;&gt;O90),"زیر کل دیگری است — کل یا معین را اصلاح کنید",IF(COUNTIFS('درخت جدید'!$B:$B,S90&amp;"",'درخت جدید'!$A:$A,"معین")=0,IF(V90="","کد در درخت نیست — نام برای تعریف را بنویسید","OK"),"OK")))</x:f>
      </x:c>
      <x:c r="V90" s="27"/>
      <x:c r="W90" s="28"/>
    </x:row>
    <x:row r="91" spans="1:23">
      <x:c r="A91" s="21" t="s">
        <x:v>143</x:v>
      </x:c>
      <x:c r="B91" s="22" t="s">
        <x:v>204</x:v>
      </x:c>
      <x:c r="C91" s="22" t="s">
        <x:v>144</x:v>
      </x:c>
      <x:c r="D91" s="22" t="s">
        <x:v>354</x:v>
      </x:c>
      <x:c r="E91" s="22" t="s">
        <x:v>195</x:v>
      </x:c>
      <x:c r="F91" s="22" t="s">
        <x:v>196</x:v>
      </x:c>
      <x:c r="G91" s="22" t="s">
        <x:v>201</x:v>
      </x:c>
      <x:c r="H91" s="22">
        <x:v>6</x:v>
      </x:c>
      <x:c r="I91" s="22">
        <x:v>2</x:v>
      </x:c>
      <x:c r="J91" s="22">
        <x:v>4</x:v>
      </x:c>
      <x:c r="K91" s="23">
        <x:v>3350000</x:v>
      </x:c>
      <x:c r="L91" s="23">
        <x:v>3350000</x:v>
      </x:c>
      <x:c r="M91" s="23">
        <x:f>K91-L91</x:f>
      </x:c>
      <x:c r="N91" s="22" t="s">
        <x:v>197</x:v>
      </x:c>
      <x:c r="O91" s="24">
        <x:f>IFERROR(INDEX('تطبیق کل'!$J:$J,MATCH(A91&amp;"",'تطبیق کل'!$A:$A,0))&amp;"","")</x:f>
      </x:c>
      <x:c r="P91" s="24" t="s">
        <x:v>278</x:v>
      </x:c>
      <x:c r="Q91" s="24" t="s">
        <x:v>279</x:v>
      </x:c>
      <x:c r="R91" s="25">
        <x:v>0.55</x:v>
      </x:c>
      <x:c r="S91" s="26"/>
      <x:c r="T91" s="22">
        <x:f>IF(S91="","",IFERROR(INDEX('درخت جدید'!$C:$C,MATCH(S91&amp;"",'درخت جدید'!$B:$B,0)),"—"))</x:f>
      </x:c>
      <x:c r="U91" s="22">
        <x:f>IF(S91="",IF(N91="بله","الزامی — تکمیل نشده",""),IF(AND(O91&lt;&gt;"",LEFT(S91&amp;"",4)&lt;&gt;O91),"زیر کل دیگری است — کل یا معین را اصلاح کنید",IF(COUNTIFS('درخت جدید'!$B:$B,S91&amp;"",'درخت جدید'!$A:$A,"معین")=0,IF(V91="","کد در درخت نیست — نام برای تعریف را بنویسید","OK"),"OK")))</x:f>
      </x:c>
      <x:c r="V91" s="27"/>
      <x:c r="W91" s="28"/>
    </x:row>
    <x:row r="92" spans="1:23">
      <x:c r="A92" s="21" t="s">
        <x:v>143</x:v>
      </x:c>
      <x:c r="B92" s="22" t="s">
        <x:v>14</x:v>
      </x:c>
      <x:c r="C92" s="22" t="s">
        <x:v>144</x:v>
      </x:c>
      <x:c r="D92" s="22" t="s">
        <x:v>355</x:v>
      </x:c>
      <x:c r="E92" s="22" t="s">
        <x:v>195</x:v>
      </x:c>
      <x:c r="F92" s="22" t="s">
        <x:v>196</x:v>
      </x:c>
      <x:c r="G92" s="22" t="s">
        <x:v>201</x:v>
      </x:c>
      <x:c r="H92" s="22">
        <x:v>13</x:v>
      </x:c>
      <x:c r="I92" s="22">
        <x:v>2</x:v>
      </x:c>
      <x:c r="J92" s="22">
        <x:v>8</x:v>
      </x:c>
      <x:c r="K92" s="23">
        <x:v>107448977</x:v>
      </x:c>
      <x:c r="L92" s="23">
        <x:v>107448977</x:v>
      </x:c>
      <x:c r="M92" s="23">
        <x:f>K92-L92</x:f>
      </x:c>
      <x:c r="N92" s="22" t="s">
        <x:v>197</x:v>
      </x:c>
      <x:c r="O92" s="24">
        <x:f>IFERROR(INDEX('تطبیق کل'!$J:$J,MATCH(A92&amp;"",'تطبیق کل'!$A:$A,0))&amp;"","")</x:f>
      </x:c>
      <x:c r="P92" s="24"/>
      <x:c r="Q92" s="24" t="s">
        <x:v>198</x:v>
      </x:c>
      <x:c r="R92" s="25"/>
      <x:c r="S92" s="26"/>
      <x:c r="T92" s="22">
        <x:f>IF(S92="","",IFERROR(INDEX('درخت جدید'!$C:$C,MATCH(S92&amp;"",'درخت جدید'!$B:$B,0)),"—"))</x:f>
      </x:c>
      <x:c r="U92" s="22">
        <x:f>IF(S92="",IF(N92="بله","الزامی — تکمیل نشده",""),IF(AND(O92&lt;&gt;"",LEFT(S92&amp;"",4)&lt;&gt;O92),"زیر کل دیگری است — کل یا معین را اصلاح کنید",IF(COUNTIFS('درخت جدید'!$B:$B,S92&amp;"",'درخت جدید'!$A:$A,"معین")=0,IF(V92="","کد در درخت نیست — نام برای تعریف را بنویسید","OK"),"OK")))</x:f>
      </x:c>
      <x:c r="V92" s="27"/>
      <x:c r="W92" s="28"/>
    </x:row>
    <x:row r="93" spans="1:23">
      <x:c r="A93" s="21" t="s">
        <x:v>143</x:v>
      </x:c>
      <x:c r="B93" s="22" t="s">
        <x:v>18</x:v>
      </x:c>
      <x:c r="C93" s="22" t="s">
        <x:v>144</x:v>
      </x:c>
      <x:c r="D93" s="22" t="s">
        <x:v>356</x:v>
      </x:c>
      <x:c r="E93" s="22" t="s">
        <x:v>195</x:v>
      </x:c>
      <x:c r="F93" s="22" t="s">
        <x:v>196</x:v>
      </x:c>
      <x:c r="G93" s="22" t="s">
        <x:v>201</x:v>
      </x:c>
      <x:c r="H93" s="22">
        <x:v>4</x:v>
      </x:c>
      <x:c r="I93" s="22">
        <x:v>1</x:v>
      </x:c>
      <x:c r="J93" s="22">
        <x:v>13</x:v>
      </x:c>
      <x:c r="K93" s="23">
        <x:v>6518626</x:v>
      </x:c>
      <x:c r="L93" s="23">
        <x:v>6861319</x:v>
      </x:c>
      <x:c r="M93" s="23">
        <x:f>K93-L93</x:f>
      </x:c>
      <x:c r="N93" s="22" t="s">
        <x:v>197</x:v>
      </x:c>
      <x:c r="O93" s="24">
        <x:f>IFERROR(INDEX('تطبیق کل'!$J:$J,MATCH(A93&amp;"",'تطبیق کل'!$A:$A,0))&amp;"","")</x:f>
      </x:c>
      <x:c r="P93" s="24" t="s">
        <x:v>278</x:v>
      </x:c>
      <x:c r="Q93" s="24" t="s">
        <x:v>279</x:v>
      </x:c>
      <x:c r="R93" s="25">
        <x:v>0.55</x:v>
      </x:c>
      <x:c r="S93" s="26"/>
      <x:c r="T93" s="22">
        <x:f>IF(S93="","",IFERROR(INDEX('درخت جدید'!$C:$C,MATCH(S93&amp;"",'درخت جدید'!$B:$B,0)),"—"))</x:f>
      </x:c>
      <x:c r="U93" s="22">
        <x:f>IF(S93="",IF(N93="بله","الزامی — تکمیل نشده",""),IF(AND(O93&lt;&gt;"",LEFT(S93&amp;"",4)&lt;&gt;O93),"زیر کل دیگری است — کل یا معین را اصلاح کنید",IF(COUNTIFS('درخت جدید'!$B:$B,S93&amp;"",'درخت جدید'!$A:$A,"معین")=0,IF(V93="","کد در درخت نیست — نام برای تعریف را بنویسید","OK"),"OK")))</x:f>
      </x:c>
      <x:c r="V93" s="27"/>
      <x:c r="W93" s="28"/>
    </x:row>
    <x:row r="94" spans="1:23">
      <x:c r="A94" s="21" t="s">
        <x:v>143</x:v>
      </x:c>
      <x:c r="B94" s="22" t="s">
        <x:v>21</x:v>
      </x:c>
      <x:c r="C94" s="22" t="s">
        <x:v>144</x:v>
      </x:c>
      <x:c r="D94" s="22" t="s">
        <x:v>357</x:v>
      </x:c>
      <x:c r="E94" s="22" t="s">
        <x:v>195</x:v>
      </x:c>
      <x:c r="F94" s="22" t="s">
        <x:v>196</x:v>
      </x:c>
      <x:c r="G94" s="22" t="s">
        <x:v>201</x:v>
      </x:c>
      <x:c r="H94" s="22">
        <x:v>6</x:v>
      </x:c>
      <x:c r="I94" s="22">
        <x:v>4</x:v>
      </x:c>
      <x:c r="J94" s="22">
        <x:v>20</x:v>
      </x:c>
      <x:c r="K94" s="23">
        <x:v>3134912562</x:v>
      </x:c>
      <x:c r="L94" s="23">
        <x:v>3956743062</x:v>
      </x:c>
      <x:c r="M94" s="23">
        <x:f>K94-L94</x:f>
      </x:c>
      <x:c r="N94" s="22" t="s">
        <x:v>197</x:v>
      </x:c>
      <x:c r="O94" s="24">
        <x:f>IFERROR(INDEX('تطبیق کل'!$J:$J,MATCH(A94&amp;"",'تطبیق کل'!$A:$A,0))&amp;"","")</x:f>
      </x:c>
      <x:c r="P94" s="24" t="s">
        <x:v>278</x:v>
      </x:c>
      <x:c r="Q94" s="24" t="s">
        <x:v>279</x:v>
      </x:c>
      <x:c r="R94" s="25">
        <x:v>0.5</x:v>
      </x:c>
      <x:c r="S94" s="26"/>
      <x:c r="T94" s="22">
        <x:f>IF(S94="","",IFERROR(INDEX('درخت جدید'!$C:$C,MATCH(S94&amp;"",'درخت جدید'!$B:$B,0)),"—"))</x:f>
      </x:c>
      <x:c r="U94" s="22">
        <x:f>IF(S94="",IF(N94="بله","الزامی — تکمیل نشده",""),IF(AND(O94&lt;&gt;"",LEFT(S94&amp;"",4)&lt;&gt;O94),"زیر کل دیگری است — کل یا معین را اصلاح کنید",IF(COUNTIFS('درخت جدید'!$B:$B,S94&amp;"",'درخت جدید'!$A:$A,"معین")=0,IF(V94="","کد در درخت نیست — نام برای تعریف را بنویسید","OK"),"OK")))</x:f>
      </x:c>
      <x:c r="V94" s="27"/>
      <x:c r="W94" s="28"/>
    </x:row>
    <x:row r="95" spans="1:23">
      <x:c r="A95" s="21" t="s">
        <x:v>143</x:v>
      </x:c>
      <x:c r="B95" s="22" t="s">
        <x:v>24</x:v>
      </x:c>
      <x:c r="C95" s="22" t="s">
        <x:v>144</x:v>
      </x:c>
      <x:c r="D95" s="22" t="s">
        <x:v>358</x:v>
      </x:c>
      <x:c r="E95" s="22" t="s">
        <x:v>195</x:v>
      </x:c>
      <x:c r="F95" s="22" t="s">
        <x:v>196</x:v>
      </x:c>
      <x:c r="G95" s="22" t="s">
        <x:v>201</x:v>
      </x:c>
      <x:c r="H95" s="22">
        <x:v>5</x:v>
      </x:c>
      <x:c r="I95" s="22">
        <x:v>1</x:v>
      </x:c>
      <x:c r="J95" s="22">
        <x:v>7</x:v>
      </x:c>
      <x:c r="K95" s="23">
        <x:v>31683776</x:v>
      </x:c>
      <x:c r="L95" s="23">
        <x:v>31683776</x:v>
      </x:c>
      <x:c r="M95" s="23">
        <x:f>K95-L95</x:f>
      </x:c>
      <x:c r="N95" s="22" t="s">
        <x:v>197</x:v>
      </x:c>
      <x:c r="O95" s="24">
        <x:f>IFERROR(INDEX('تطبیق کل'!$J:$J,MATCH(A95&amp;"",'تطبیق کل'!$A:$A,0))&amp;"","")</x:f>
      </x:c>
      <x:c r="P95" s="24"/>
      <x:c r="Q95" s="24" t="s">
        <x:v>198</x:v>
      </x:c>
      <x:c r="R95" s="25"/>
      <x:c r="S95" s="26"/>
      <x:c r="T95" s="22">
        <x:f>IF(S95="","",IFERROR(INDEX('درخت جدید'!$C:$C,MATCH(S95&amp;"",'درخت جدید'!$B:$B,0)),"—"))</x:f>
      </x:c>
      <x:c r="U95" s="22">
        <x:f>IF(S95="",IF(N95="بله","الزامی — تکمیل نشده",""),IF(AND(O95&lt;&gt;"",LEFT(S95&amp;"",4)&lt;&gt;O95),"زیر کل دیگری است — کل یا معین را اصلاح کنید",IF(COUNTIFS('درخت جدید'!$B:$B,S95&amp;"",'درخت جدید'!$A:$A,"معین")=0,IF(V95="","کد در درخت نیست — نام برای تعریف را بنویسید","OK"),"OK")))</x:f>
      </x:c>
      <x:c r="V95" s="27"/>
      <x:c r="W95" s="28"/>
    </x:row>
    <x:row r="96" spans="1:23">
      <x:c r="A96" s="21" t="s">
        <x:v>143</x:v>
      </x:c>
      <x:c r="B96" s="22" t="s">
        <x:v>27</x:v>
      </x:c>
      <x:c r="C96" s="22" t="s">
        <x:v>144</x:v>
      </x:c>
      <x:c r="D96" s="22" t="s">
        <x:v>359</x:v>
      </x:c>
      <x:c r="E96" s="22" t="s">
        <x:v>195</x:v>
      </x:c>
      <x:c r="F96" s="22" t="s">
        <x:v>196</x:v>
      </x:c>
      <x:c r="G96" s="22" t="s">
        <x:v>201</x:v>
      </x:c>
      <x:c r="H96" s="22">
        <x:v>2</x:v>
      </x:c>
      <x:c r="I96" s="22">
        <x:v>1</x:v>
      </x:c>
      <x:c r="J96" s="22">
        <x:v>13</x:v>
      </x:c>
      <x:c r="K96" s="23">
        <x:v>346901945</x:v>
      </x:c>
      <x:c r="L96" s="23">
        <x:v>433004145</x:v>
      </x:c>
      <x:c r="M96" s="23">
        <x:f>K96-L96</x:f>
      </x:c>
      <x:c r="N96" s="22" t="s">
        <x:v>197</x:v>
      </x:c>
      <x:c r="O96" s="24">
        <x:f>IFERROR(INDEX('تطبیق کل'!$J:$J,MATCH(A96&amp;"",'تطبیق کل'!$A:$A,0))&amp;"","")</x:f>
      </x:c>
      <x:c r="P96" s="24"/>
      <x:c r="Q96" s="24" t="s">
        <x:v>198</x:v>
      </x:c>
      <x:c r="R96" s="25"/>
      <x:c r="S96" s="26"/>
      <x:c r="T96" s="22">
        <x:f>IF(S96="","",IFERROR(INDEX('درخت جدید'!$C:$C,MATCH(S96&amp;"",'درخت جدید'!$B:$B,0)),"—"))</x:f>
      </x:c>
      <x:c r="U96" s="22">
        <x:f>IF(S96="",IF(N96="بله","الزامی — تکمیل نشده",""),IF(AND(O96&lt;&gt;"",LEFT(S96&amp;"",4)&lt;&gt;O96),"زیر کل دیگری است — کل یا معین را اصلاح کنید",IF(COUNTIFS('درخت جدید'!$B:$B,S96&amp;"",'درخت جدید'!$A:$A,"معین")=0,IF(V96="","کد در درخت نیست — نام برای تعریف را بنویسید","OK"),"OK")))</x:f>
      </x:c>
      <x:c r="V96" s="27"/>
      <x:c r="W96" s="28"/>
    </x:row>
    <x:row r="97" spans="1:23">
      <x:c r="A97" s="21" t="s">
        <x:v>143</x:v>
      </x:c>
      <x:c r="B97" s="22" t="s">
        <x:v>265</x:v>
      </x:c>
      <x:c r="C97" s="22" t="s">
        <x:v>144</x:v>
      </x:c>
      <x:c r="D97" s="22" t="s">
        <x:v>360</x:v>
      </x:c>
      <x:c r="E97" s="22" t="s">
        <x:v>195</x:v>
      </x:c>
      <x:c r="F97" s="22" t="s">
        <x:v>196</x:v>
      </x:c>
      <x:c r="G97" s="22" t="s">
        <x:v>201</x:v>
      </x:c>
      <x:c r="H97" s="22">
        <x:v>2</x:v>
      </x:c>
      <x:c r="I97" s="22">
        <x:v>1</x:v>
      </x:c>
      <x:c r="J97" s="22">
        <x:v>9</x:v>
      </x:c>
      <x:c r="K97" s="23">
        <x:v>974733769</x:v>
      </x:c>
      <x:c r="L97" s="23">
        <x:v>1541779345</x:v>
      </x:c>
      <x:c r="M97" s="23">
        <x:f>K97-L97</x:f>
      </x:c>
      <x:c r="N97" s="22" t="s">
        <x:v>197</x:v>
      </x:c>
      <x:c r="O97" s="24">
        <x:f>IFERROR(INDEX('تطبیق کل'!$J:$J,MATCH(A97&amp;"",'تطبیق کل'!$A:$A,0))&amp;"","")</x:f>
      </x:c>
      <x:c r="P97" s="24"/>
      <x:c r="Q97" s="24" t="s">
        <x:v>198</x:v>
      </x:c>
      <x:c r="R97" s="25"/>
      <x:c r="S97" s="26"/>
      <x:c r="T97" s="22">
        <x:f>IF(S97="","",IFERROR(INDEX('درخت جدید'!$C:$C,MATCH(S97&amp;"",'درخت جدید'!$B:$B,0)),"—"))</x:f>
      </x:c>
      <x:c r="U97" s="22">
        <x:f>IF(S97="",IF(N97="بله","الزامی — تکمیل نشده",""),IF(AND(O97&lt;&gt;"",LEFT(S97&amp;"",4)&lt;&gt;O97),"زیر کل دیگری است — کل یا معین را اصلاح کنید",IF(COUNTIFS('درخت جدید'!$B:$B,S97&amp;"",'درخت جدید'!$A:$A,"معین")=0,IF(V97="","کد در درخت نیست — نام برای تعریف را بنویسید","OK"),"OK")))</x:f>
      </x:c>
      <x:c r="V97" s="27"/>
      <x:c r="W97" s="28"/>
    </x:row>
    <x:row r="98" spans="1:23">
      <x:c r="A98" s="21" t="s">
        <x:v>143</x:v>
      </x:c>
      <x:c r="B98" s="22" t="s">
        <x:v>361</x:v>
      </x:c>
      <x:c r="C98" s="22" t="s">
        <x:v>144</x:v>
      </x:c>
      <x:c r="D98" s="22" t="s">
        <x:v>362</x:v>
      </x:c>
      <x:c r="E98" s="22" t="s">
        <x:v>195</x:v>
      </x:c>
      <x:c r="F98" s="22" t="s">
        <x:v>196</x:v>
      </x:c>
      <x:c r="G98" s="22" t="s">
        <x:v>201</x:v>
      </x:c>
      <x:c r="H98" s="22">
        <x:v>3</x:v>
      </x:c>
      <x:c r="I98" s="22">
        <x:v>2</x:v>
      </x:c>
      <x:c r="J98" s="22">
        <x:v>14</x:v>
      </x:c>
      <x:c r="K98" s="23">
        <x:v>17508000</x:v>
      </x:c>
      <x:c r="L98" s="23">
        <x:v>17508000</x:v>
      </x:c>
      <x:c r="M98" s="23">
        <x:f>K98-L98</x:f>
      </x:c>
      <x:c r="N98" s="22" t="s">
        <x:v>197</x:v>
      </x:c>
      <x:c r="O98" s="24">
        <x:f>IFERROR(INDEX('تطبیق کل'!$J:$J,MATCH(A98&amp;"",'تطبیق کل'!$A:$A,0))&amp;"","")</x:f>
      </x:c>
      <x:c r="P98" s="24"/>
      <x:c r="Q98" s="24" t="s">
        <x:v>198</x:v>
      </x:c>
      <x:c r="R98" s="25"/>
      <x:c r="S98" s="26"/>
      <x:c r="T98" s="22">
        <x:f>IF(S98="","",IFERROR(INDEX('درخت جدید'!$C:$C,MATCH(S98&amp;"",'درخت جدید'!$B:$B,0)),"—"))</x:f>
      </x:c>
      <x:c r="U98" s="22">
        <x:f>IF(S98="",IF(N98="بله","الزامی — تکمیل نشده",""),IF(AND(O98&lt;&gt;"",LEFT(S98&amp;"",4)&lt;&gt;O98),"زیر کل دیگری است — کل یا معین را اصلاح کنید",IF(COUNTIFS('درخت جدید'!$B:$B,S98&amp;"",'درخت جدید'!$A:$A,"معین")=0,IF(V98="","کد در درخت نیست — نام برای تعریف را بنویسید","OK"),"OK")))</x:f>
      </x:c>
      <x:c r="V98" s="27"/>
      <x:c r="W98" s="28"/>
    </x:row>
    <x:row r="99" spans="1:23">
      <x:c r="A99" s="21" t="s">
        <x:v>143</x:v>
      </x:c>
      <x:c r="B99" s="22" t="s">
        <x:v>269</x:v>
      </x:c>
      <x:c r="C99" s="22" t="s">
        <x:v>144</x:v>
      </x:c>
      <x:c r="D99" s="22" t="s">
        <x:v>363</x:v>
      </x:c>
      <x:c r="E99" s="22" t="s">
        <x:v>195</x:v>
      </x:c>
      <x:c r="F99" s="22" t="s">
        <x:v>196</x:v>
      </x:c>
      <x:c r="G99" s="22" t="s">
        <x:v>201</x:v>
      </x:c>
      <x:c r="H99" s="22">
        <x:v>3</x:v>
      </x:c>
      <x:c r="I99" s="22">
        <x:v>2</x:v>
      </x:c>
      <x:c r="J99" s="22">
        <x:v>7</x:v>
      </x:c>
      <x:c r="K99" s="23">
        <x:v>473779482</x:v>
      </x:c>
      <x:c r="L99" s="23">
        <x:v>473779482</x:v>
      </x:c>
      <x:c r="M99" s="23">
        <x:f>K99-L99</x:f>
      </x:c>
      <x:c r="N99" s="22" t="s">
        <x:v>197</x:v>
      </x:c>
      <x:c r="O99" s="24">
        <x:f>IFERROR(INDEX('تطبیق کل'!$J:$J,MATCH(A99&amp;"",'تطبیق کل'!$A:$A,0))&amp;"","")</x:f>
      </x:c>
      <x:c r="P99" s="24" t="s">
        <x:v>257</x:v>
      </x:c>
      <x:c r="Q99" s="24" t="s">
        <x:v>258</x:v>
      </x:c>
      <x:c r="R99" s="25">
        <x:v>0.46</x:v>
      </x:c>
      <x:c r="S99" s="26"/>
      <x:c r="T99" s="22">
        <x:f>IF(S99="","",IFERROR(INDEX('درخت جدید'!$C:$C,MATCH(S99&amp;"",'درخت جدید'!$B:$B,0)),"—"))</x:f>
      </x:c>
      <x:c r="U99" s="22">
        <x:f>IF(S99="",IF(N99="بله","الزامی — تکمیل نشده",""),IF(AND(O99&lt;&gt;"",LEFT(S99&amp;"",4)&lt;&gt;O99),"زیر کل دیگری است — کل یا معین را اصلاح کنید",IF(COUNTIFS('درخت جدید'!$B:$B,S99&amp;"",'درخت جدید'!$A:$A,"معین")=0,IF(V99="","کد در درخت نیست — نام برای تعریف را بنویسید","OK"),"OK")))</x:f>
      </x:c>
      <x:c r="V99" s="27"/>
      <x:c r="W99" s="28"/>
    </x:row>
    <x:row r="100" spans="1:23">
      <x:c r="A100" s="21" t="s">
        <x:v>143</x:v>
      </x:c>
      <x:c r="B100" s="22" t="s">
        <x:v>34</x:v>
      </x:c>
      <x:c r="C100" s="22" t="s">
        <x:v>144</x:v>
      </x:c>
      <x:c r="D100" s="22" t="s">
        <x:v>364</x:v>
      </x:c>
      <x:c r="E100" s="22" t="s">
        <x:v>195</x:v>
      </x:c>
      <x:c r="F100" s="22" t="s">
        <x:v>196</x:v>
      </x:c>
      <x:c r="G100" s="22" t="s">
        <x:v>201</x:v>
      </x:c>
      <x:c r="H100" s="22">
        <x:v>15</x:v>
      </x:c>
      <x:c r="I100" s="22">
        <x:v>1</x:v>
      </x:c>
      <x:c r="J100" s="22">
        <x:v>127</x:v>
      </x:c>
      <x:c r="K100" s="23">
        <x:v>1395344795</x:v>
      </x:c>
      <x:c r="L100" s="23">
        <x:v>1749559935</x:v>
      </x:c>
      <x:c r="M100" s="23">
        <x:f>K100-L100</x:f>
      </x:c>
      <x:c r="N100" s="22" t="s">
        <x:v>197</x:v>
      </x:c>
      <x:c r="O100" s="24">
        <x:f>IFERROR(INDEX('تطبیق کل'!$J:$J,MATCH(A100&amp;"",'تطبیق کل'!$A:$A,0))&amp;"","")</x:f>
      </x:c>
      <x:c r="P100" s="24"/>
      <x:c r="Q100" s="24" t="s">
        <x:v>198</x:v>
      </x:c>
      <x:c r="R100" s="25"/>
      <x:c r="S100" s="26"/>
      <x:c r="T100" s="22">
        <x:f>IF(S100="","",IFERROR(INDEX('درخت جدید'!$C:$C,MATCH(S100&amp;"",'درخت جدید'!$B:$B,0)),"—"))</x:f>
      </x:c>
      <x:c r="U100" s="22">
        <x:f>IF(S100="",IF(N100="بله","الزامی — تکمیل نشده",""),IF(AND(O100&lt;&gt;"",LEFT(S100&amp;"",4)&lt;&gt;O100),"زیر کل دیگری است — کل یا معین را اصلاح کنید",IF(COUNTIFS('درخت جدید'!$B:$B,S100&amp;"",'درخت جدید'!$A:$A,"معین")=0,IF(V100="","کد در درخت نیست — نام برای تعریف را بنویسید","OK"),"OK")))</x:f>
      </x:c>
      <x:c r="V100" s="27"/>
      <x:c r="W100" s="28"/>
    </x:row>
    <x:row r="101" spans="1:23">
      <x:c r="A101" s="21" t="s">
        <x:v>143</x:v>
      </x:c>
      <x:c r="B101" s="22" t="s">
        <x:v>41</x:v>
      </x:c>
      <x:c r="C101" s="22" t="s">
        <x:v>144</x:v>
      </x:c>
      <x:c r="D101" s="22" t="s">
        <x:v>365</x:v>
      </x:c>
      <x:c r="E101" s="22" t="s">
        <x:v>195</x:v>
      </x:c>
      <x:c r="F101" s="22" t="s">
        <x:v>196</x:v>
      </x:c>
      <x:c r="G101" s="22" t="s">
        <x:v>196</x:v>
      </x:c>
      <x:c r="H101" s="22">
        <x:v>3</x:v>
      </x:c>
      <x:c r="I101" s="22">
        <x:v>1</x:v>
      </x:c>
      <x:c r="J101" s="22">
        <x:v>2</x:v>
      </x:c>
      <x:c r="K101" s="23">
        <x:v>10300500</x:v>
      </x:c>
      <x:c r="L101" s="23">
        <x:v>10300500</x:v>
      </x:c>
      <x:c r="M101" s="23">
        <x:f>K101-L101</x:f>
      </x:c>
      <x:c r="N101" s="22" t="s">
        <x:v>197</x:v>
      </x:c>
      <x:c r="O101" s="24">
        <x:f>IFERROR(INDEX('تطبیق کل'!$J:$J,MATCH(A101&amp;"",'تطبیق کل'!$A:$A,0))&amp;"","")</x:f>
      </x:c>
      <x:c r="P101" s="24"/>
      <x:c r="Q101" s="24" t="s">
        <x:v>198</x:v>
      </x:c>
      <x:c r="R101" s="25"/>
      <x:c r="S101" s="26"/>
      <x:c r="T101" s="22">
        <x:f>IF(S101="","",IFERROR(INDEX('درخت جدید'!$C:$C,MATCH(S101&amp;"",'درخت جدید'!$B:$B,0)),"—"))</x:f>
      </x:c>
      <x:c r="U101" s="22">
        <x:f>IF(S101="",IF(N101="بله","الزامی — تکمیل نشده",""),IF(AND(O101&lt;&gt;"",LEFT(S101&amp;"",4)&lt;&gt;O101),"زیر کل دیگری است — کل یا معین را اصلاح کنید",IF(COUNTIFS('درخت جدید'!$B:$B,S101&amp;"",'درخت جدید'!$A:$A,"معین")=0,IF(V101="","کد در درخت نیست — نام برای تعریف را بنویسید","OK"),"OK")))</x:f>
      </x:c>
      <x:c r="V101" s="27"/>
      <x:c r="W101" s="28"/>
    </x:row>
    <x:row r="102" spans="1:23">
      <x:c r="A102" s="21" t="s">
        <x:v>143</x:v>
      </x:c>
      <x:c r="B102" s="22" t="s">
        <x:v>292</x:v>
      </x:c>
      <x:c r="C102" s="22" t="s">
        <x:v>144</x:v>
      </x:c>
      <x:c r="D102" s="22" t="s">
        <x:v>366</x:v>
      </x:c>
      <x:c r="E102" s="22" t="s">
        <x:v>195</x:v>
      </x:c>
      <x:c r="F102" s="22" t="s">
        <x:v>196</x:v>
      </x:c>
      <x:c r="G102" s="22" t="s">
        <x:v>201</x:v>
      </x:c>
      <x:c r="H102" s="22">
        <x:v>3</x:v>
      </x:c>
      <x:c r="I102" s="22">
        <x:v>1</x:v>
      </x:c>
      <x:c r="J102" s="22">
        <x:v>2</x:v>
      </x:c>
      <x:c r="K102" s="23">
        <x:v>37800000</x:v>
      </x:c>
      <x:c r="L102" s="23">
        <x:v>37800000</x:v>
      </x:c>
      <x:c r="M102" s="23">
        <x:f>K102-L102</x:f>
      </x:c>
      <x:c r="N102" s="22" t="s">
        <x:v>197</x:v>
      </x:c>
      <x:c r="O102" s="24">
        <x:f>IFERROR(INDEX('تطبیق کل'!$J:$J,MATCH(A102&amp;"",'تطبیق کل'!$A:$A,0))&amp;"","")</x:f>
      </x:c>
      <x:c r="P102" s="24" t="s">
        <x:v>367</x:v>
      </x:c>
      <x:c r="Q102" s="24" t="s">
        <x:v>368</x:v>
      </x:c>
      <x:c r="R102" s="25">
        <x:v>0.47</x:v>
      </x:c>
      <x:c r="S102" s="26"/>
      <x:c r="T102" s="22">
        <x:f>IF(S102="","",IFERROR(INDEX('درخت جدید'!$C:$C,MATCH(S102&amp;"",'درخت جدید'!$B:$B,0)),"—"))</x:f>
      </x:c>
      <x:c r="U102" s="22">
        <x:f>IF(S102="",IF(N102="بله","الزامی — تکمیل نشده",""),IF(AND(O102&lt;&gt;"",LEFT(S102&amp;"",4)&lt;&gt;O102),"زیر کل دیگری است — کل یا معین را اصلاح کنید",IF(COUNTIFS('درخت جدید'!$B:$B,S102&amp;"",'درخت جدید'!$A:$A,"معین")=0,IF(V102="","کد در درخت نیست — نام برای تعریف را بنویسید","OK"),"OK")))</x:f>
      </x:c>
      <x:c r="V102" s="27"/>
      <x:c r="W102" s="28"/>
    </x:row>
    <x:row r="103" spans="1:23">
      <x:c r="A103" s="21" t="s">
        <x:v>143</x:v>
      </x:c>
      <x:c r="B103" s="22" t="s">
        <x:v>369</x:v>
      </x:c>
      <x:c r="C103" s="22" t="s">
        <x:v>144</x:v>
      </x:c>
      <x:c r="D103" s="22" t="s">
        <x:v>370</x:v>
      </x:c>
      <x:c r="E103" s="22" t="s">
        <x:v>195</x:v>
      </x:c>
      <x:c r="F103" s="22" t="s">
        <x:v>196</x:v>
      </x:c>
      <x:c r="G103" s="22" t="s">
        <x:v>201</x:v>
      </x:c>
      <x:c r="H103" s="22">
        <x:v>8</x:v>
      </x:c>
      <x:c r="I103" s="22">
        <x:v>3</x:v>
      </x:c>
      <x:c r="J103" s="22">
        <x:v>26</x:v>
      </x:c>
      <x:c r="K103" s="23">
        <x:v>70636080</x:v>
      </x:c>
      <x:c r="L103" s="23">
        <x:v>75285480</x:v>
      </x:c>
      <x:c r="M103" s="23">
        <x:f>K103-L103</x:f>
      </x:c>
      <x:c r="N103" s="22" t="s">
        <x:v>197</x:v>
      </x:c>
      <x:c r="O103" s="24">
        <x:f>IFERROR(INDEX('تطبیق کل'!$J:$J,MATCH(A103&amp;"",'تطبیق کل'!$A:$A,0))&amp;"","")</x:f>
      </x:c>
      <x:c r="P103" s="24"/>
      <x:c r="Q103" s="24" t="s">
        <x:v>198</x:v>
      </x:c>
      <x:c r="R103" s="25"/>
      <x:c r="S103" s="26"/>
      <x:c r="T103" s="22">
        <x:f>IF(S103="","",IFERROR(INDEX('درخت جدید'!$C:$C,MATCH(S103&amp;"",'درخت جدید'!$B:$B,0)),"—"))</x:f>
      </x:c>
      <x:c r="U103" s="22">
        <x:f>IF(S103="",IF(N103="بله","الزامی — تکمیل نشده",""),IF(AND(O103&lt;&gt;"",LEFT(S103&amp;"",4)&lt;&gt;O103),"زیر کل دیگری است — کل یا معین را اصلاح کنید",IF(COUNTIFS('درخت جدید'!$B:$B,S103&amp;"",'درخت جدید'!$A:$A,"معین")=0,IF(V103="","کد در درخت نیست — نام برای تعریف را بنویسید","OK"),"OK")))</x:f>
      </x:c>
      <x:c r="V103" s="27"/>
      <x:c r="W103" s="28"/>
    </x:row>
    <x:row r="104" spans="1:23">
      <x:c r="A104" s="21" t="s">
        <x:v>143</x:v>
      </x:c>
      <x:c r="B104" s="22" t="s">
        <x:v>371</x:v>
      </x:c>
      <x:c r="C104" s="22" t="s">
        <x:v>144</x:v>
      </x:c>
      <x:c r="D104" s="22" t="s">
        <x:v>372</x:v>
      </x:c>
      <x:c r="E104" s="22" t="s">
        <x:v>195</x:v>
      </x:c>
      <x:c r="F104" s="22" t="s">
        <x:v>196</x:v>
      </x:c>
      <x:c r="G104" s="22" t="s">
        <x:v>201</x:v>
      </x:c>
      <x:c r="H104" s="22">
        <x:v>1</x:v>
      </x:c>
      <x:c r="I104" s="22">
        <x:v>1</x:v>
      </x:c>
      <x:c r="J104" s="22">
        <x:v>17</x:v>
      </x:c>
      <x:c r="K104" s="23">
        <x:v>50603562</x:v>
      </x:c>
      <x:c r="L104" s="23">
        <x:v>50603562</x:v>
      </x:c>
      <x:c r="M104" s="23">
        <x:f>K104-L104</x:f>
      </x:c>
      <x:c r="N104" s="22" t="s">
        <x:v>197</x:v>
      </x:c>
      <x:c r="O104" s="24">
        <x:f>IFERROR(INDEX('تطبیق کل'!$J:$J,MATCH(A104&amp;"",'تطبیق کل'!$A:$A,0))&amp;"","")</x:f>
      </x:c>
      <x:c r="P104" s="24" t="s">
        <x:v>278</x:v>
      </x:c>
      <x:c r="Q104" s="24" t="s">
        <x:v>279</x:v>
      </x:c>
      <x:c r="R104" s="25">
        <x:v>0.45</x:v>
      </x:c>
      <x:c r="S104" s="26"/>
      <x:c r="T104" s="22">
        <x:f>IF(S104="","",IFERROR(INDEX('درخت جدید'!$C:$C,MATCH(S104&amp;"",'درخت جدید'!$B:$B,0)),"—"))</x:f>
      </x:c>
      <x:c r="U104" s="22">
        <x:f>IF(S104="",IF(N104="بله","الزامی — تکمیل نشده",""),IF(AND(O104&lt;&gt;"",LEFT(S104&amp;"",4)&lt;&gt;O104),"زیر کل دیگری است — کل یا معین را اصلاح کنید",IF(COUNTIFS('درخت جدید'!$B:$B,S104&amp;"",'درخت جدید'!$A:$A,"معین")=0,IF(V104="","کد در درخت نیست — نام برای تعریف را بنویسید","OK"),"OK")))</x:f>
      </x:c>
      <x:c r="V104" s="27"/>
      <x:c r="W104" s="28"/>
    </x:row>
    <x:row r="105" spans="1:23">
      <x:c r="A105" s="21" t="s">
        <x:v>143</x:v>
      </x:c>
      <x:c r="B105" s="22" t="s">
        <x:v>336</x:v>
      </x:c>
      <x:c r="C105" s="22" t="s">
        <x:v>144</x:v>
      </x:c>
      <x:c r="D105" s="22" t="s">
        <x:v>373</x:v>
      </x:c>
      <x:c r="E105" s="22" t="s">
        <x:v>195</x:v>
      </x:c>
      <x:c r="F105" s="22" t="s">
        <x:v>196</x:v>
      </x:c>
      <x:c r="G105" s="22" t="s">
        <x:v>201</x:v>
      </x:c>
      <x:c r="H105" s="22">
        <x:v>1</x:v>
      </x:c>
      <x:c r="I105" s="22">
        <x:v>1</x:v>
      </x:c>
      <x:c r="J105" s="22">
        <x:v>2</x:v>
      </x:c>
      <x:c r="K105" s="23">
        <x:v>100500</x:v>
      </x:c>
      <x:c r="L105" s="23">
        <x:v>0</x:v>
      </x:c>
      <x:c r="M105" s="23">
        <x:f>K105-L105</x:f>
      </x:c>
      <x:c r="N105" s="22" t="s">
        <x:v>197</x:v>
      </x:c>
      <x:c r="O105" s="24">
        <x:f>IFERROR(INDEX('تطبیق کل'!$J:$J,MATCH(A105&amp;"",'تطبیق کل'!$A:$A,0))&amp;"","")</x:f>
      </x:c>
      <x:c r="P105" s="24"/>
      <x:c r="Q105" s="24" t="s">
        <x:v>198</x:v>
      </x:c>
      <x:c r="R105" s="25"/>
      <x:c r="S105" s="26"/>
      <x:c r="T105" s="22">
        <x:f>IF(S105="","",IFERROR(INDEX('درخت جدید'!$C:$C,MATCH(S105&amp;"",'درخت جدید'!$B:$B,0)),"—"))</x:f>
      </x:c>
      <x:c r="U105" s="22">
        <x:f>IF(S105="",IF(N105="بله","الزامی — تکمیل نشده",""),IF(AND(O105&lt;&gt;"",LEFT(S105&amp;"",4)&lt;&gt;O105),"زیر کل دیگری است — کل یا معین را اصلاح کنید",IF(COUNTIFS('درخت جدید'!$B:$B,S105&amp;"",'درخت جدید'!$A:$A,"معین")=0,IF(V105="","کد در درخت نیست — نام برای تعریف را بنویسید","OK"),"OK")))</x:f>
      </x:c>
      <x:c r="V105" s="27"/>
      <x:c r="W105" s="28"/>
    </x:row>
    <x:row r="106" spans="1:23">
      <x:c r="A106" s="21" t="s">
        <x:v>143</x:v>
      </x:c>
      <x:c r="B106" s="22" t="s">
        <x:v>207</x:v>
      </x:c>
      <x:c r="C106" s="22" t="s">
        <x:v>144</x:v>
      </x:c>
      <x:c r="D106" s="22" t="s">
        <x:v>374</x:v>
      </x:c>
      <x:c r="E106" s="22" t="s">
        <x:v>195</x:v>
      </x:c>
      <x:c r="F106" s="22" t="s">
        <x:v>196</x:v>
      </x:c>
      <x:c r="G106" s="22" t="s">
        <x:v>201</x:v>
      </x:c>
      <x:c r="H106" s="22">
        <x:v>3</x:v>
      </x:c>
      <x:c r="I106" s="22">
        <x:v>1</x:v>
      </x:c>
      <x:c r="J106" s="22">
        <x:v>14</x:v>
      </x:c>
      <x:c r="K106" s="23">
        <x:v>154727898</x:v>
      </x:c>
      <x:c r="L106" s="23">
        <x:v>183754893</x:v>
      </x:c>
      <x:c r="M106" s="23">
        <x:f>K106-L106</x:f>
      </x:c>
      <x:c r="N106" s="22" t="s">
        <x:v>197</x:v>
      </x:c>
      <x:c r="O106" s="24">
        <x:f>IFERROR(INDEX('تطبیق کل'!$J:$J,MATCH(A106&amp;"",'تطبیق کل'!$A:$A,0))&amp;"","")</x:f>
      </x:c>
      <x:c r="P106" s="24" t="s">
        <x:v>229</x:v>
      </x:c>
      <x:c r="Q106" s="24" t="s">
        <x:v>230</x:v>
      </x:c>
      <x:c r="R106" s="25">
        <x:v>0.36</x:v>
      </x:c>
      <x:c r="S106" s="26"/>
      <x:c r="T106" s="22">
        <x:f>IF(S106="","",IFERROR(INDEX('درخت جدید'!$C:$C,MATCH(S106&amp;"",'درخت جدید'!$B:$B,0)),"—"))</x:f>
      </x:c>
      <x:c r="U106" s="22">
        <x:f>IF(S106="",IF(N106="بله","الزامی — تکمیل نشده",""),IF(AND(O106&lt;&gt;"",LEFT(S106&amp;"",4)&lt;&gt;O106),"زیر کل دیگری است — کل یا معین را اصلاح کنید",IF(COUNTIFS('درخت جدید'!$B:$B,S106&amp;"",'درخت جدید'!$A:$A,"معین")=0,IF(V106="","کد در درخت نیست — نام برای تعریف را بنویسید","OK"),"OK")))</x:f>
      </x:c>
      <x:c r="V106" s="27"/>
      <x:c r="W106" s="28"/>
    </x:row>
    <x:row r="107" spans="1:23">
      <x:c r="A107" s="21" t="s">
        <x:v>143</x:v>
      </x:c>
      <x:c r="B107" s="22" t="s">
        <x:v>375</x:v>
      </x:c>
      <x:c r="C107" s="22" t="s">
        <x:v>144</x:v>
      </x:c>
      <x:c r="D107" s="22" t="s">
        <x:v>376</x:v>
      </x:c>
      <x:c r="E107" s="22" t="s">
        <x:v>195</x:v>
      </x:c>
      <x:c r="F107" s="22" t="s">
        <x:v>196</x:v>
      </x:c>
      <x:c r="G107" s="22" t="s">
        <x:v>201</x:v>
      </x:c>
      <x:c r="H107" s="22">
        <x:v>1</x:v>
      </x:c>
      <x:c r="I107" s="22">
        <x:v>1</x:v>
      </x:c>
      <x:c r="J107" s="22">
        <x:v>40</x:v>
      </x:c>
      <x:c r="K107" s="23">
        <x:v>1341107738</x:v>
      </x:c>
      <x:c r="L107" s="23">
        <x:v>1342307638</x:v>
      </x:c>
      <x:c r="M107" s="23">
        <x:f>K107-L107</x:f>
      </x:c>
      <x:c r="N107" s="22" t="s">
        <x:v>197</x:v>
      </x:c>
      <x:c r="O107" s="24">
        <x:f>IFERROR(INDEX('تطبیق کل'!$J:$J,MATCH(A107&amp;"",'تطبیق کل'!$A:$A,0))&amp;"","")</x:f>
      </x:c>
      <x:c r="P107" s="24"/>
      <x:c r="Q107" s="24" t="s">
        <x:v>198</x:v>
      </x:c>
      <x:c r="R107" s="25"/>
      <x:c r="S107" s="26"/>
      <x:c r="T107" s="22">
        <x:f>IF(S107="","",IFERROR(INDEX('درخت جدید'!$C:$C,MATCH(S107&amp;"",'درخت جدید'!$B:$B,0)),"—"))</x:f>
      </x:c>
      <x:c r="U107" s="22">
        <x:f>IF(S107="",IF(N107="بله","الزامی — تکمیل نشده",""),IF(AND(O107&lt;&gt;"",LEFT(S107&amp;"",4)&lt;&gt;O107),"زیر کل دیگری است — کل یا معین را اصلاح کنید",IF(COUNTIFS('درخت جدید'!$B:$B,S107&amp;"",'درخت جدید'!$A:$A,"معین")=0,IF(V107="","کد در درخت نیست — نام برای تعریف را بنویسید","OK"),"OK")))</x:f>
      </x:c>
      <x:c r="V107" s="27"/>
      <x:c r="W107" s="28"/>
    </x:row>
    <x:row r="108" spans="1:23">
      <x:c r="A108" s="21" t="s">
        <x:v>143</x:v>
      </x:c>
      <x:c r="B108" s="22" t="s">
        <x:v>71</x:v>
      </x:c>
      <x:c r="C108" s="22" t="s">
        <x:v>144</x:v>
      </x:c>
      <x:c r="D108" s="22" t="s">
        <x:v>377</x:v>
      </x:c>
      <x:c r="E108" s="22" t="s">
        <x:v>195</x:v>
      </x:c>
      <x:c r="F108" s="22" t="s">
        <x:v>196</x:v>
      </x:c>
      <x:c r="G108" s="22" t="s">
        <x:v>201</x:v>
      </x:c>
      <x:c r="H108" s="22">
        <x:v>19</x:v>
      </x:c>
      <x:c r="I108" s="22">
        <x:v>2</x:v>
      </x:c>
      <x:c r="J108" s="22">
        <x:v>60</x:v>
      </x:c>
      <x:c r="K108" s="23">
        <x:v>1018490617</x:v>
      </x:c>
      <x:c r="L108" s="23">
        <x:v>1380055672</x:v>
      </x:c>
      <x:c r="M108" s="23">
        <x:f>K108-L108</x:f>
      </x:c>
      <x:c r="N108" s="22" t="s">
        <x:v>197</x:v>
      </x:c>
      <x:c r="O108" s="24">
        <x:f>IFERROR(INDEX('تطبیق کل'!$J:$J,MATCH(A108&amp;"",'تطبیق کل'!$A:$A,0))&amp;"","")</x:f>
      </x:c>
      <x:c r="P108" s="24"/>
      <x:c r="Q108" s="24" t="s">
        <x:v>198</x:v>
      </x:c>
      <x:c r="R108" s="25"/>
      <x:c r="S108" s="26"/>
      <x:c r="T108" s="22">
        <x:f>IF(S108="","",IFERROR(INDEX('درخت جدید'!$C:$C,MATCH(S108&amp;"",'درخت جدید'!$B:$B,0)),"—"))</x:f>
      </x:c>
      <x:c r="U108" s="22">
        <x:f>IF(S108="",IF(N108="بله","الزامی — تکمیل نشده",""),IF(AND(O108&lt;&gt;"",LEFT(S108&amp;"",4)&lt;&gt;O108),"زیر کل دیگری است — کل یا معین را اصلاح کنید",IF(COUNTIFS('درخت جدید'!$B:$B,S108&amp;"",'درخت جدید'!$A:$A,"معین")=0,IF(V108="","کد در درخت نیست — نام برای تعریف را بنویسید","OK"),"OK")))</x:f>
      </x:c>
      <x:c r="V108" s="27"/>
      <x:c r="W108" s="28"/>
    </x:row>
    <x:row r="109" spans="1:23">
      <x:c r="A109" s="21" t="s">
        <x:v>143</x:v>
      </x:c>
      <x:c r="B109" s="22" t="s">
        <x:v>378</x:v>
      </x:c>
      <x:c r="C109" s="22" t="s">
        <x:v>144</x:v>
      </x:c>
      <x:c r="D109" s="22" t="s">
        <x:v>288</x:v>
      </x:c>
      <x:c r="E109" s="22" t="s">
        <x:v>195</x:v>
      </x:c>
      <x:c r="F109" s="22" t="s">
        <x:v>196</x:v>
      </x:c>
      <x:c r="G109" s="22" t="s">
        <x:v>196</x:v>
      </x:c>
      <x:c r="H109" s="22">
        <x:v>3</x:v>
      </x:c>
      <x:c r="I109" s="22">
        <x:v>1</x:v>
      </x:c>
      <x:c r="J109" s="22">
        <x:v>4</x:v>
      </x:c>
      <x:c r="K109" s="23">
        <x:v>2000010</x:v>
      </x:c>
      <x:c r="L109" s="23">
        <x:v>1000</x:v>
      </x:c>
      <x:c r="M109" s="23">
        <x:f>K109-L109</x:f>
      </x:c>
      <x:c r="N109" s="22" t="s">
        <x:v>197</x:v>
      </x:c>
      <x:c r="O109" s="24">
        <x:f>IFERROR(INDEX('تطبیق کل'!$J:$J,MATCH(A109&amp;"",'تطبیق کل'!$A:$A,0))&amp;"","")</x:f>
      </x:c>
      <x:c r="P109" s="24" t="s">
        <x:v>379</x:v>
      </x:c>
      <x:c r="Q109" s="24" t="s">
        <x:v>288</x:v>
      </x:c>
      <x:c r="R109" s="25">
        <x:v>1</x:v>
      </x:c>
      <x:c r="S109" s="26"/>
      <x:c r="T109" s="22">
        <x:f>IF(S109="","",IFERROR(INDEX('درخت جدید'!$C:$C,MATCH(S109&amp;"",'درخت جدید'!$B:$B,0)),"—"))</x:f>
      </x:c>
      <x:c r="U109" s="22">
        <x:f>IF(S109="",IF(N109="بله","الزامی — تکمیل نشده",""),IF(AND(O109&lt;&gt;"",LEFT(S109&amp;"",4)&lt;&gt;O109),"زیر کل دیگری است — کل یا معین را اصلاح کنید",IF(COUNTIFS('درخت جدید'!$B:$B,S109&amp;"",'درخت جدید'!$A:$A,"معین")=0,IF(V109="","کد در درخت نیست — نام برای تعریف را بنویسید","OK"),"OK")))</x:f>
      </x:c>
      <x:c r="V109" s="27"/>
      <x:c r="W109" s="28"/>
    </x:row>
    <x:row r="110" spans="1:23">
      <x:c r="A110" s="21" t="s">
        <x:v>143</x:v>
      </x:c>
      <x:c r="B110" s="22" t="s">
        <x:v>380</x:v>
      </x:c>
      <x:c r="C110" s="22" t="s">
        <x:v>144</x:v>
      </x:c>
      <x:c r="D110" s="22" t="s">
        <x:v>381</x:v>
      </x:c>
      <x:c r="E110" s="22" t="s">
        <x:v>195</x:v>
      </x:c>
      <x:c r="F110" s="22" t="s">
        <x:v>196</x:v>
      </x:c>
      <x:c r="G110" s="22" t="s">
        <x:v>196</x:v>
      </x:c>
      <x:c r="H110" s="22">
        <x:v>3</x:v>
      </x:c>
      <x:c r="I110" s="22">
        <x:v>2</x:v>
      </x:c>
      <x:c r="J110" s="22">
        <x:v>4</x:v>
      </x:c>
      <x:c r="K110" s="23">
        <x:v>78408387</x:v>
      </x:c>
      <x:c r="L110" s="23">
        <x:v>78408387</x:v>
      </x:c>
      <x:c r="M110" s="23">
        <x:f>K110-L110</x:f>
      </x:c>
      <x:c r="N110" s="22" t="s">
        <x:v>197</x:v>
      </x:c>
      <x:c r="O110" s="24">
        <x:f>IFERROR(INDEX('تطبیق کل'!$J:$J,MATCH(A110&amp;"",'تطبیق کل'!$A:$A,0))&amp;"","")</x:f>
      </x:c>
      <x:c r="P110" s="24"/>
      <x:c r="Q110" s="24" t="s">
        <x:v>198</x:v>
      </x:c>
      <x:c r="R110" s="25"/>
      <x:c r="S110" s="26"/>
      <x:c r="T110" s="22">
        <x:f>IF(S110="","",IFERROR(INDEX('درخت جدید'!$C:$C,MATCH(S110&amp;"",'درخت جدید'!$B:$B,0)),"—"))</x:f>
      </x:c>
      <x:c r="U110" s="22">
        <x:f>IF(S110="",IF(N110="بله","الزامی — تکمیل نشده",""),IF(AND(O110&lt;&gt;"",LEFT(S110&amp;"",4)&lt;&gt;O110),"زیر کل دیگری است — کل یا معین را اصلاح کنید",IF(COUNTIFS('درخت جدید'!$B:$B,S110&amp;"",'درخت جدید'!$A:$A,"معین")=0,IF(V110="","کد در درخت نیست — نام برای تعریف را بنویسید","OK"),"OK")))</x:f>
      </x:c>
      <x:c r="V110" s="27"/>
      <x:c r="W110" s="28"/>
    </x:row>
    <x:row r="111" spans="1:23">
      <x:c r="A111" s="21" t="s">
        <x:v>150</x:v>
      </x:c>
      <x:c r="B111" s="22" t="s">
        <x:v>204</x:v>
      </x:c>
      <x:c r="C111" s="22" t="s">
        <x:v>151</x:v>
      </x:c>
      <x:c r="D111" s="22" t="s">
        <x:v>382</x:v>
      </x:c>
      <x:c r="E111" s="22" t="s">
        <x:v>383</x:v>
      </x:c>
      <x:c r="F111" s="22" t="s">
        <x:v>196</x:v>
      </x:c>
      <x:c r="G111" s="22" t="s">
        <x:v>201</x:v>
      </x:c>
      <x:c r="H111" s="22">
        <x:v>1</x:v>
      </x:c>
      <x:c r="I111" s="22">
        <x:v>1</x:v>
      </x:c>
      <x:c r="J111" s="22">
        <x:v>228</x:v>
      </x:c>
      <x:c r="K111" s="23">
        <x:v>204299612859</x:v>
      </x:c>
      <x:c r="L111" s="23">
        <x:v>430218235810</x:v>
      </x:c>
      <x:c r="M111" s="23">
        <x:f>K111-L111</x:f>
      </x:c>
      <x:c r="N111" s="22" t="s">
        <x:v>197</x:v>
      </x:c>
      <x:c r="O111" s="24">
        <x:f>IFERROR(INDEX('تطبیق کل'!$J:$J,MATCH(A111&amp;"",'تطبیق کل'!$A:$A,0))&amp;"","")</x:f>
      </x:c>
      <x:c r="P111" s="24"/>
      <x:c r="Q111" s="24" t="s">
        <x:v>198</x:v>
      </x:c>
      <x:c r="R111" s="25"/>
      <x:c r="S111" s="26"/>
      <x:c r="T111" s="22">
        <x:f>IF(S111="","",IFERROR(INDEX('درخت جدید'!$C:$C,MATCH(S111&amp;"",'درخت جدید'!$B:$B,0)),"—"))</x:f>
      </x:c>
      <x:c r="U111" s="22">
        <x:f>IF(S111="",IF(N111="بله","الزامی — تکمیل نشده",""),IF(AND(O111&lt;&gt;"",LEFT(S111&amp;"",4)&lt;&gt;O111),"زیر کل دیگری است — کل یا معین را اصلاح کنید",IF(COUNTIFS('درخت جدید'!$B:$B,S111&amp;"",'درخت جدید'!$A:$A,"معین")=0,IF(V111="","کد در درخت نیست — نام برای تعریف را بنویسید","OK"),"OK")))</x:f>
      </x:c>
      <x:c r="V111" s="27"/>
      <x:c r="W111" s="28"/>
    </x:row>
    <x:row r="112" spans="1:23">
      <x:c r="A112" s="21" t="s">
        <x:v>153</x:v>
      </x:c>
      <x:c r="B112" s="22" t="s">
        <x:v>204</x:v>
      </x:c>
      <x:c r="C112" s="22" t="s">
        <x:v>154</x:v>
      </x:c>
      <x:c r="D112" s="22" t="s">
        <x:v>384</x:v>
      </x:c>
      <x:c r="E112" s="22" t="s">
        <x:v>383</x:v>
      </x:c>
      <x:c r="F112" s="22" t="s">
        <x:v>196</x:v>
      </x:c>
      <x:c r="G112" s="22" t="s">
        <x:v>201</x:v>
      </x:c>
      <x:c r="H112" s="22">
        <x:v>1</x:v>
      </x:c>
      <x:c r="I112" s="22">
        <x:v>1</x:v>
      </x:c>
      <x:c r="J112" s="22">
        <x:v>96</x:v>
      </x:c>
      <x:c r="K112" s="23">
        <x:v>3000</x:v>
      </x:c>
      <x:c r="L112" s="23">
        <x:v>34070287307</x:v>
      </x:c>
      <x:c r="M112" s="23">
        <x:f>K112-L112</x:f>
      </x:c>
      <x:c r="N112" s="22" t="s">
        <x:v>197</x:v>
      </x:c>
      <x:c r="O112" s="24">
        <x:f>IFERROR(INDEX('تطبیق کل'!$J:$J,MATCH(A112&amp;"",'تطبیق کل'!$A:$A,0))&amp;"","")</x:f>
      </x:c>
      <x:c r="P112" s="24" t="s">
        <x:v>385</x:v>
      </x:c>
      <x:c r="Q112" s="24" t="s">
        <x:v>386</x:v>
      </x:c>
      <x:c r="R112" s="25">
        <x:v>1</x:v>
      </x:c>
      <x:c r="S112" s="26"/>
      <x:c r="T112" s="22">
        <x:f>IF(S112="","",IFERROR(INDEX('درخت جدید'!$C:$C,MATCH(S112&amp;"",'درخت جدید'!$B:$B,0)),"—"))</x:f>
      </x:c>
      <x:c r="U112" s="22">
        <x:f>IF(S112="",IF(N112="بله","الزامی — تکمیل نشده",""),IF(AND(O112&lt;&gt;"",LEFT(S112&amp;"",4)&lt;&gt;O112),"زیر کل دیگری است — کل یا معین را اصلاح کنید",IF(COUNTIFS('درخت جدید'!$B:$B,S112&amp;"",'درخت جدید'!$A:$A,"معین")=0,IF(V112="","کد در درخت نیست — نام برای تعریف را بنویسید","OK"),"OK")))</x:f>
      </x:c>
      <x:c r="V112" s="27"/>
      <x:c r="W112" s="28"/>
    </x:row>
    <x:row r="113" spans="1:23">
      <x:c r="A113" s="21" t="s">
        <x:v>153</x:v>
      </x:c>
      <x:c r="B113" s="22" t="s">
        <x:v>14</x:v>
      </x:c>
      <x:c r="C113" s="22" t="s">
        <x:v>154</x:v>
      </x:c>
      <x:c r="D113" s="22" t="s">
        <x:v>387</x:v>
      </x:c>
      <x:c r="E113" s="22" t="s">
        <x:v>195</x:v>
      </x:c>
      <x:c r="F113" s="22" t="s">
        <x:v>195</x:v>
      </x:c>
      <x:c r="G113" s="22" t="s">
        <x:v>201</x:v>
      </x:c>
      <x:c r="H113" s="22">
        <x:v>1</x:v>
      </x:c>
      <x:c r="I113" s="22">
        <x:v>1</x:v>
      </x:c>
      <x:c r="J113" s="22">
        <x:v>6</x:v>
      </x:c>
      <x:c r="K113" s="23">
        <x:v>67630000</x:v>
      </x:c>
      <x:c r="L113" s="23">
        <x:v>0</x:v>
      </x:c>
      <x:c r="M113" s="23">
        <x:f>K113-L113</x:f>
      </x:c>
      <x:c r="N113" s="22" t="s">
        <x:v>197</x:v>
      </x:c>
      <x:c r="O113" s="24">
        <x:f>IFERROR(INDEX('تطبیق کل'!$J:$J,MATCH(A113&amp;"",'تطبیق کل'!$A:$A,0))&amp;"","")</x:f>
      </x:c>
      <x:c r="P113" s="24"/>
      <x:c r="Q113" s="24" t="s">
        <x:v>198</x:v>
      </x:c>
      <x:c r="R113" s="25"/>
      <x:c r="S113" s="26"/>
      <x:c r="T113" s="22">
        <x:f>IF(S113="","",IFERROR(INDEX('درخت جدید'!$C:$C,MATCH(S113&amp;"",'درخت جدید'!$B:$B,0)),"—"))</x:f>
      </x:c>
      <x:c r="U113" s="22">
        <x:f>IF(S113="",IF(N113="بله","الزامی — تکمیل نشده",""),IF(AND(O113&lt;&gt;"",LEFT(S113&amp;"",4)&lt;&gt;O113),"زیر کل دیگری است — کل یا معین را اصلاح کنید",IF(COUNTIFS('درخت جدید'!$B:$B,S113&amp;"",'درخت جدید'!$A:$A,"معین")=0,IF(V113="","کد در درخت نیست — نام برای تعریف را بنویسید","OK"),"OK")))</x:f>
      </x:c>
      <x:c r="V113" s="27"/>
      <x:c r="W113" s="28"/>
    </x:row>
    <x:row r="114" spans="1:23">
      <x:c r="A114" s="21" t="s">
        <x:v>153</x:v>
      </x:c>
      <x:c r="B114" s="22" t="s">
        <x:v>207</x:v>
      </x:c>
      <x:c r="C114" s="22" t="s">
        <x:v>154</x:v>
      </x:c>
      <x:c r="D114" s="22" t="s">
        <x:v>388</x:v>
      </x:c>
      <x:c r="E114" s="22" t="s">
        <x:v>383</x:v>
      </x:c>
      <x:c r="F114" s="22" t="s">
        <x:v>196</x:v>
      </x:c>
      <x:c r="G114" s="22" t="s">
        <x:v>201</x:v>
      </x:c>
      <x:c r="H114" s="22">
        <x:v>1</x:v>
      </x:c>
      <x:c r="I114" s="22">
        <x:v>1</x:v>
      </x:c>
      <x:c r="J114" s="22">
        <x:v>179</x:v>
      </x:c>
      <x:c r="K114" s="23">
        <x:v>2174409068</x:v>
      </x:c>
      <x:c r="L114" s="23">
        <x:v>27495362256</x:v>
      </x:c>
      <x:c r="M114" s="23">
        <x:f>K114-L114</x:f>
      </x:c>
      <x:c r="N114" s="22" t="s">
        <x:v>197</x:v>
      </x:c>
      <x:c r="O114" s="24">
        <x:f>IFERROR(INDEX('تطبیق کل'!$J:$J,MATCH(A114&amp;"",'تطبیق کل'!$A:$A,0))&amp;"","")</x:f>
      </x:c>
      <x:c r="P114" s="24" t="s">
        <x:v>385</x:v>
      </x:c>
      <x:c r="Q114" s="24" t="s">
        <x:v>386</x:v>
      </x:c>
      <x:c r="R114" s="25">
        <x:v>0.59</x:v>
      </x:c>
      <x:c r="S114" s="26"/>
      <x:c r="T114" s="22">
        <x:f>IF(S114="","",IFERROR(INDEX('درخت جدید'!$C:$C,MATCH(S114&amp;"",'درخت جدید'!$B:$B,0)),"—"))</x:f>
      </x:c>
      <x:c r="U114" s="22">
        <x:f>IF(S114="",IF(N114="بله","الزامی — تکمیل نشده",""),IF(AND(O114&lt;&gt;"",LEFT(S114&amp;"",4)&lt;&gt;O114),"زیر کل دیگری است — کل یا معین را اصلاح کنید",IF(COUNTIFS('درخت جدید'!$B:$B,S114&amp;"",'درخت جدید'!$A:$A,"معین")=0,IF(V114="","کد در درخت نیست — نام برای تعریف را بنویسید","OK"),"OK")))</x:f>
      </x:c>
      <x:c r="V114" s="27"/>
      <x:c r="W114" s="28"/>
    </x:row>
    <x:row r="115" spans="1:23">
      <x:c r="A115" s="21" t="s">
        <x:v>153</x:v>
      </x:c>
      <x:c r="B115" s="22" t="s">
        <x:v>202</x:v>
      </x:c>
      <x:c r="C115" s="22" t="s">
        <x:v>154</x:v>
      </x:c>
      <x:c r="D115" s="22" t="s">
        <x:v>389</x:v>
      </x:c>
      <x:c r="E115" s="22" t="s">
        <x:v>383</x:v>
      </x:c>
      <x:c r="F115" s="22" t="s">
        <x:v>196</x:v>
      </x:c>
      <x:c r="G115" s="22" t="s">
        <x:v>201</x:v>
      </x:c>
      <x:c r="H115" s="22">
        <x:v>1</x:v>
      </x:c>
      <x:c r="I115" s="22">
        <x:v>1</x:v>
      </x:c>
      <x:c r="J115" s="22">
        <x:v>94</x:v>
      </x:c>
      <x:c r="K115" s="23">
        <x:v>47343614809</x:v>
      </x:c>
      <x:c r="L115" s="23">
        <x:v>104780856</x:v>
      </x:c>
      <x:c r="M115" s="23">
        <x:f>K115-L115</x:f>
      </x:c>
      <x:c r="N115" s="22" t="s">
        <x:v>197</x:v>
      </x:c>
      <x:c r="O115" s="24">
        <x:f>IFERROR(INDEX('تطبیق کل'!$J:$J,MATCH(A115&amp;"",'تطبیق کل'!$A:$A,0))&amp;"","")</x:f>
      </x:c>
      <x:c r="P115" s="24" t="s">
        <x:v>385</x:v>
      </x:c>
      <x:c r="Q115" s="24" t="s">
        <x:v>386</x:v>
      </x:c>
      <x:c r="R115" s="25">
        <x:v>0.35</x:v>
      </x:c>
      <x:c r="S115" s="26"/>
      <x:c r="T115" s="22">
        <x:f>IF(S115="","",IFERROR(INDEX('درخت جدید'!$C:$C,MATCH(S115&amp;"",'درخت جدید'!$B:$B,0)),"—"))</x:f>
      </x:c>
      <x:c r="U115" s="22">
        <x:f>IF(S115="",IF(N115="بله","الزامی — تکمیل نشده",""),IF(AND(O115&lt;&gt;"",LEFT(S115&amp;"",4)&lt;&gt;O115),"زیر کل دیگری است — کل یا معین را اصلاح کنید",IF(COUNTIFS('درخت جدید'!$B:$B,S115&amp;"",'درخت جدید'!$A:$A,"معین")=0,IF(V115="","کد در درخت نیست — نام برای تعریف را بنویسید","OK"),"OK")))</x:f>
      </x:c>
      <x:c r="V115" s="27"/>
      <x:c r="W115" s="28"/>
    </x:row>
    <x:row r="116" spans="1:23">
      <x:c r="A116" s="21" t="s">
        <x:v>153</x:v>
      </x:c>
      <x:c r="B116" s="22" t="s">
        <x:v>209</x:v>
      </x:c>
      <x:c r="C116" s="22" t="s">
        <x:v>154</x:v>
      </x:c>
      <x:c r="D116" s="22" t="s">
        <x:v>390</x:v>
      </x:c>
      <x:c r="E116" s="22" t="s">
        <x:v>383</x:v>
      </x:c>
      <x:c r="F116" s="22" t="s">
        <x:v>196</x:v>
      </x:c>
      <x:c r="G116" s="22" t="s">
        <x:v>201</x:v>
      </x:c>
      <x:c r="H116" s="22">
        <x:v>7</x:v>
      </x:c>
      <x:c r="I116" s="22">
        <x:v>6</x:v>
      </x:c>
      <x:c r="J116" s="22">
        <x:v>6</x:v>
      </x:c>
      <x:c r="K116" s="23">
        <x:v>744825999</x:v>
      </x:c>
      <x:c r="L116" s="23">
        <x:v>0</x:v>
      </x:c>
      <x:c r="M116" s="23">
        <x:f>K116-L116</x:f>
      </x:c>
      <x:c r="N116" s="22" t="s">
        <x:v>197</x:v>
      </x:c>
      <x:c r="O116" s="24">
        <x:f>IFERROR(INDEX('تطبیق کل'!$J:$J,MATCH(A116&amp;"",'تطبیق کل'!$A:$A,0))&amp;"","")</x:f>
      </x:c>
      <x:c r="P116" s="24"/>
      <x:c r="Q116" s="24" t="s">
        <x:v>198</x:v>
      </x:c>
      <x:c r="R116" s="25"/>
      <x:c r="S116" s="26"/>
      <x:c r="T116" s="22">
        <x:f>IF(S116="","",IFERROR(INDEX('درخت جدید'!$C:$C,MATCH(S116&amp;"",'درخت جدید'!$B:$B,0)),"—"))</x:f>
      </x:c>
      <x:c r="U116" s="22">
        <x:f>IF(S116="",IF(N116="بله","الزامی — تکمیل نشده",""),IF(AND(O116&lt;&gt;"",LEFT(S116&amp;"",4)&lt;&gt;O116),"زیر کل دیگری است — کل یا معین را اصلاح کنید",IF(COUNTIFS('درخت جدید'!$B:$B,S116&amp;"",'درخت جدید'!$A:$A,"معین")=0,IF(V116="","کد در درخت نیست — نام برای تعریف را بنویسید","OK"),"OK")))</x:f>
      </x:c>
      <x:c r="V116" s="27"/>
      <x:c r="W116" s="28"/>
    </x:row>
    <x:row r="117" spans="1:23">
      <x:c r="A117" s="21" t="s">
        <x:v>153</x:v>
      </x:c>
      <x:c r="B117" s="22" t="s">
        <x:v>150</x:v>
      </x:c>
      <x:c r="C117" s="22" t="s">
        <x:v>154</x:v>
      </x:c>
      <x:c r="D117" s="22" t="s">
        <x:v>391</x:v>
      </x:c>
      <x:c r="E117" s="22" t="s">
        <x:v>383</x:v>
      </x:c>
      <x:c r="F117" s="22" t="s">
        <x:v>196</x:v>
      </x:c>
      <x:c r="G117" s="22" t="s">
        <x:v>196</x:v>
      </x:c>
      <x:c r="H117" s="22">
        <x:v>3</x:v>
      </x:c>
      <x:c r="I117" s="22">
        <x:v>1</x:v>
      </x:c>
      <x:c r="J117" s="22">
        <x:v>4</x:v>
      </x:c>
      <x:c r="K117" s="23">
        <x:v>2864044</x:v>
      </x:c>
      <x:c r="L117" s="23">
        <x:v>6861000000</x:v>
      </x:c>
      <x:c r="M117" s="23">
        <x:f>K117-L117</x:f>
      </x:c>
      <x:c r="N117" s="22" t="s">
        <x:v>197</x:v>
      </x:c>
      <x:c r="O117" s="24">
        <x:f>IFERROR(INDEX('تطبیق کل'!$J:$J,MATCH(A117&amp;"",'تطبیق کل'!$A:$A,0))&amp;"","")</x:f>
      </x:c>
      <x:c r="P117" s="24" t="s">
        <x:v>392</x:v>
      </x:c>
      <x:c r="Q117" s="24" t="s">
        <x:v>393</x:v>
      </x:c>
      <x:c r="R117" s="25">
        <x:v>0.5</x:v>
      </x:c>
      <x:c r="S117" s="26"/>
      <x:c r="T117" s="22">
        <x:f>IF(S117="","",IFERROR(INDEX('درخت جدید'!$C:$C,MATCH(S117&amp;"",'درخت جدید'!$B:$B,0)),"—"))</x:f>
      </x:c>
      <x:c r="U117" s="22">
        <x:f>IF(S117="",IF(N117="بله","الزامی — تکمیل نشده",""),IF(AND(O117&lt;&gt;"",LEFT(S117&amp;"",4)&lt;&gt;O117),"زیر کل دیگری است — کل یا معین را اصلاح کنید",IF(COUNTIFS('درخت جدید'!$B:$B,S117&amp;"",'درخت جدید'!$A:$A,"معین")=0,IF(V117="","کد در درخت نیست — نام برای تعریف را بنویسید","OK"),"OK")))</x:f>
      </x:c>
      <x:c r="V117" s="27"/>
      <x:c r="W117" s="28"/>
    </x:row>
    <x:row r="118" spans="1:23">
      <x:c r="A118" s="21" t="s">
        <x:v>156</x:v>
      </x:c>
      <x:c r="B118" s="22" t="s">
        <x:v>199</x:v>
      </x:c>
      <x:c r="C118" s="22" t="s">
        <x:v>157</x:v>
      </x:c>
      <x:c r="D118" s="22" t="s">
        <x:v>394</x:v>
      </x:c>
      <x:c r="E118" s="22" t="s">
        <x:v>383</x:v>
      </x:c>
      <x:c r="F118" s="22" t="s">
        <x:v>196</x:v>
      </x:c>
      <x:c r="G118" s="22" t="s">
        <x:v>196</x:v>
      </x:c>
      <x:c r="H118" s="22">
        <x:v>2</x:v>
      </x:c>
      <x:c r="I118" s="22">
        <x:v>1</x:v>
      </x:c>
      <x:c r="J118" s="22">
        <x:v>1</x:v>
      </x:c>
      <x:c r="K118" s="23">
        <x:v>178102618188</x:v>
      </x:c>
      <x:c r="L118" s="23">
        <x:v>0</x:v>
      </x:c>
      <x:c r="M118" s="23">
        <x:f>K118-L118</x:f>
      </x:c>
      <x:c r="N118" s="22" t="s">
        <x:v>197</x:v>
      </x:c>
      <x:c r="O118" s="24">
        <x:f>IFERROR(INDEX('تطبیق کل'!$J:$J,MATCH(A118&amp;"",'تطبیق کل'!$A:$A,0))&amp;"","")</x:f>
      </x:c>
      <x:c r="P118" s="24" t="s">
        <x:v>395</x:v>
      </x:c>
      <x:c r="Q118" s="24" t="s">
        <x:v>396</x:v>
      </x:c>
      <x:c r="R118" s="25">
        <x:v>0.43</x:v>
      </x:c>
      <x:c r="S118" s="26"/>
      <x:c r="T118" s="22">
        <x:f>IF(S118="","",IFERROR(INDEX('درخت جدید'!$C:$C,MATCH(S118&amp;"",'درخت جدید'!$B:$B,0)),"—"))</x:f>
      </x:c>
      <x:c r="U118" s="22">
        <x:f>IF(S118="",IF(N118="بله","الزامی — تکمیل نشده",""),IF(AND(O118&lt;&gt;"",LEFT(S118&amp;"",4)&lt;&gt;O118),"زیر کل دیگری است — کل یا معین را اصلاح کنید",IF(COUNTIFS('درخت جدید'!$B:$B,S118&amp;"",'درخت جدید'!$A:$A,"معین")=0,IF(V118="","کد در درخت نیست — نام برای تعریف را بنویسید","OK"),"OK")))</x:f>
      </x:c>
      <x:c r="V118" s="27"/>
      <x:c r="W118" s="28"/>
    </x:row>
    <x:row r="119" spans="1:23">
      <x:c r="A119" s="21" t="s">
        <x:v>159</x:v>
      </x:c>
      <x:c r="B119" s="22" t="s">
        <x:v>64</x:v>
      </x:c>
      <x:c r="C119" s="22" t="s">
        <x:v>160</x:v>
      </x:c>
      <x:c r="D119" s="22" t="s">
        <x:v>397</x:v>
      </x:c>
      <x:c r="E119" s="22" t="s">
        <x:v>383</x:v>
      </x:c>
      <x:c r="F119" s="22" t="s">
        <x:v>196</x:v>
      </x:c>
      <x:c r="G119" s="22" t="s">
        <x:v>201</x:v>
      </x:c>
      <x:c r="H119" s="22">
        <x:v>1</x:v>
      </x:c>
      <x:c r="I119" s="22">
        <x:v>1</x:v>
      </x:c>
      <x:c r="J119" s="22">
        <x:v>33</x:v>
      </x:c>
      <x:c r="K119" s="23">
        <x:v>0</x:v>
      </x:c>
      <x:c r="L119" s="23">
        <x:v>150250000000</x:v>
      </x:c>
      <x:c r="M119" s="23">
        <x:f>K119-L119</x:f>
      </x:c>
      <x:c r="N119" s="22" t="s">
        <x:v>197</x:v>
      </x:c>
      <x:c r="O119" s="24">
        <x:f>IFERROR(INDEX('تطبیق کل'!$J:$J,MATCH(A119&amp;"",'تطبیق کل'!$A:$A,0))&amp;"","")</x:f>
      </x:c>
      <x:c r="P119" s="24" t="s">
        <x:v>246</x:v>
      </x:c>
      <x:c r="Q119" s="24" t="s">
        <x:v>247</x:v>
      </x:c>
      <x:c r="R119" s="25">
        <x:v>0.35</x:v>
      </x:c>
      <x:c r="S119" s="26"/>
      <x:c r="T119" s="22">
        <x:f>IF(S119="","",IFERROR(INDEX('درخت جدید'!$C:$C,MATCH(S119&amp;"",'درخت جدید'!$B:$B,0)),"—"))</x:f>
      </x:c>
      <x:c r="U119" s="22">
        <x:f>IF(S119="",IF(N119="بله","الزامی — تکمیل نشده",""),IF(AND(O119&lt;&gt;"",LEFT(S119&amp;"",4)&lt;&gt;O119),"زیر کل دیگری است — کل یا معین را اصلاح کنید",IF(COUNTIFS('درخت جدید'!$B:$B,S119&amp;"",'درخت جدید'!$A:$A,"معین")=0,IF(V119="","کد در درخت نیست — نام برای تعریف را بنویسید","OK"),"OK")))</x:f>
      </x:c>
      <x:c r="V119" s="27"/>
      <x:c r="W119" s="28"/>
    </x:row>
    <x:row r="120" spans="1:23">
      <x:c r="A120" s="21" t="s">
        <x:v>159</x:v>
      </x:c>
      <x:c r="B120" s="22" t="s">
        <x:v>67</x:v>
      </x:c>
      <x:c r="C120" s="22" t="s">
        <x:v>160</x:v>
      </x:c>
      <x:c r="D120" s="22" t="s">
        <x:v>398</x:v>
      </x:c>
      <x:c r="E120" s="22" t="s">
        <x:v>383</x:v>
      </x:c>
      <x:c r="F120" s="22" t="s">
        <x:v>196</x:v>
      </x:c>
      <x:c r="G120" s="22" t="s">
        <x:v>201</x:v>
      </x:c>
      <x:c r="H120" s="22">
        <x:v>1</x:v>
      </x:c>
      <x:c r="I120" s="22">
        <x:v>1</x:v>
      </x:c>
      <x:c r="J120" s="22">
        <x:v>11</x:v>
      </x:c>
      <x:c r="K120" s="23">
        <x:v>0</x:v>
      </x:c>
      <x:c r="L120" s="23">
        <x:v>1379553395</x:v>
      </x:c>
      <x:c r="M120" s="23">
        <x:f>K120-L120</x:f>
      </x:c>
      <x:c r="N120" s="22" t="s">
        <x:v>197</x:v>
      </x:c>
      <x:c r="O120" s="24">
        <x:f>IFERROR(INDEX('تطبیق کل'!$J:$J,MATCH(A120&amp;"",'تطبیق کل'!$A:$A,0))&amp;"","")</x:f>
      </x:c>
      <x:c r="P120" s="24"/>
      <x:c r="Q120" s="24" t="s">
        <x:v>198</x:v>
      </x:c>
      <x:c r="R120" s="25"/>
      <x:c r="S120" s="26"/>
      <x:c r="T120" s="22">
        <x:f>IF(S120="","",IFERROR(INDEX('درخت جدید'!$C:$C,MATCH(S120&amp;"",'درخت جدید'!$B:$B,0)),"—"))</x:f>
      </x:c>
      <x:c r="U120" s="22">
        <x:f>IF(S120="",IF(N120="بله","الزامی — تکمیل نشده",""),IF(AND(O120&lt;&gt;"",LEFT(S120&amp;"",4)&lt;&gt;O120),"زیر کل دیگری است — کل یا معین را اصلاح کنید",IF(COUNTIFS('درخت جدید'!$B:$B,S120&amp;"",'درخت جدید'!$A:$A,"معین")=0,IF(V120="","کد در درخت نیست — نام برای تعریف را بنویسید","OK"),"OK")))</x:f>
      </x:c>
      <x:c r="V120" s="27"/>
      <x:c r="W120" s="28"/>
    </x:row>
    <x:row r="121" spans="1:23">
      <x:c r="A121" s="21" t="s">
        <x:v>159</x:v>
      </x:c>
      <x:c r="B121" s="22" t="s">
        <x:v>399</x:v>
      </x:c>
      <x:c r="C121" s="22" t="s">
        <x:v>160</x:v>
      </x:c>
      <x:c r="D121" s="22" t="s">
        <x:v>400</x:v>
      </x:c>
      <x:c r="E121" s="22" t="s">
        <x:v>383</x:v>
      </x:c>
      <x:c r="F121" s="22" t="s">
        <x:v>196</x:v>
      </x:c>
      <x:c r="G121" s="22" t="s">
        <x:v>201</x:v>
      </x:c>
      <x:c r="H121" s="22">
        <x:v>1</x:v>
      </x:c>
      <x:c r="I121" s="22">
        <x:v>1</x:v>
      </x:c>
      <x:c r="J121" s="22">
        <x:v>10</x:v>
      </x:c>
      <x:c r="K121" s="23">
        <x:v>1299160000</x:v>
      </x:c>
      <x:c r="L121" s="23">
        <x:v>0</x:v>
      </x:c>
      <x:c r="M121" s="23">
        <x:f>K121-L121</x:f>
      </x:c>
      <x:c r="N121" s="22" t="s">
        <x:v>197</x:v>
      </x:c>
      <x:c r="O121" s="24">
        <x:f>IFERROR(INDEX('تطبیق کل'!$J:$J,MATCH(A121&amp;"",'تطبیق کل'!$A:$A,0))&amp;"","")</x:f>
      </x:c>
      <x:c r="P121" s="24" t="s">
        <x:v>246</x:v>
      </x:c>
      <x:c r="Q121" s="24" t="s">
        <x:v>247</x:v>
      </x:c>
      <x:c r="R121" s="25">
        <x:v>0.37</x:v>
      </x:c>
      <x:c r="S121" s="26"/>
      <x:c r="T121" s="22">
        <x:f>IF(S121="","",IFERROR(INDEX('درخت جدید'!$C:$C,MATCH(S121&amp;"",'درخت جدید'!$B:$B,0)),"—"))</x:f>
      </x:c>
      <x:c r="U121" s="22">
        <x:f>IF(S121="",IF(N121="بله","الزامی — تکمیل نشده",""),IF(AND(O121&lt;&gt;"",LEFT(S121&amp;"",4)&lt;&gt;O121),"زیر کل دیگری است — کل یا معین را اصلاح کنید",IF(COUNTIFS('درخت جدید'!$B:$B,S121&amp;"",'درخت جدید'!$A:$A,"معین")=0,IF(V121="","کد در درخت نیست — نام برای تعریف را بنویسید","OK"),"OK")))</x:f>
      </x:c>
      <x:c r="V121" s="27"/>
      <x:c r="W121" s="28"/>
    </x:row>
    <x:row r="122" spans="1:23">
      <x:c r="A122" s="21" t="s">
        <x:v>163</x:v>
      </x:c>
      <x:c r="B122" s="22" t="s">
        <x:v>30</x:v>
      </x:c>
      <x:c r="C122" s="22" t="s">
        <x:v>164</x:v>
      </x:c>
      <x:c r="D122" s="22" t="s">
        <x:v>401</x:v>
      </x:c>
      <x:c r="E122" s="22" t="s">
        <x:v>195</x:v>
      </x:c>
      <x:c r="F122" s="22" t="s">
        <x:v>195</x:v>
      </x:c>
      <x:c r="G122" s="22" t="s">
        <x:v>201</x:v>
      </x:c>
      <x:c r="H122" s="22">
        <x:v>12</x:v>
      </x:c>
      <x:c r="I122" s="22">
        <x:v>1</x:v>
      </x:c>
      <x:c r="J122" s="22">
        <x:v>5</x:v>
      </x:c>
      <x:c r="K122" s="23">
        <x:v>60000000</x:v>
      </x:c>
      <x:c r="L122" s="23">
        <x:v>240000000</x:v>
      </x:c>
      <x:c r="M122" s="23">
        <x:f>K122-L122</x:f>
      </x:c>
      <x:c r="N122" s="22" t="s">
        <x:v>197</x:v>
      </x:c>
      <x:c r="O122" s="24">
        <x:f>IFERROR(INDEX('تطبیق کل'!$J:$J,MATCH(A122&amp;"",'تطبیق کل'!$A:$A,0))&amp;"","")</x:f>
      </x:c>
      <x:c r="P122" s="24"/>
      <x:c r="Q122" s="24" t="s">
        <x:v>198</x:v>
      </x:c>
      <x:c r="R122" s="25"/>
      <x:c r="S122" s="26"/>
      <x:c r="T122" s="22">
        <x:f>IF(S122="","",IFERROR(INDEX('درخت جدید'!$C:$C,MATCH(S122&amp;"",'درخت جدید'!$B:$B,0)),"—"))</x:f>
      </x:c>
      <x:c r="U122" s="22">
        <x:f>IF(S122="",IF(N122="بله","الزامی — تکمیل نشده",""),IF(AND(O122&lt;&gt;"",LEFT(S122&amp;"",4)&lt;&gt;O122),"زیر کل دیگری است — کل یا معین را اصلاح کنید",IF(COUNTIFS('درخت جدید'!$B:$B,S122&amp;"",'درخت جدید'!$A:$A,"معین")=0,IF(V122="","کد در درخت نیست — نام برای تعریف را بنویسید","OK"),"OK")))</x:f>
      </x:c>
      <x:c r="V122" s="27"/>
      <x:c r="W122" s="28"/>
    </x:row>
    <x:row r="123" spans="1:23">
      <x:c r="A123" s="21" t="s">
        <x:v>163</x:v>
      </x:c>
      <x:c r="B123" s="22" t="s">
        <x:v>292</x:v>
      </x:c>
      <x:c r="C123" s="22" t="s">
        <x:v>164</x:v>
      </x:c>
      <x:c r="D123" s="22" t="s">
        <x:v>402</x:v>
      </x:c>
      <x:c r="E123" s="22" t="s">
        <x:v>195</x:v>
      </x:c>
      <x:c r="F123" s="22" t="s">
        <x:v>195</x:v>
      </x:c>
      <x:c r="G123" s="22" t="s">
        <x:v>201</x:v>
      </x:c>
      <x:c r="H123" s="22">
        <x:v>23</x:v>
      </x:c>
      <x:c r="I123" s="22">
        <x:v>1</x:v>
      </x:c>
      <x:c r="J123" s="22">
        <x:v>10</x:v>
      </x:c>
      <x:c r="K123" s="23">
        <x:v>83941133</x:v>
      </x:c>
      <x:c r="L123" s="23">
        <x:v>335764532</x:v>
      </x:c>
      <x:c r="M123" s="23">
        <x:f>K123-L123</x:f>
      </x:c>
      <x:c r="N123" s="22" t="s">
        <x:v>197</x:v>
      </x:c>
      <x:c r="O123" s="24">
        <x:f>IFERROR(INDEX('تطبیق کل'!$J:$J,MATCH(A123&amp;"",'تطبیق کل'!$A:$A,0))&amp;"","")</x:f>
      </x:c>
      <x:c r="P123" s="24" t="s">
        <x:v>246</x:v>
      </x:c>
      <x:c r="Q123" s="24" t="s">
        <x:v>247</x:v>
      </x:c>
      <x:c r="R123" s="25">
        <x:v>0.42</x:v>
      </x:c>
      <x:c r="S123" s="26"/>
      <x:c r="T123" s="22">
        <x:f>IF(S123="","",IFERROR(INDEX('درخت جدید'!$C:$C,MATCH(S123&amp;"",'درخت جدید'!$B:$B,0)),"—"))</x:f>
      </x:c>
      <x:c r="U123" s="22">
        <x:f>IF(S123="",IF(N123="بله","الزامی — تکمیل نشده",""),IF(AND(O123&lt;&gt;"",LEFT(S123&amp;"",4)&lt;&gt;O123),"زیر کل دیگری است — کل یا معین را اصلاح کنید",IF(COUNTIFS('درخت جدید'!$B:$B,S123&amp;"",'درخت جدید'!$A:$A,"معین")=0,IF(V123="","کد در درخت نیست — نام برای تعریف را بنویسید","OK"),"OK")))</x:f>
      </x:c>
      <x:c r="V123" s="27"/>
      <x:c r="W123" s="28"/>
    </x:row>
    <x:row r="124" spans="1:23">
      <x:c r="A124" s="21" t="s">
        <x:v>167</x:v>
      </x:c>
      <x:c r="B124" s="22" t="s">
        <x:v>30</x:v>
      </x:c>
      <x:c r="C124" s="22" t="s">
        <x:v>168</x:v>
      </x:c>
      <x:c r="D124" s="22" t="s">
        <x:v>403</x:v>
      </x:c>
      <x:c r="E124" s="22" t="s">
        <x:v>196</x:v>
      </x:c>
      <x:c r="F124" s="22" t="s">
        <x:v>195</x:v>
      </x:c>
      <x:c r="G124" s="22" t="s">
        <x:v>201</x:v>
      </x:c>
      <x:c r="H124" s="22">
        <x:v>2</x:v>
      </x:c>
      <x:c r="I124" s="22">
        <x:v>1</x:v>
      </x:c>
      <x:c r="J124" s="22">
        <x:v>5</x:v>
      </x:c>
      <x:c r="K124" s="23">
        <x:v>240000000</x:v>
      </x:c>
      <x:c r="L124" s="23">
        <x:v>60000000</x:v>
      </x:c>
      <x:c r="M124" s="23">
        <x:f>K124-L124</x:f>
      </x:c>
      <x:c r="N124" s="22" t="s">
        <x:v>197</x:v>
      </x:c>
      <x:c r="O124" s="24">
        <x:f>IFERROR(INDEX('تطبیق کل'!$J:$J,MATCH(A124&amp;"",'تطبیق کل'!$A:$A,0))&amp;"","")</x:f>
      </x:c>
      <x:c r="P124" s="24"/>
      <x:c r="Q124" s="24" t="s">
        <x:v>198</x:v>
      </x:c>
      <x:c r="R124" s="25"/>
      <x:c r="S124" s="26"/>
      <x:c r="T124" s="22">
        <x:f>IF(S124="","",IFERROR(INDEX('درخت جدید'!$C:$C,MATCH(S124&amp;"",'درخت جدید'!$B:$B,0)),"—"))</x:f>
      </x:c>
      <x:c r="U124" s="22">
        <x:f>IF(S124="",IF(N124="بله","الزامی — تکمیل نشده",""),IF(AND(O124&lt;&gt;"",LEFT(S124&amp;"",4)&lt;&gt;O124),"زیر کل دیگری است — کل یا معین را اصلاح کنید",IF(COUNTIFS('درخت جدید'!$B:$B,S124&amp;"",'درخت جدید'!$A:$A,"معین")=0,IF(V124="","کد در درخت نیست — نام برای تعریف را بنویسید","OK"),"OK")))</x:f>
      </x:c>
      <x:c r="V124" s="27"/>
      <x:c r="W124" s="28"/>
    </x:row>
    <x:row r="125" spans="1:23">
      <x:c r="A125" s="21" t="s">
        <x:v>167</x:v>
      </x:c>
      <x:c r="B125" s="22" t="s">
        <x:v>292</x:v>
      </x:c>
      <x:c r="C125" s="22" t="s">
        <x:v>168</x:v>
      </x:c>
      <x:c r="D125" s="22" t="s">
        <x:v>404</x:v>
      </x:c>
      <x:c r="E125" s="22" t="s">
        <x:v>196</x:v>
      </x:c>
      <x:c r="F125" s="22" t="s">
        <x:v>195</x:v>
      </x:c>
      <x:c r="G125" s="22" t="s">
        <x:v>201</x:v>
      </x:c>
      <x:c r="H125" s="22">
        <x:v>23</x:v>
      </x:c>
      <x:c r="I125" s="22">
        <x:v>1</x:v>
      </x:c>
      <x:c r="J125" s="22">
        <x:v>10</x:v>
      </x:c>
      <x:c r="K125" s="23">
        <x:v>335764532</x:v>
      </x:c>
      <x:c r="L125" s="23">
        <x:v>83941133</x:v>
      </x:c>
      <x:c r="M125" s="23">
        <x:f>K125-L125</x:f>
      </x:c>
      <x:c r="N125" s="22" t="s">
        <x:v>197</x:v>
      </x:c>
      <x:c r="O125" s="24">
        <x:f>IFERROR(INDEX('تطبیق کل'!$J:$J,MATCH(A125&amp;"",'تطبیق کل'!$A:$A,0))&amp;"","")</x:f>
      </x:c>
      <x:c r="P125" s="24" t="s">
        <x:v>246</x:v>
      </x:c>
      <x:c r="Q125" s="24" t="s">
        <x:v>247</x:v>
      </x:c>
      <x:c r="R125" s="25">
        <x:v>0.39</x:v>
      </x:c>
      <x:c r="S125" s="26"/>
      <x:c r="T125" s="22">
        <x:f>IF(S125="","",IFERROR(INDEX('درخت جدید'!$C:$C,MATCH(S125&amp;"",'درخت جدید'!$B:$B,0)),"—"))</x:f>
      </x:c>
      <x:c r="U125" s="22">
        <x:f>IF(S125="",IF(N125="بله","الزامی — تکمیل نشده",""),IF(AND(O125&lt;&gt;"",LEFT(S125&amp;"",4)&lt;&gt;O125),"زیر کل دیگری است — کل یا معین را اصلاح کنید",IF(COUNTIFS('درخت جدید'!$B:$B,S125&amp;"",'درخت جدید'!$A:$A,"معین")=0,IF(V125="","کد در درخت نیست — نام برای تعریف را بنویسید","OK"),"OK")))</x:f>
      </x:c>
      <x:c r="V125" s="27"/>
      <x:c r="W125" s="28"/>
    </x:row>
    <x:row r="126" spans="1:23">
      <x:c r="A126" s="21" t="s">
        <x:v>14</x:v>
      </x:c>
      <x:c r="B126" s="22" t="s">
        <x:v>202</x:v>
      </x:c>
      <x:c r="C126" s="22" t="s">
        <x:v>15</x:v>
      </x:c>
      <x:c r="D126" s="22" t="s">
        <x:v>405</x:v>
      </x:c>
      <x:c r="E126" s="22" t="s">
        <x:v>195</x:v>
      </x:c>
      <x:c r="F126" s="22" t="s">
        <x:v>195</x:v>
      </x:c>
      <x:c r="G126" s="22" t="s">
        <x:v>196</x:v>
      </x:c>
      <x:c r="H126" s="22">
        <x:v>1</x:v>
      </x:c>
      <x:c r="I126" s="22">
        <x:v>0</x:v>
      </x:c>
      <x:c r="J126" s="22">
        <x:v>0</x:v>
      </x:c>
      <x:c r="K126" s="23">
        <x:v>0</x:v>
      </x:c>
      <x:c r="L126" s="23">
        <x:v>0</x:v>
      </x:c>
      <x:c r="M126" s="23">
        <x:f>K126-L126</x:f>
      </x:c>
      <x:c r="N126" s="22" t="s">
        <x:v>406</x:v>
      </x:c>
      <x:c r="O126" s="24">
        <x:f>IFERROR(INDEX('تطبیق کل'!$J:$J,MATCH(A126&amp;"",'تطبیق کل'!$A:$A,0))&amp;"","")</x:f>
      </x:c>
      <x:c r="P126" s="24"/>
      <x:c r="Q126" s="24" t="s">
        <x:v>198</x:v>
      </x:c>
      <x:c r="R126" s="25"/>
      <x:c r="S126" s="26"/>
      <x:c r="T126" s="22">
        <x:f>IF(S126="","",IFERROR(INDEX('درخت جدید'!$C:$C,MATCH(S126&amp;"",'درخت جدید'!$B:$B,0)),"—"))</x:f>
      </x:c>
      <x:c r="U126" s="22">
        <x:f>IF(S126="",IF(N126="بله","الزامی — تکمیل نشده",""),IF(AND(O126&lt;&gt;"",LEFT(S126&amp;"",4)&lt;&gt;O126),"زیر کل دیگری است — کل یا معین را اصلاح کنید",IF(COUNTIFS('درخت جدید'!$B:$B,S126&amp;"",'درخت جدید'!$A:$A,"معین")=0,IF(V126="","کد در درخت نیست — نام برای تعریف را بنویسید","OK"),"OK")))</x:f>
      </x:c>
      <x:c r="V126" s="27"/>
      <x:c r="W126" s="28"/>
    </x:row>
    <x:row r="127" spans="1:23">
      <x:c r="A127" s="21" t="s">
        <x:v>30</x:v>
      </x:c>
      <x:c r="B127" s="22" t="s">
        <x:v>204</x:v>
      </x:c>
      <x:c r="C127" s="22" t="s">
        <x:v>31</x:v>
      </x:c>
      <x:c r="D127" s="22" t="s">
        <x:v>407</x:v>
      </x:c>
      <x:c r="E127" s="22" t="s">
        <x:v>195</x:v>
      </x:c>
      <x:c r="F127" s="22" t="s">
        <x:v>195</x:v>
      </x:c>
      <x:c r="G127" s="22" t="s">
        <x:v>201</x:v>
      </x:c>
      <x:c r="H127" s="22">
        <x:v>1</x:v>
      </x:c>
      <x:c r="I127" s="22">
        <x:v>0</x:v>
      </x:c>
      <x:c r="J127" s="22">
        <x:v>0</x:v>
      </x:c>
      <x:c r="K127" s="23">
        <x:v>0</x:v>
      </x:c>
      <x:c r="L127" s="23">
        <x:v>0</x:v>
      </x:c>
      <x:c r="M127" s="23">
        <x:f>K127-L127</x:f>
      </x:c>
      <x:c r="N127" s="22" t="s">
        <x:v>406</x:v>
      </x:c>
      <x:c r="O127" s="24">
        <x:f>IFERROR(INDEX('تطبیق کل'!$J:$J,MATCH(A127&amp;"",'تطبیق کل'!$A:$A,0))&amp;"","")</x:f>
      </x:c>
      <x:c r="P127" s="24"/>
      <x:c r="Q127" s="24" t="s">
        <x:v>198</x:v>
      </x:c>
      <x:c r="R127" s="25"/>
      <x:c r="S127" s="26"/>
      <x:c r="T127" s="22">
        <x:f>IF(S127="","",IFERROR(INDEX('درخت جدید'!$C:$C,MATCH(S127&amp;"",'درخت جدید'!$B:$B,0)),"—"))</x:f>
      </x:c>
      <x:c r="U127" s="22">
        <x:f>IF(S127="",IF(N127="بله","الزامی — تکمیل نشده",""),IF(AND(O127&lt;&gt;"",LEFT(S127&amp;"",4)&lt;&gt;O127),"زیر کل دیگری است — کل یا معین را اصلاح کنید",IF(COUNTIFS('درخت جدید'!$B:$B,S127&amp;"",'درخت جدید'!$A:$A,"معین")=0,IF(V127="","کد در درخت نیست — نام برای تعریف را بنویسید","OK"),"OK")))</x:f>
      </x:c>
      <x:c r="V127" s="27"/>
      <x:c r="W127" s="28"/>
    </x:row>
    <x:row r="128" spans="1:23">
      <x:c r="A128" s="21" t="s">
        <x:v>30</x:v>
      </x:c>
      <x:c r="B128" s="22" t="s">
        <x:v>199</x:v>
      </x:c>
      <x:c r="C128" s="22" t="s">
        <x:v>31</x:v>
      </x:c>
      <x:c r="D128" s="22" t="s">
        <x:v>408</x:v>
      </x:c>
      <x:c r="E128" s="22" t="s">
        <x:v>195</x:v>
      </x:c>
      <x:c r="F128" s="22" t="s">
        <x:v>195</x:v>
      </x:c>
      <x:c r="G128" s="22" t="s">
        <x:v>201</x:v>
      </x:c>
      <x:c r="H128" s="22">
        <x:v>1</x:v>
      </x:c>
      <x:c r="I128" s="22">
        <x:v>0</x:v>
      </x:c>
      <x:c r="J128" s="22">
        <x:v>0</x:v>
      </x:c>
      <x:c r="K128" s="23">
        <x:v>0</x:v>
      </x:c>
      <x:c r="L128" s="23">
        <x:v>0</x:v>
      </x:c>
      <x:c r="M128" s="23">
        <x:f>K128-L128</x:f>
      </x:c>
      <x:c r="N128" s="22" t="s">
        <x:v>406</x:v>
      </x:c>
      <x:c r="O128" s="24">
        <x:f>IFERROR(INDEX('تطبیق کل'!$J:$J,MATCH(A128&amp;"",'تطبیق کل'!$A:$A,0))&amp;"","")</x:f>
      </x:c>
      <x:c r="P128" s="24"/>
      <x:c r="Q128" s="24" t="s">
        <x:v>198</x:v>
      </x:c>
      <x:c r="R128" s="25"/>
      <x:c r="S128" s="26"/>
      <x:c r="T128" s="22">
        <x:f>IF(S128="","",IFERROR(INDEX('درخت جدید'!$C:$C,MATCH(S128&amp;"",'درخت جدید'!$B:$B,0)),"—"))</x:f>
      </x:c>
      <x:c r="U128" s="22">
        <x:f>IF(S128="",IF(N128="بله","الزامی — تکمیل نشده",""),IF(AND(O128&lt;&gt;"",LEFT(S128&amp;"",4)&lt;&gt;O128),"زیر کل دیگری است — کل یا معین را اصلاح کنید",IF(COUNTIFS('درخت جدید'!$B:$B,S128&amp;"",'درخت جدید'!$A:$A,"معین")=0,IF(V128="","کد در درخت نیست — نام برای تعریف را بنویسید","OK"),"OK")))</x:f>
      </x:c>
      <x:c r="V128" s="27"/>
      <x:c r="W128" s="28"/>
    </x:row>
    <x:row r="129" spans="1:23">
      <x:c r="A129" s="21" t="s">
        <x:v>30</x:v>
      </x:c>
      <x:c r="B129" s="22" t="s">
        <x:v>207</x:v>
      </x:c>
      <x:c r="C129" s="22" t="s">
        <x:v>31</x:v>
      </x:c>
      <x:c r="D129" s="22" t="s">
        <x:v>409</x:v>
      </x:c>
      <x:c r="E129" s="22" t="s">
        <x:v>195</x:v>
      </x:c>
      <x:c r="F129" s="22" t="s">
        <x:v>195</x:v>
      </x:c>
      <x:c r="G129" s="22" t="s">
        <x:v>201</x:v>
      </x:c>
      <x:c r="H129" s="22">
        <x:v>1</x:v>
      </x:c>
      <x:c r="I129" s="22">
        <x:v>0</x:v>
      </x:c>
      <x:c r="J129" s="22">
        <x:v>0</x:v>
      </x:c>
      <x:c r="K129" s="23">
        <x:v>0</x:v>
      </x:c>
      <x:c r="L129" s="23">
        <x:v>0</x:v>
      </x:c>
      <x:c r="M129" s="23">
        <x:f>K129-L129</x:f>
      </x:c>
      <x:c r="N129" s="22" t="s">
        <x:v>406</x:v>
      </x:c>
      <x:c r="O129" s="24">
        <x:f>IFERROR(INDEX('تطبیق کل'!$J:$J,MATCH(A129&amp;"",'تطبیق کل'!$A:$A,0))&amp;"","")</x:f>
      </x:c>
      <x:c r="P129" s="24"/>
      <x:c r="Q129" s="24" t="s">
        <x:v>198</x:v>
      </x:c>
      <x:c r="R129" s="25"/>
      <x:c r="S129" s="26"/>
      <x:c r="T129" s="22">
        <x:f>IF(S129="","",IFERROR(INDEX('درخت جدید'!$C:$C,MATCH(S129&amp;"",'درخت جدید'!$B:$B,0)),"—"))</x:f>
      </x:c>
      <x:c r="U129" s="22">
        <x:f>IF(S129="",IF(N129="بله","الزامی — تکمیل نشده",""),IF(AND(O129&lt;&gt;"",LEFT(S129&amp;"",4)&lt;&gt;O129),"زیر کل دیگری است — کل یا معین را اصلاح کنید",IF(COUNTIFS('درخت جدید'!$B:$B,S129&amp;"",'درخت جدید'!$A:$A,"معین")=0,IF(V129="","کد در درخت نیست — نام برای تعریف را بنویسید","OK"),"OK")))</x:f>
      </x:c>
      <x:c r="V129" s="27"/>
      <x:c r="W129" s="28"/>
    </x:row>
    <x:row r="130" spans="1:23">
      <x:c r="A130" s="21" t="s">
        <x:v>30</x:v>
      </x:c>
      <x:c r="B130" s="22" t="s">
        <x:v>209</x:v>
      </x:c>
      <x:c r="C130" s="22" t="s">
        <x:v>31</x:v>
      </x:c>
      <x:c r="D130" s="22" t="s">
        <x:v>410</x:v>
      </x:c>
      <x:c r="E130" s="22" t="s">
        <x:v>195</x:v>
      </x:c>
      <x:c r="F130" s="22" t="s">
        <x:v>195</x:v>
      </x:c>
      <x:c r="G130" s="22" t="s">
        <x:v>201</x:v>
      </x:c>
      <x:c r="H130" s="22">
        <x:v>1</x:v>
      </x:c>
      <x:c r="I130" s="22">
        <x:v>0</x:v>
      </x:c>
      <x:c r="J130" s="22">
        <x:v>0</x:v>
      </x:c>
      <x:c r="K130" s="23">
        <x:v>0</x:v>
      </x:c>
      <x:c r="L130" s="23">
        <x:v>0</x:v>
      </x:c>
      <x:c r="M130" s="23">
        <x:f>K130-L130</x:f>
      </x:c>
      <x:c r="N130" s="22" t="s">
        <x:v>406</x:v>
      </x:c>
      <x:c r="O130" s="24">
        <x:f>IFERROR(INDEX('تطبیق کل'!$J:$J,MATCH(A130&amp;"",'تطبیق کل'!$A:$A,0))&amp;"","")</x:f>
      </x:c>
      <x:c r="P130" s="24"/>
      <x:c r="Q130" s="24" t="s">
        <x:v>198</x:v>
      </x:c>
      <x:c r="R130" s="25"/>
      <x:c r="S130" s="26"/>
      <x:c r="T130" s="22">
        <x:f>IF(S130="","",IFERROR(INDEX('درخت جدید'!$C:$C,MATCH(S130&amp;"",'درخت جدید'!$B:$B,0)),"—"))</x:f>
      </x:c>
      <x:c r="U130" s="22">
        <x:f>IF(S130="",IF(N130="بله","الزامی — تکمیل نشده",""),IF(AND(O130&lt;&gt;"",LEFT(S130&amp;"",4)&lt;&gt;O130),"زیر کل دیگری است — کل یا معین را اصلاح کنید",IF(COUNTIFS('درخت جدید'!$B:$B,S130&amp;"",'درخت جدید'!$A:$A,"معین")=0,IF(V130="","کد در درخت نیست — نام برای تعریف را بنویسید","OK"),"OK")))</x:f>
      </x:c>
      <x:c r="V130" s="27"/>
      <x:c r="W130" s="28"/>
    </x:row>
    <x:row r="131" spans="1:23">
      <x:c r="A131" s="21" t="s">
        <x:v>30</x:v>
      </x:c>
      <x:c r="B131" s="22" t="s">
        <x:v>211</x:v>
      </x:c>
      <x:c r="C131" s="22" t="s">
        <x:v>31</x:v>
      </x:c>
      <x:c r="D131" s="22" t="s">
        <x:v>411</x:v>
      </x:c>
      <x:c r="E131" s="22" t="s">
        <x:v>195</x:v>
      </x:c>
      <x:c r="F131" s="22" t="s">
        <x:v>195</x:v>
      </x:c>
      <x:c r="G131" s="22" t="s">
        <x:v>201</x:v>
      </x:c>
      <x:c r="H131" s="22">
        <x:v>5</x:v>
      </x:c>
      <x:c r="I131" s="22">
        <x:v>0</x:v>
      </x:c>
      <x:c r="J131" s="22">
        <x:v>0</x:v>
      </x:c>
      <x:c r="K131" s="23">
        <x:v>0</x:v>
      </x:c>
      <x:c r="L131" s="23">
        <x:v>0</x:v>
      </x:c>
      <x:c r="M131" s="23">
        <x:f>K131-L131</x:f>
      </x:c>
      <x:c r="N131" s="22" t="s">
        <x:v>406</x:v>
      </x:c>
      <x:c r="O131" s="24">
        <x:f>IFERROR(INDEX('تطبیق کل'!$J:$J,MATCH(A131&amp;"",'تطبیق کل'!$A:$A,0))&amp;"","")</x:f>
      </x:c>
      <x:c r="P131" s="24" t="s">
        <x:v>348</x:v>
      </x:c>
      <x:c r="Q131" s="24" t="s">
        <x:v>33</x:v>
      </x:c>
      <x:c r="R131" s="25">
        <x:v>0.46</x:v>
      </x:c>
      <x:c r="S131" s="26"/>
      <x:c r="T131" s="22">
        <x:f>IF(S131="","",IFERROR(INDEX('درخت جدید'!$C:$C,MATCH(S131&amp;"",'درخت جدید'!$B:$B,0)),"—"))</x:f>
      </x:c>
      <x:c r="U131" s="22">
        <x:f>IF(S131="",IF(N131="بله","الزامی — تکمیل نشده",""),IF(AND(O131&lt;&gt;"",LEFT(S131&amp;"",4)&lt;&gt;O131),"زیر کل دیگری است — کل یا معین را اصلاح کنید",IF(COUNTIFS('درخت جدید'!$B:$B,S131&amp;"",'درخت جدید'!$A:$A,"معین")=0,IF(V131="","کد در درخت نیست — نام برای تعریف را بنویسید","OK"),"OK")))</x:f>
      </x:c>
      <x:c r="V131" s="27"/>
      <x:c r="W131" s="28"/>
    </x:row>
    <x:row r="132" spans="1:23">
      <x:c r="A132" s="21" t="s">
        <x:v>30</x:v>
      </x:c>
      <x:c r="B132" s="22" t="s">
        <x:v>86</x:v>
      </x:c>
      <x:c r="C132" s="22" t="s">
        <x:v>31</x:v>
      </x:c>
      <x:c r="D132" s="22" t="s">
        <x:v>412</x:v>
      </x:c>
      <x:c r="E132" s="22" t="s">
        <x:v>195</x:v>
      </x:c>
      <x:c r="F132" s="22" t="s">
        <x:v>195</x:v>
      </x:c>
      <x:c r="G132" s="22" t="s">
        <x:v>201</x:v>
      </x:c>
      <x:c r="H132" s="22">
        <x:v>5</x:v>
      </x:c>
      <x:c r="I132" s="22">
        <x:v>0</x:v>
      </x:c>
      <x:c r="J132" s="22">
        <x:v>0</x:v>
      </x:c>
      <x:c r="K132" s="23">
        <x:v>0</x:v>
      </x:c>
      <x:c r="L132" s="23">
        <x:v>0</x:v>
      </x:c>
      <x:c r="M132" s="23">
        <x:f>K132-L132</x:f>
      </x:c>
      <x:c r="N132" s="22" t="s">
        <x:v>406</x:v>
      </x:c>
      <x:c r="O132" s="24">
        <x:f>IFERROR(INDEX('تطبیق کل'!$J:$J,MATCH(A132&amp;"",'تطبیق کل'!$A:$A,0))&amp;"","")</x:f>
      </x:c>
      <x:c r="P132" s="24"/>
      <x:c r="Q132" s="24" t="s">
        <x:v>198</x:v>
      </x:c>
      <x:c r="R132" s="25"/>
      <x:c r="S132" s="26"/>
      <x:c r="T132" s="22">
        <x:f>IF(S132="","",IFERROR(INDEX('درخت جدید'!$C:$C,MATCH(S132&amp;"",'درخت جدید'!$B:$B,0)),"—"))</x:f>
      </x:c>
      <x:c r="U132" s="22">
        <x:f>IF(S132="",IF(N132="بله","الزامی — تکمیل نشده",""),IF(AND(O132&lt;&gt;"",LEFT(S132&amp;"",4)&lt;&gt;O132),"زیر کل دیگری است — کل یا معین را اصلاح کنید",IF(COUNTIFS('درخت جدید'!$B:$B,S132&amp;"",'درخت جدید'!$A:$A,"معین")=0,IF(V132="","کد در درخت نیست — نام برای تعریف را بنویسید","OK"),"OK")))</x:f>
      </x:c>
      <x:c r="V132" s="27"/>
      <x:c r="W132" s="28"/>
    </x:row>
    <x:row r="133" spans="1:23">
      <x:c r="A133" s="21" t="s">
        <x:v>34</x:v>
      </x:c>
      <x:c r="B133" s="22" t="s">
        <x:v>251</x:v>
      </x:c>
      <x:c r="C133" s="22" t="s">
        <x:v>35</x:v>
      </x:c>
      <x:c r="D133" s="22" t="s">
        <x:v>413</x:v>
      </x:c>
      <x:c r="E133" s="22" t="s">
        <x:v>195</x:v>
      </x:c>
      <x:c r="F133" s="22" t="s">
        <x:v>195</x:v>
      </x:c>
      <x:c r="G133" s="22" t="s">
        <x:v>201</x:v>
      </x:c>
      <x:c r="H133" s="22">
        <x:v>15</x:v>
      </x:c>
      <x:c r="I133" s="22">
        <x:v>0</x:v>
      </x:c>
      <x:c r="J133" s="22">
        <x:v>0</x:v>
      </x:c>
      <x:c r="K133" s="23">
        <x:v>0</x:v>
      </x:c>
      <x:c r="L133" s="23">
        <x:v>0</x:v>
      </x:c>
      <x:c r="M133" s="23">
        <x:f>K133-L133</x:f>
      </x:c>
      <x:c r="N133" s="22" t="s">
        <x:v>406</x:v>
      </x:c>
      <x:c r="O133" s="24">
        <x:f>IFERROR(INDEX('تطبیق کل'!$J:$J,MATCH(A133&amp;"",'تطبیق کل'!$A:$A,0))&amp;"","")</x:f>
      </x:c>
      <x:c r="P133" s="24" t="s">
        <x:v>350</x:v>
      </x:c>
      <x:c r="Q133" s="24" t="s">
        <x:v>37</x:v>
      </x:c>
      <x:c r="R133" s="25">
        <x:v>0.55</x:v>
      </x:c>
      <x:c r="S133" s="26"/>
      <x:c r="T133" s="22">
        <x:f>IF(S133="","",IFERROR(INDEX('درخت جدید'!$C:$C,MATCH(S133&amp;"",'درخت جدید'!$B:$B,0)),"—"))</x:f>
      </x:c>
      <x:c r="U133" s="22">
        <x:f>IF(S133="",IF(N133="بله","الزامی — تکمیل نشده",""),IF(AND(O133&lt;&gt;"",LEFT(S133&amp;"",4)&lt;&gt;O133),"زیر کل دیگری است — کل یا معین را اصلاح کنید",IF(COUNTIFS('درخت جدید'!$B:$B,S133&amp;"",'درخت جدید'!$A:$A,"معین")=0,IF(V133="","کد در درخت نیست — نام برای تعریف را بنویسید","OK"),"OK")))</x:f>
      </x:c>
      <x:c r="V133" s="27"/>
      <x:c r="W133" s="28"/>
    </x:row>
    <x:row r="134" spans="1:23">
      <x:c r="A134" s="21" t="s">
        <x:v>34</x:v>
      </x:c>
      <x:c r="B134" s="22" t="s">
        <x:v>14</x:v>
      </x:c>
      <x:c r="C134" s="22" t="s">
        <x:v>35</x:v>
      </x:c>
      <x:c r="D134" s="22" t="s">
        <x:v>414</x:v>
      </x:c>
      <x:c r="E134" s="22" t="s">
        <x:v>195</x:v>
      </x:c>
      <x:c r="F134" s="22" t="s">
        <x:v>195</x:v>
      </x:c>
      <x:c r="G134" s="22" t="s">
        <x:v>201</x:v>
      </x:c>
      <x:c r="H134" s="22">
        <x:v>1</x:v>
      </x:c>
      <x:c r="I134" s="22">
        <x:v>0</x:v>
      </x:c>
      <x:c r="J134" s="22">
        <x:v>0</x:v>
      </x:c>
      <x:c r="K134" s="23">
        <x:v>0</x:v>
      </x:c>
      <x:c r="L134" s="23">
        <x:v>0</x:v>
      </x:c>
      <x:c r="M134" s="23">
        <x:f>K134-L134</x:f>
      </x:c>
      <x:c r="N134" s="22" t="s">
        <x:v>406</x:v>
      </x:c>
      <x:c r="O134" s="24">
        <x:f>IFERROR(INDEX('تطبیق کل'!$J:$J,MATCH(A134&amp;"",'تطبیق کل'!$A:$A,0))&amp;"","")</x:f>
      </x:c>
      <x:c r="P134" s="24"/>
      <x:c r="Q134" s="24" t="s">
        <x:v>198</x:v>
      </x:c>
      <x:c r="R134" s="25"/>
      <x:c r="S134" s="26"/>
      <x:c r="T134" s="22">
        <x:f>IF(S134="","",IFERROR(INDEX('درخت جدید'!$C:$C,MATCH(S134&amp;"",'درخت جدید'!$B:$B,0)),"—"))</x:f>
      </x:c>
      <x:c r="U134" s="22">
        <x:f>IF(S134="",IF(N134="بله","الزامی — تکمیل نشده",""),IF(AND(O134&lt;&gt;"",LEFT(S134&amp;"",4)&lt;&gt;O134),"زیر کل دیگری است — کل یا معین را اصلاح کنید",IF(COUNTIFS('درخت جدید'!$B:$B,S134&amp;"",'درخت جدید'!$A:$A,"معین")=0,IF(V134="","کد در درخت نیست — نام برای تعریف را بنویسید","OK"),"OK")))</x:f>
      </x:c>
      <x:c r="V134" s="27"/>
      <x:c r="W134" s="28"/>
    </x:row>
    <x:row r="135" spans="1:23">
      <x:c r="A135" s="21" t="s">
        <x:v>34</x:v>
      </x:c>
      <x:c r="B135" s="22" t="s">
        <x:v>199</x:v>
      </x:c>
      <x:c r="C135" s="22" t="s">
        <x:v>35</x:v>
      </x:c>
      <x:c r="D135" s="22" t="s">
        <x:v>415</x:v>
      </x:c>
      <x:c r="E135" s="22" t="s">
        <x:v>195</x:v>
      </x:c>
      <x:c r="F135" s="22" t="s">
        <x:v>195</x:v>
      </x:c>
      <x:c r="G135" s="22" t="s">
        <x:v>201</x:v>
      </x:c>
      <x:c r="H135" s="22">
        <x:v>2</x:v>
      </x:c>
      <x:c r="I135" s="22">
        <x:v>0</x:v>
      </x:c>
      <x:c r="J135" s="22">
        <x:v>0</x:v>
      </x:c>
      <x:c r="K135" s="23">
        <x:v>0</x:v>
      </x:c>
      <x:c r="L135" s="23">
        <x:v>0</x:v>
      </x:c>
      <x:c r="M135" s="23">
        <x:f>K135-L135</x:f>
      </x:c>
      <x:c r="N135" s="22" t="s">
        <x:v>406</x:v>
      </x:c>
      <x:c r="O135" s="24">
        <x:f>IFERROR(INDEX('تطبیق کل'!$J:$J,MATCH(A135&amp;"",'تطبیق کل'!$A:$A,0))&amp;"","")</x:f>
      </x:c>
      <x:c r="P135" s="24"/>
      <x:c r="Q135" s="24" t="s">
        <x:v>198</x:v>
      </x:c>
      <x:c r="R135" s="25"/>
      <x:c r="S135" s="26"/>
      <x:c r="T135" s="22">
        <x:f>IF(S135="","",IFERROR(INDEX('درخت جدید'!$C:$C,MATCH(S135&amp;"",'درخت جدید'!$B:$B,0)),"—"))</x:f>
      </x:c>
      <x:c r="U135" s="22">
        <x:f>IF(S135="",IF(N135="بله","الزامی — تکمیل نشده",""),IF(AND(O135&lt;&gt;"",LEFT(S135&amp;"",4)&lt;&gt;O135),"زیر کل دیگری است — کل یا معین را اصلاح کنید",IF(COUNTIFS('درخت جدید'!$B:$B,S135&amp;"",'درخت جدید'!$A:$A,"معین")=0,IF(V135="","کد در درخت نیست — نام برای تعریف را بنویسید","OK"),"OK")))</x:f>
      </x:c>
      <x:c r="V135" s="27"/>
      <x:c r="W135" s="28"/>
    </x:row>
    <x:row r="136" spans="1:23">
      <x:c r="A136" s="21" t="s">
        <x:v>34</x:v>
      </x:c>
      <x:c r="B136" s="22" t="s">
        <x:v>202</x:v>
      </x:c>
      <x:c r="C136" s="22" t="s">
        <x:v>35</x:v>
      </x:c>
      <x:c r="D136" s="22" t="s">
        <x:v>416</x:v>
      </x:c>
      <x:c r="E136" s="22" t="s">
        <x:v>195</x:v>
      </x:c>
      <x:c r="F136" s="22" t="s">
        <x:v>195</x:v>
      </x:c>
      <x:c r="G136" s="22" t="s">
        <x:v>201</x:v>
      </x:c>
      <x:c r="H136" s="22">
        <x:v>1</x:v>
      </x:c>
      <x:c r="I136" s="22">
        <x:v>0</x:v>
      </x:c>
      <x:c r="J136" s="22">
        <x:v>0</x:v>
      </x:c>
      <x:c r="K136" s="23">
        <x:v>0</x:v>
      </x:c>
      <x:c r="L136" s="23">
        <x:v>0</x:v>
      </x:c>
      <x:c r="M136" s="23">
        <x:f>K136-L136</x:f>
      </x:c>
      <x:c r="N136" s="22" t="s">
        <x:v>406</x:v>
      </x:c>
      <x:c r="O136" s="24">
        <x:f>IFERROR(INDEX('تطبیق کل'!$J:$J,MATCH(A136&amp;"",'تطبیق کل'!$A:$A,0))&amp;"","")</x:f>
      </x:c>
      <x:c r="P136" s="24"/>
      <x:c r="Q136" s="24" t="s">
        <x:v>198</x:v>
      </x:c>
      <x:c r="R136" s="25"/>
      <x:c r="S136" s="26"/>
      <x:c r="T136" s="22">
        <x:f>IF(S136="","",IFERROR(INDEX('درخت جدید'!$C:$C,MATCH(S136&amp;"",'درخت جدید'!$B:$B,0)),"—"))</x:f>
      </x:c>
      <x:c r="U136" s="22">
        <x:f>IF(S136="",IF(N136="بله","الزامی — تکمیل نشده",""),IF(AND(O136&lt;&gt;"",LEFT(S136&amp;"",4)&lt;&gt;O136),"زیر کل دیگری است — کل یا معین را اصلاح کنید",IF(COUNTIFS('درخت جدید'!$B:$B,S136&amp;"",'درخت جدید'!$A:$A,"معین")=0,IF(V136="","کد در درخت نیست — نام برای تعریف را بنویسید","OK"),"OK")))</x:f>
      </x:c>
      <x:c r="V136" s="27"/>
      <x:c r="W136" s="28"/>
    </x:row>
    <x:row r="137" spans="1:23">
      <x:c r="A137" s="21" t="s">
        <x:v>34</x:v>
      </x:c>
      <x:c r="B137" s="22" t="s">
        <x:v>417</x:v>
      </x:c>
      <x:c r="C137" s="22" t="s">
        <x:v>35</x:v>
      </x:c>
      <x:c r="D137" s="22" t="s">
        <x:v>418</x:v>
      </x:c>
      <x:c r="E137" s="22" t="s">
        <x:v>195</x:v>
      </x:c>
      <x:c r="F137" s="22" t="s">
        <x:v>195</x:v>
      </x:c>
      <x:c r="G137" s="22" t="s">
        <x:v>201</x:v>
      </x:c>
      <x:c r="H137" s="22">
        <x:v>1</x:v>
      </x:c>
      <x:c r="I137" s="22">
        <x:v>0</x:v>
      </x:c>
      <x:c r="J137" s="22">
        <x:v>0</x:v>
      </x:c>
      <x:c r="K137" s="23">
        <x:v>0</x:v>
      </x:c>
      <x:c r="L137" s="23">
        <x:v>0</x:v>
      </x:c>
      <x:c r="M137" s="23">
        <x:f>K137-L137</x:f>
      </x:c>
      <x:c r="N137" s="22" t="s">
        <x:v>406</x:v>
      </x:c>
      <x:c r="O137" s="24">
        <x:f>IFERROR(INDEX('تطبیق کل'!$J:$J,MATCH(A137&amp;"",'تطبیق کل'!$A:$A,0))&amp;"","")</x:f>
      </x:c>
      <x:c r="P137" s="24"/>
      <x:c r="Q137" s="24" t="s">
        <x:v>198</x:v>
      </x:c>
      <x:c r="R137" s="25"/>
      <x:c r="S137" s="26"/>
      <x:c r="T137" s="22">
        <x:f>IF(S137="","",IFERROR(INDEX('درخت جدید'!$C:$C,MATCH(S137&amp;"",'درخت جدید'!$B:$B,0)),"—"))</x:f>
      </x:c>
      <x:c r="U137" s="22">
        <x:f>IF(S137="",IF(N137="بله","الزامی — تکمیل نشده",""),IF(AND(O137&lt;&gt;"",LEFT(S137&amp;"",4)&lt;&gt;O137),"زیر کل دیگری است — کل یا معین را اصلاح کنید",IF(COUNTIFS('درخت جدید'!$B:$B,S137&amp;"",'درخت جدید'!$A:$A,"معین")=0,IF(V137="","کد در درخت نیست — نام برای تعریف را بنویسید","OK"),"OK")))</x:f>
      </x:c>
      <x:c r="V137" s="27"/>
      <x:c r="W137" s="28"/>
    </x:row>
    <x:row r="138" spans="1:23">
      <x:c r="A138" s="21" t="s">
        <x:v>34</x:v>
      </x:c>
      <x:c r="B138" s="22" t="s">
        <x:v>419</x:v>
      </x:c>
      <x:c r="C138" s="22" t="s">
        <x:v>35</x:v>
      </x:c>
      <x:c r="D138" s="22" t="s">
        <x:v>420</x:v>
      </x:c>
      <x:c r="E138" s="22" t="s">
        <x:v>195</x:v>
      </x:c>
      <x:c r="F138" s="22" t="s">
        <x:v>195</x:v>
      </x:c>
      <x:c r="G138" s="22" t="s">
        <x:v>201</x:v>
      </x:c>
      <x:c r="H138" s="22">
        <x:v>1</x:v>
      </x:c>
      <x:c r="I138" s="22">
        <x:v>0</x:v>
      </x:c>
      <x:c r="J138" s="22">
        <x:v>0</x:v>
      </x:c>
      <x:c r="K138" s="23">
        <x:v>0</x:v>
      </x:c>
      <x:c r="L138" s="23">
        <x:v>0</x:v>
      </x:c>
      <x:c r="M138" s="23">
        <x:f>K138-L138</x:f>
      </x:c>
      <x:c r="N138" s="22" t="s">
        <x:v>406</x:v>
      </x:c>
      <x:c r="O138" s="24">
        <x:f>IFERROR(INDEX('تطبیق کل'!$J:$J,MATCH(A138&amp;"",'تطبیق کل'!$A:$A,0))&amp;"","")</x:f>
      </x:c>
      <x:c r="P138" s="24"/>
      <x:c r="Q138" s="24" t="s">
        <x:v>198</x:v>
      </x:c>
      <x:c r="R138" s="25"/>
      <x:c r="S138" s="26"/>
      <x:c r="T138" s="22">
        <x:f>IF(S138="","",IFERROR(INDEX('درخت جدید'!$C:$C,MATCH(S138&amp;"",'درخت جدید'!$B:$B,0)),"—"))</x:f>
      </x:c>
      <x:c r="U138" s="22">
        <x:f>IF(S138="",IF(N138="بله","الزامی — تکمیل نشده",""),IF(AND(O138&lt;&gt;"",LEFT(S138&amp;"",4)&lt;&gt;O138),"زیر کل دیگری است — کل یا معین را اصلاح کنید",IF(COUNTIFS('درخت جدید'!$B:$B,S138&amp;"",'درخت جدید'!$A:$A,"معین")=0,IF(V138="","کد در درخت نیست — نام برای تعریف را بنویسید","OK"),"OK")))</x:f>
      </x:c>
      <x:c r="V138" s="27"/>
      <x:c r="W138" s="28"/>
    </x:row>
    <x:row r="139" spans="1:23">
      <x:c r="A139" s="21" t="s">
        <x:v>34</x:v>
      </x:c>
      <x:c r="B139" s="22" t="s">
        <x:v>159</x:v>
      </x:c>
      <x:c r="C139" s="22" t="s">
        <x:v>35</x:v>
      </x:c>
      <x:c r="D139" s="22" t="s">
        <x:v>421</x:v>
      </x:c>
      <x:c r="E139" s="22" t="s">
        <x:v>195</x:v>
      </x:c>
      <x:c r="F139" s="22" t="s">
        <x:v>195</x:v>
      </x:c>
      <x:c r="G139" s="22" t="s">
        <x:v>201</x:v>
      </x:c>
      <x:c r="H139" s="22">
        <x:v>1</x:v>
      </x:c>
      <x:c r="I139" s="22">
        <x:v>0</x:v>
      </x:c>
      <x:c r="J139" s="22">
        <x:v>0</x:v>
      </x:c>
      <x:c r="K139" s="23">
        <x:v>0</x:v>
      </x:c>
      <x:c r="L139" s="23">
        <x:v>0</x:v>
      </x:c>
      <x:c r="M139" s="23">
        <x:f>K139-L139</x:f>
      </x:c>
      <x:c r="N139" s="22" t="s">
        <x:v>406</x:v>
      </x:c>
      <x:c r="O139" s="24">
        <x:f>IFERROR(INDEX('تطبیق کل'!$J:$J,MATCH(A139&amp;"",'تطبیق کل'!$A:$A,0))&amp;"","")</x:f>
      </x:c>
      <x:c r="P139" s="24"/>
      <x:c r="Q139" s="24" t="s">
        <x:v>198</x:v>
      </x:c>
      <x:c r="R139" s="25"/>
      <x:c r="S139" s="26"/>
      <x:c r="T139" s="22">
        <x:f>IF(S139="","",IFERROR(INDEX('درخت جدید'!$C:$C,MATCH(S139&amp;"",'درخت جدید'!$B:$B,0)),"—"))</x:f>
      </x:c>
      <x:c r="U139" s="22">
        <x:f>IF(S139="",IF(N139="بله","الزامی — تکمیل نشده",""),IF(AND(O139&lt;&gt;"",LEFT(S139&amp;"",4)&lt;&gt;O139),"زیر کل دیگری است — کل یا معین را اصلاح کنید",IF(COUNTIFS('درخت جدید'!$B:$B,S139&amp;"",'درخت جدید'!$A:$A,"معین")=0,IF(V139="","کد در درخت نیست — نام برای تعریف را بنویسید","OK"),"OK")))</x:f>
      </x:c>
      <x:c r="V139" s="27"/>
      <x:c r="W139" s="28"/>
    </x:row>
    <x:row r="140" spans="1:23">
      <x:c r="A140" s="21" t="s">
        <x:v>41</x:v>
      </x:c>
      <x:c r="B140" s="22" t="s">
        <x:v>251</x:v>
      </x:c>
      <x:c r="C140" s="22" t="s">
        <x:v>42</x:v>
      </x:c>
      <x:c r="D140" s="22" t="s">
        <x:v>422</x:v>
      </x:c>
      <x:c r="E140" s="22" t="s">
        <x:v>195</x:v>
      </x:c>
      <x:c r="F140" s="22" t="s">
        <x:v>195</x:v>
      </x:c>
      <x:c r="G140" s="22" t="s">
        <x:v>201</x:v>
      </x:c>
      <x:c r="H140" s="22">
        <x:v>1</x:v>
      </x:c>
      <x:c r="I140" s="22">
        <x:v>0</x:v>
      </x:c>
      <x:c r="J140" s="22">
        <x:v>0</x:v>
      </x:c>
      <x:c r="K140" s="23">
        <x:v>0</x:v>
      </x:c>
      <x:c r="L140" s="23">
        <x:v>0</x:v>
      </x:c>
      <x:c r="M140" s="23">
        <x:f>K140-L140</x:f>
      </x:c>
      <x:c r="N140" s="22" t="s">
        <x:v>406</x:v>
      </x:c>
      <x:c r="O140" s="24">
        <x:f>IFERROR(INDEX('تطبیق کل'!$J:$J,MATCH(A140&amp;"",'تطبیق کل'!$A:$A,0))&amp;"","")</x:f>
      </x:c>
      <x:c r="P140" s="24" t="s">
        <x:v>423</x:v>
      </x:c>
      <x:c r="Q140" s="24" t="s">
        <x:v>422</x:v>
      </x:c>
      <x:c r="R140" s="25">
        <x:v>1</x:v>
      </x:c>
      <x:c r="S140" s="26"/>
      <x:c r="T140" s="22">
        <x:f>IF(S140="","",IFERROR(INDEX('درخت جدید'!$C:$C,MATCH(S140&amp;"",'درخت جدید'!$B:$B,0)),"—"))</x:f>
      </x:c>
      <x:c r="U140" s="22">
        <x:f>IF(S140="",IF(N140="بله","الزامی — تکمیل نشده",""),IF(AND(O140&lt;&gt;"",LEFT(S140&amp;"",4)&lt;&gt;O140),"زیر کل دیگری است — کل یا معین را اصلاح کنید",IF(COUNTIFS('درخت جدید'!$B:$B,S140&amp;"",'درخت جدید'!$A:$A,"معین")=0,IF(V140="","کد در درخت نیست — نام برای تعریف را بنویسید","OK"),"OK")))</x:f>
      </x:c>
      <x:c r="V140" s="27"/>
      <x:c r="W140" s="28"/>
    </x:row>
    <x:row r="141" spans="1:23">
      <x:c r="A141" s="21" t="s">
        <x:v>41</x:v>
      </x:c>
      <x:c r="B141" s="22" t="s">
        <x:v>204</x:v>
      </x:c>
      <x:c r="C141" s="22" t="s">
        <x:v>42</x:v>
      </x:c>
      <x:c r="D141" s="22" t="s">
        <x:v>424</x:v>
      </x:c>
      <x:c r="E141" s="22" t="s">
        <x:v>195</x:v>
      </x:c>
      <x:c r="F141" s="22" t="s">
        <x:v>195</x:v>
      </x:c>
      <x:c r="G141" s="22" t="s">
        <x:v>201</x:v>
      </x:c>
      <x:c r="H141" s="22">
        <x:v>7</x:v>
      </x:c>
      <x:c r="I141" s="22">
        <x:v>0</x:v>
      </x:c>
      <x:c r="J141" s="22">
        <x:v>0</x:v>
      </x:c>
      <x:c r="K141" s="23">
        <x:v>0</x:v>
      </x:c>
      <x:c r="L141" s="23">
        <x:v>0</x:v>
      </x:c>
      <x:c r="M141" s="23">
        <x:f>K141-L141</x:f>
      </x:c>
      <x:c r="N141" s="22" t="s">
        <x:v>406</x:v>
      </x:c>
      <x:c r="O141" s="24">
        <x:f>IFERROR(INDEX('تطبیق کل'!$J:$J,MATCH(A141&amp;"",'تطبیق کل'!$A:$A,0))&amp;"","")</x:f>
      </x:c>
      <x:c r="P141" s="24" t="s">
        <x:v>218</x:v>
      </x:c>
      <x:c r="Q141" s="24" t="s">
        <x:v>219</x:v>
      </x:c>
      <x:c r="R141" s="25">
        <x:v>0.71</x:v>
      </x:c>
      <x:c r="S141" s="26"/>
      <x:c r="T141" s="22">
        <x:f>IF(S141="","",IFERROR(INDEX('درخت جدید'!$C:$C,MATCH(S141&amp;"",'درخت جدید'!$B:$B,0)),"—"))</x:f>
      </x:c>
      <x:c r="U141" s="22">
        <x:f>IF(S141="",IF(N141="بله","الزامی — تکمیل نشده",""),IF(AND(O141&lt;&gt;"",LEFT(S141&amp;"",4)&lt;&gt;O141),"زیر کل دیگری است — کل یا معین را اصلاح کنید",IF(COUNTIFS('درخت جدید'!$B:$B,S141&amp;"",'درخت جدید'!$A:$A,"معین")=0,IF(V141="","کد در درخت نیست — نام برای تعریف را بنویسید","OK"),"OK")))</x:f>
      </x:c>
      <x:c r="V141" s="27"/>
      <x:c r="W141" s="28"/>
    </x:row>
    <x:row r="142" spans="1:23">
      <x:c r="A142" s="21" t="s">
        <x:v>41</x:v>
      </x:c>
      <x:c r="B142" s="22" t="s">
        <x:v>21</x:v>
      </x:c>
      <x:c r="C142" s="22" t="s">
        <x:v>42</x:v>
      </x:c>
      <x:c r="D142" s="22" t="s">
        <x:v>425</x:v>
      </x:c>
      <x:c r="E142" s="22" t="s">
        <x:v>195</x:v>
      </x:c>
      <x:c r="F142" s="22" t="s">
        <x:v>195</x:v>
      </x:c>
      <x:c r="G142" s="22" t="s">
        <x:v>201</x:v>
      </x:c>
      <x:c r="H142" s="22">
        <x:v>1</x:v>
      </x:c>
      <x:c r="I142" s="22">
        <x:v>0</x:v>
      </x:c>
      <x:c r="J142" s="22">
        <x:v>0</x:v>
      </x:c>
      <x:c r="K142" s="23">
        <x:v>0</x:v>
      </x:c>
      <x:c r="L142" s="23">
        <x:v>0</x:v>
      </x:c>
      <x:c r="M142" s="23">
        <x:f>K142-L142</x:f>
      </x:c>
      <x:c r="N142" s="22" t="s">
        <x:v>406</x:v>
      </x:c>
      <x:c r="O142" s="24">
        <x:f>IFERROR(INDEX('تطبیق کل'!$J:$J,MATCH(A142&amp;"",'تطبیق کل'!$A:$A,0))&amp;"","")</x:f>
      </x:c>
      <x:c r="P142" s="24" t="s">
        <x:v>218</x:v>
      </x:c>
      <x:c r="Q142" s="24" t="s">
        <x:v>219</x:v>
      </x:c>
      <x:c r="R142" s="25">
        <x:v>0.48</x:v>
      </x:c>
      <x:c r="S142" s="26"/>
      <x:c r="T142" s="22">
        <x:f>IF(S142="","",IFERROR(INDEX('درخت جدید'!$C:$C,MATCH(S142&amp;"",'درخت جدید'!$B:$B,0)),"—"))</x:f>
      </x:c>
      <x:c r="U142" s="22">
        <x:f>IF(S142="",IF(N142="بله","الزامی — تکمیل نشده",""),IF(AND(O142&lt;&gt;"",LEFT(S142&amp;"",4)&lt;&gt;O142),"زیر کل دیگری است — کل یا معین را اصلاح کنید",IF(COUNTIFS('درخت جدید'!$B:$B,S142&amp;"",'درخت جدید'!$A:$A,"معین")=0,IF(V142="","کد در درخت نیست — نام برای تعریف را بنویسید","OK"),"OK")))</x:f>
      </x:c>
      <x:c r="V142" s="27"/>
      <x:c r="W142" s="28"/>
    </x:row>
    <x:row r="143" spans="1:23">
      <x:c r="A143" s="21" t="s">
        <x:v>41</x:v>
      </x:c>
      <x:c r="B143" s="22" t="s">
        <x:v>24</x:v>
      </x:c>
      <x:c r="C143" s="22" t="s">
        <x:v>42</x:v>
      </x:c>
      <x:c r="D143" s="22" t="s">
        <x:v>426</x:v>
      </x:c>
      <x:c r="E143" s="22" t="s">
        <x:v>195</x:v>
      </x:c>
      <x:c r="F143" s="22" t="s">
        <x:v>195</x:v>
      </x:c>
      <x:c r="G143" s="22" t="s">
        <x:v>201</x:v>
      </x:c>
      <x:c r="H143" s="22">
        <x:v>8</x:v>
      </x:c>
      <x:c r="I143" s="22">
        <x:v>0</x:v>
      </x:c>
      <x:c r="J143" s="22">
        <x:v>0</x:v>
      </x:c>
      <x:c r="K143" s="23">
        <x:v>0</x:v>
      </x:c>
      <x:c r="L143" s="23">
        <x:v>0</x:v>
      </x:c>
      <x:c r="M143" s="23">
        <x:f>K143-L143</x:f>
      </x:c>
      <x:c r="N143" s="22" t="s">
        <x:v>406</x:v>
      </x:c>
      <x:c r="O143" s="24">
        <x:f>IFERROR(INDEX('تطبیق کل'!$J:$J,MATCH(A143&amp;"",'تطبیق کل'!$A:$A,0))&amp;"","")</x:f>
      </x:c>
      <x:c r="P143" s="24" t="s">
        <x:v>218</x:v>
      </x:c>
      <x:c r="Q143" s="24" t="s">
        <x:v>219</x:v>
      </x:c>
      <x:c r="R143" s="25">
        <x:v>0.67</x:v>
      </x:c>
      <x:c r="S143" s="26"/>
      <x:c r="T143" s="22">
        <x:f>IF(S143="","",IFERROR(INDEX('درخت جدید'!$C:$C,MATCH(S143&amp;"",'درخت جدید'!$B:$B,0)),"—"))</x:f>
      </x:c>
      <x:c r="U143" s="22">
        <x:f>IF(S143="",IF(N143="بله","الزامی — تکمیل نشده",""),IF(AND(O143&lt;&gt;"",LEFT(S143&amp;"",4)&lt;&gt;O143),"زیر کل دیگری است — کل یا معین را اصلاح کنید",IF(COUNTIFS('درخت جدید'!$B:$B,S143&amp;"",'درخت جدید'!$A:$A,"معین")=0,IF(V143="","کد در درخت نیست — نام برای تعریف را بنویسید","OK"),"OK")))</x:f>
      </x:c>
      <x:c r="V143" s="27"/>
      <x:c r="W143" s="28"/>
    </x:row>
    <x:row r="144" spans="1:23">
      <x:c r="A144" s="21" t="s">
        <x:v>41</x:v>
      </x:c>
      <x:c r="B144" s="22" t="s">
        <x:v>27</x:v>
      </x:c>
      <x:c r="C144" s="22" t="s">
        <x:v>42</x:v>
      </x:c>
      <x:c r="D144" s="22" t="s">
        <x:v>427</x:v>
      </x:c>
      <x:c r="E144" s="22" t="s">
        <x:v>195</x:v>
      </x:c>
      <x:c r="F144" s="22" t="s">
        <x:v>195</x:v>
      </x:c>
      <x:c r="G144" s="22" t="s">
        <x:v>201</x:v>
      </x:c>
      <x:c r="H144" s="22">
        <x:v>2</x:v>
      </x:c>
      <x:c r="I144" s="22">
        <x:v>0</x:v>
      </x:c>
      <x:c r="J144" s="22">
        <x:v>0</x:v>
      </x:c>
      <x:c r="K144" s="23">
        <x:v>0</x:v>
      </x:c>
      <x:c r="L144" s="23">
        <x:v>0</x:v>
      </x:c>
      <x:c r="M144" s="23">
        <x:f>K144-L144</x:f>
      </x:c>
      <x:c r="N144" s="22" t="s">
        <x:v>406</x:v>
      </x:c>
      <x:c r="O144" s="24">
        <x:f>IFERROR(INDEX('تطبیق کل'!$J:$J,MATCH(A144&amp;"",'تطبیق کل'!$A:$A,0))&amp;"","")</x:f>
      </x:c>
      <x:c r="P144" s="24" t="s">
        <x:v>218</x:v>
      </x:c>
      <x:c r="Q144" s="24" t="s">
        <x:v>219</x:v>
      </x:c>
      <x:c r="R144" s="25">
        <x:v>0.62</x:v>
      </x:c>
      <x:c r="S144" s="26"/>
      <x:c r="T144" s="22">
        <x:f>IF(S144="","",IFERROR(INDEX('درخت جدید'!$C:$C,MATCH(S144&amp;"",'درخت جدید'!$B:$B,0)),"—"))</x:f>
      </x:c>
      <x:c r="U144" s="22">
        <x:f>IF(S144="",IF(N144="بله","الزامی — تکمیل نشده",""),IF(AND(O144&lt;&gt;"",LEFT(S144&amp;"",4)&lt;&gt;O144),"زیر کل دیگری است — کل یا معین را اصلاح کنید",IF(COUNTIFS('درخت جدید'!$B:$B,S144&amp;"",'درخت جدید'!$A:$A,"معین")=0,IF(V144="","کد در درخت نیست — نام برای تعریف را بنویسید","OK"),"OK")))</x:f>
      </x:c>
      <x:c r="V144" s="27"/>
      <x:c r="W144" s="28"/>
    </x:row>
    <x:row r="145" spans="1:23">
      <x:c r="A145" s="21" t="s">
        <x:v>41</x:v>
      </x:c>
      <x:c r="B145" s="22" t="s">
        <x:v>265</x:v>
      </x:c>
      <x:c r="C145" s="22" t="s">
        <x:v>42</x:v>
      </x:c>
      <x:c r="D145" s="22" t="s">
        <x:v>428</x:v>
      </x:c>
      <x:c r="E145" s="22" t="s">
        <x:v>195</x:v>
      </x:c>
      <x:c r="F145" s="22" t="s">
        <x:v>195</x:v>
      </x:c>
      <x:c r="G145" s="22" t="s">
        <x:v>201</x:v>
      </x:c>
      <x:c r="H145" s="22">
        <x:v>2</x:v>
      </x:c>
      <x:c r="I145" s="22">
        <x:v>0</x:v>
      </x:c>
      <x:c r="J145" s="22">
        <x:v>0</x:v>
      </x:c>
      <x:c r="K145" s="23">
        <x:v>0</x:v>
      </x:c>
      <x:c r="L145" s="23">
        <x:v>0</x:v>
      </x:c>
      <x:c r="M145" s="23">
        <x:f>K145-L145</x:f>
      </x:c>
      <x:c r="N145" s="22" t="s">
        <x:v>406</x:v>
      </x:c>
      <x:c r="O145" s="24">
        <x:f>IFERROR(INDEX('تطبیق کل'!$J:$J,MATCH(A145&amp;"",'تطبیق کل'!$A:$A,0))&amp;"","")</x:f>
      </x:c>
      <x:c r="P145" s="24" t="s">
        <x:v>218</x:v>
      </x:c>
      <x:c r="Q145" s="24" t="s">
        <x:v>219</x:v>
      </x:c>
      <x:c r="R145" s="25">
        <x:v>0.56</x:v>
      </x:c>
      <x:c r="S145" s="26"/>
      <x:c r="T145" s="22">
        <x:f>IF(S145="","",IFERROR(INDEX('درخت جدید'!$C:$C,MATCH(S145&amp;"",'درخت جدید'!$B:$B,0)),"—"))</x:f>
      </x:c>
      <x:c r="U145" s="22">
        <x:f>IF(S145="",IF(N145="بله","الزامی — تکمیل نشده",""),IF(AND(O145&lt;&gt;"",LEFT(S145&amp;"",4)&lt;&gt;O145),"زیر کل دیگری است — کل یا معین را اصلاح کنید",IF(COUNTIFS('درخت جدید'!$B:$B,S145&amp;"",'درخت جدید'!$A:$A,"معین")=0,IF(V145="","کد در درخت نیست — نام برای تعریف را بنویسید","OK"),"OK")))</x:f>
      </x:c>
      <x:c r="V145" s="27"/>
      <x:c r="W145" s="28"/>
    </x:row>
    <x:row r="146" spans="1:23">
      <x:c r="A146" s="21" t="s">
        <x:v>41</x:v>
      </x:c>
      <x:c r="B146" s="22" t="s">
        <x:v>361</x:v>
      </x:c>
      <x:c r="C146" s="22" t="s">
        <x:v>42</x:v>
      </x:c>
      <x:c r="D146" s="22" t="s">
        <x:v>429</x:v>
      </x:c>
      <x:c r="E146" s="22" t="s">
        <x:v>195</x:v>
      </x:c>
      <x:c r="F146" s="22" t="s">
        <x:v>195</x:v>
      </x:c>
      <x:c r="G146" s="22" t="s">
        <x:v>201</x:v>
      </x:c>
      <x:c r="H146" s="22">
        <x:v>1</x:v>
      </x:c>
      <x:c r="I146" s="22">
        <x:v>0</x:v>
      </x:c>
      <x:c r="J146" s="22">
        <x:v>0</x:v>
      </x:c>
      <x:c r="K146" s="23">
        <x:v>0</x:v>
      </x:c>
      <x:c r="L146" s="23">
        <x:v>0</x:v>
      </x:c>
      <x:c r="M146" s="23">
        <x:f>K146-L146</x:f>
      </x:c>
      <x:c r="N146" s="22" t="s">
        <x:v>406</x:v>
      </x:c>
      <x:c r="O146" s="24">
        <x:f>IFERROR(INDEX('تطبیق کل'!$J:$J,MATCH(A146&amp;"",'تطبیق کل'!$A:$A,0))&amp;"","")</x:f>
      </x:c>
      <x:c r="P146" s="24" t="s">
        <x:v>218</x:v>
      </x:c>
      <x:c r="Q146" s="24" t="s">
        <x:v>219</x:v>
      </x:c>
      <x:c r="R146" s="25">
        <x:v>0.78</x:v>
      </x:c>
      <x:c r="S146" s="26"/>
      <x:c r="T146" s="22">
        <x:f>IF(S146="","",IFERROR(INDEX('درخت جدید'!$C:$C,MATCH(S146&amp;"",'درخت جدید'!$B:$B,0)),"—"))</x:f>
      </x:c>
      <x:c r="U146" s="22">
        <x:f>IF(S146="",IF(N146="بله","الزامی — تکمیل نشده",""),IF(AND(O146&lt;&gt;"",LEFT(S146&amp;"",4)&lt;&gt;O146),"زیر کل دیگری است — کل یا معین را اصلاح کنید",IF(COUNTIFS('درخت جدید'!$B:$B,S146&amp;"",'درخت جدید'!$A:$A,"معین")=0,IF(V146="","کد در درخت نیست — نام برای تعریف را بنویسید","OK"),"OK")))</x:f>
      </x:c>
      <x:c r="V146" s="27"/>
      <x:c r="W146" s="28"/>
    </x:row>
    <x:row r="147" spans="1:23">
      <x:c r="A147" s="21" t="s">
        <x:v>41</x:v>
      </x:c>
      <x:c r="B147" s="22" t="s">
        <x:v>269</x:v>
      </x:c>
      <x:c r="C147" s="22" t="s">
        <x:v>42</x:v>
      </x:c>
      <x:c r="D147" s="22" t="s">
        <x:v>430</x:v>
      </x:c>
      <x:c r="E147" s="22" t="s">
        <x:v>195</x:v>
      </x:c>
      <x:c r="F147" s="22" t="s">
        <x:v>195</x:v>
      </x:c>
      <x:c r="G147" s="22" t="s">
        <x:v>196</x:v>
      </x:c>
      <x:c r="H147" s="22">
        <x:v>1</x:v>
      </x:c>
      <x:c r="I147" s="22">
        <x:v>0</x:v>
      </x:c>
      <x:c r="J147" s="22">
        <x:v>0</x:v>
      </x:c>
      <x:c r="K147" s="23">
        <x:v>0</x:v>
      </x:c>
      <x:c r="L147" s="23">
        <x:v>0</x:v>
      </x:c>
      <x:c r="M147" s="23">
        <x:f>K147-L147</x:f>
      </x:c>
      <x:c r="N147" s="22" t="s">
        <x:v>406</x:v>
      </x:c>
      <x:c r="O147" s="24">
        <x:f>IFERROR(INDEX('تطبیق کل'!$J:$J,MATCH(A147&amp;"",'تطبیق کل'!$A:$A,0))&amp;"","")</x:f>
      </x:c>
      <x:c r="P147" s="24"/>
      <x:c r="Q147" s="24" t="s">
        <x:v>198</x:v>
      </x:c>
      <x:c r="R147" s="25"/>
      <x:c r="S147" s="26"/>
      <x:c r="T147" s="22">
        <x:f>IF(S147="","",IFERROR(INDEX('درخت جدید'!$C:$C,MATCH(S147&amp;"",'درخت جدید'!$B:$B,0)),"—"))</x:f>
      </x:c>
      <x:c r="U147" s="22">
        <x:f>IF(S147="",IF(N147="بله","الزامی — تکمیل نشده",""),IF(AND(O147&lt;&gt;"",LEFT(S147&amp;"",4)&lt;&gt;O147),"زیر کل دیگری است — کل یا معین را اصلاح کنید",IF(COUNTIFS('درخت جدید'!$B:$B,S147&amp;"",'درخت جدید'!$A:$A,"معین")=0,IF(V147="","کد در درخت نیست — نام برای تعریف را بنویسید","OK"),"OK")))</x:f>
      </x:c>
      <x:c r="V147" s="27"/>
      <x:c r="W147" s="28"/>
    </x:row>
    <x:row r="148" spans="1:23">
      <x:c r="A148" s="21" t="s">
        <x:v>41</x:v>
      </x:c>
      <x:c r="B148" s="22" t="s">
        <x:v>209</x:v>
      </x:c>
      <x:c r="C148" s="22" t="s">
        <x:v>42</x:v>
      </x:c>
      <x:c r="D148" s="22" t="s">
        <x:v>431</x:v>
      </x:c>
      <x:c r="E148" s="22" t="s">
        <x:v>195</x:v>
      </x:c>
      <x:c r="F148" s="22" t="s">
        <x:v>195</x:v>
      </x:c>
      <x:c r="G148" s="22" t="s">
        <x:v>201</x:v>
      </x:c>
      <x:c r="H148" s="22">
        <x:v>1</x:v>
      </x:c>
      <x:c r="I148" s="22">
        <x:v>0</x:v>
      </x:c>
      <x:c r="J148" s="22">
        <x:v>0</x:v>
      </x:c>
      <x:c r="K148" s="23">
        <x:v>0</x:v>
      </x:c>
      <x:c r="L148" s="23">
        <x:v>0</x:v>
      </x:c>
      <x:c r="M148" s="23">
        <x:f>K148-L148</x:f>
      </x:c>
      <x:c r="N148" s="22" t="s">
        <x:v>406</x:v>
      </x:c>
      <x:c r="O148" s="24">
        <x:f>IFERROR(INDEX('تطبیق کل'!$J:$J,MATCH(A148&amp;"",'تطبیق کل'!$A:$A,0))&amp;"","")</x:f>
      </x:c>
      <x:c r="P148" s="24" t="s">
        <x:v>432</x:v>
      </x:c>
      <x:c r="Q148" s="24" t="s">
        <x:v>431</x:v>
      </x:c>
      <x:c r="R148" s="25">
        <x:v>1</x:v>
      </x:c>
      <x:c r="S148" s="26"/>
      <x:c r="T148" s="22">
        <x:f>IF(S148="","",IFERROR(INDEX('درخت جدید'!$C:$C,MATCH(S148&amp;"",'درخت جدید'!$B:$B,0)),"—"))</x:f>
      </x:c>
      <x:c r="U148" s="22">
        <x:f>IF(S148="",IF(N148="بله","الزامی — تکمیل نشده",""),IF(AND(O148&lt;&gt;"",LEFT(S148&amp;"",4)&lt;&gt;O148),"زیر کل دیگری است — کل یا معین را اصلاح کنید",IF(COUNTIFS('درخت جدید'!$B:$B,S148&amp;"",'درخت جدید'!$A:$A,"معین")=0,IF(V148="","کد در درخت نیست — نام برای تعریف را بنویسید","OK"),"OK")))</x:f>
      </x:c>
      <x:c r="V148" s="27"/>
      <x:c r="W148" s="28"/>
    </x:row>
    <x:row r="149" spans="1:23">
      <x:c r="A149" s="21" t="s">
        <x:v>41</x:v>
      </x:c>
      <x:c r="B149" s="22" t="s">
        <x:v>211</x:v>
      </x:c>
      <x:c r="C149" s="22" t="s">
        <x:v>42</x:v>
      </x:c>
      <x:c r="D149" s="22" t="s">
        <x:v>433</x:v>
      </x:c>
      <x:c r="E149" s="22" t="s">
        <x:v>195</x:v>
      </x:c>
      <x:c r="F149" s="22" t="s">
        <x:v>195</x:v>
      </x:c>
      <x:c r="G149" s="22" t="s">
        <x:v>201</x:v>
      </x:c>
      <x:c r="H149" s="22">
        <x:v>1</x:v>
      </x:c>
      <x:c r="I149" s="22">
        <x:v>0</x:v>
      </x:c>
      <x:c r="J149" s="22">
        <x:v>0</x:v>
      </x:c>
      <x:c r="K149" s="23">
        <x:v>0</x:v>
      </x:c>
      <x:c r="L149" s="23">
        <x:v>0</x:v>
      </x:c>
      <x:c r="M149" s="23">
        <x:f>K149-L149</x:f>
      </x:c>
      <x:c r="N149" s="22" t="s">
        <x:v>406</x:v>
      </x:c>
      <x:c r="O149" s="24">
        <x:f>IFERROR(INDEX('تطبیق کل'!$J:$J,MATCH(A149&amp;"",'تطبیق کل'!$A:$A,0))&amp;"","")</x:f>
      </x:c>
      <x:c r="P149" s="24"/>
      <x:c r="Q149" s="24" t="s">
        <x:v>198</x:v>
      </x:c>
      <x:c r="R149" s="25"/>
      <x:c r="S149" s="26"/>
      <x:c r="T149" s="22">
        <x:f>IF(S149="","",IFERROR(INDEX('درخت جدید'!$C:$C,MATCH(S149&amp;"",'درخت جدید'!$B:$B,0)),"—"))</x:f>
      </x:c>
      <x:c r="U149" s="22">
        <x:f>IF(S149="",IF(N149="بله","الزامی — تکمیل نشده",""),IF(AND(O149&lt;&gt;"",LEFT(S149&amp;"",4)&lt;&gt;O149),"زیر کل دیگری است — کل یا معین را اصلاح کنید",IF(COUNTIFS('درخت جدید'!$B:$B,S149&amp;"",'درخت جدید'!$A:$A,"معین")=0,IF(V149="","کد در درخت نیست — نام برای تعریف را بنویسید","OK"),"OK")))</x:f>
      </x:c>
      <x:c r="V149" s="27"/>
      <x:c r="W149" s="28"/>
    </x:row>
    <x:row r="150" spans="1:23">
      <x:c r="A150" s="21" t="s">
        <x:v>41</x:v>
      </x:c>
      <x:c r="B150" s="22" t="s">
        <x:v>417</x:v>
      </x:c>
      <x:c r="C150" s="22" t="s">
        <x:v>42</x:v>
      </x:c>
      <x:c r="D150" s="22" t="s">
        <x:v>434</x:v>
      </x:c>
      <x:c r="E150" s="22" t="s">
        <x:v>195</x:v>
      </x:c>
      <x:c r="F150" s="22" t="s">
        <x:v>195</x:v>
      </x:c>
      <x:c r="G150" s="22" t="s">
        <x:v>201</x:v>
      </x:c>
      <x:c r="H150" s="22">
        <x:v>1</x:v>
      </x:c>
      <x:c r="I150" s="22">
        <x:v>0</x:v>
      </x:c>
      <x:c r="J150" s="22">
        <x:v>0</x:v>
      </x:c>
      <x:c r="K150" s="23">
        <x:v>0</x:v>
      </x:c>
      <x:c r="L150" s="23">
        <x:v>0</x:v>
      </x:c>
      <x:c r="M150" s="23">
        <x:f>K150-L150</x:f>
      </x:c>
      <x:c r="N150" s="22" t="s">
        <x:v>406</x:v>
      </x:c>
      <x:c r="O150" s="24">
        <x:f>IFERROR(INDEX('تطبیق کل'!$J:$J,MATCH(A150&amp;"",'تطبیق کل'!$A:$A,0))&amp;"","")</x:f>
      </x:c>
      <x:c r="P150" s="24"/>
      <x:c r="Q150" s="24" t="s">
        <x:v>198</x:v>
      </x:c>
      <x:c r="R150" s="25"/>
      <x:c r="S150" s="26"/>
      <x:c r="T150" s="22">
        <x:f>IF(S150="","",IFERROR(INDEX('درخت جدید'!$C:$C,MATCH(S150&amp;"",'درخت جدید'!$B:$B,0)),"—"))</x:f>
      </x:c>
      <x:c r="U150" s="22">
        <x:f>IF(S150="",IF(N150="بله","الزامی — تکمیل نشده",""),IF(AND(O150&lt;&gt;"",LEFT(S150&amp;"",4)&lt;&gt;O150),"زیر کل دیگری است — کل یا معین را اصلاح کنید",IF(COUNTIFS('درخت جدید'!$B:$B,S150&amp;"",'درخت جدید'!$A:$A,"معین")=0,IF(V150="","کد در درخت نیست — نام برای تعریف را بنویسید","OK"),"OK")))</x:f>
      </x:c>
      <x:c r="V150" s="27"/>
      <x:c r="W150" s="28"/>
    </x:row>
    <x:row r="151" spans="1:23">
      <x:c r="A151" s="21" t="s">
        <x:v>41</x:v>
      </x:c>
      <x:c r="B151" s="22" t="s">
        <x:v>213</x:v>
      </x:c>
      <x:c r="C151" s="22" t="s">
        <x:v>42</x:v>
      </x:c>
      <x:c r="D151" s="22" t="s">
        <x:v>435</x:v>
      </x:c>
      <x:c r="E151" s="22" t="s">
        <x:v>195</x:v>
      </x:c>
      <x:c r="F151" s="22" t="s">
        <x:v>195</x:v>
      </x:c>
      <x:c r="G151" s="22" t="s">
        <x:v>201</x:v>
      </x:c>
      <x:c r="H151" s="22">
        <x:v>1</x:v>
      </x:c>
      <x:c r="I151" s="22">
        <x:v>0</x:v>
      </x:c>
      <x:c r="J151" s="22">
        <x:v>0</x:v>
      </x:c>
      <x:c r="K151" s="23">
        <x:v>0</x:v>
      </x:c>
      <x:c r="L151" s="23">
        <x:v>0</x:v>
      </x:c>
      <x:c r="M151" s="23">
        <x:f>K151-L151</x:f>
      </x:c>
      <x:c r="N151" s="22" t="s">
        <x:v>406</x:v>
      </x:c>
      <x:c r="O151" s="24">
        <x:f>IFERROR(INDEX('تطبیق کل'!$J:$J,MATCH(A151&amp;"",'تطبیق کل'!$A:$A,0))&amp;"","")</x:f>
      </x:c>
      <x:c r="P151" s="24"/>
      <x:c r="Q151" s="24" t="s">
        <x:v>198</x:v>
      </x:c>
      <x:c r="R151" s="25"/>
      <x:c r="S151" s="26"/>
      <x:c r="T151" s="22">
        <x:f>IF(S151="","",IFERROR(INDEX('درخت جدید'!$C:$C,MATCH(S151&amp;"",'درخت جدید'!$B:$B,0)),"—"))</x:f>
      </x:c>
      <x:c r="U151" s="22">
        <x:f>IF(S151="",IF(N151="بله","الزامی — تکمیل نشده",""),IF(AND(O151&lt;&gt;"",LEFT(S151&amp;"",4)&lt;&gt;O151),"زیر کل دیگری است — کل یا معین را اصلاح کنید",IF(COUNTIFS('درخت جدید'!$B:$B,S151&amp;"",'درخت جدید'!$A:$A,"معین")=0,IF(V151="","کد در درخت نیست — نام برای تعریف را بنویسید","OK"),"OK")))</x:f>
      </x:c>
      <x:c r="V151" s="27"/>
      <x:c r="W151" s="28"/>
    </x:row>
    <x:row r="152" spans="1:23">
      <x:c r="A152" s="21" t="s">
        <x:v>45</x:v>
      </x:c>
      <x:c r="B152" s="22" t="s">
        <x:v>310</x:v>
      </x:c>
      <x:c r="C152" s="22" t="s">
        <x:v>46</x:v>
      </x:c>
      <x:c r="D152" s="22" t="s">
        <x:v>436</x:v>
      </x:c>
      <x:c r="E152" s="22" t="s">
        <x:v>195</x:v>
      </x:c>
      <x:c r="F152" s="22" t="s">
        <x:v>195</x:v>
      </x:c>
      <x:c r="G152" s="22" t="s">
        <x:v>201</x:v>
      </x:c>
      <x:c r="H152" s="22">
        <x:v>1</x:v>
      </x:c>
      <x:c r="I152" s="22">
        <x:v>0</x:v>
      </x:c>
      <x:c r="J152" s="22">
        <x:v>0</x:v>
      </x:c>
      <x:c r="K152" s="23">
        <x:v>0</x:v>
      </x:c>
      <x:c r="L152" s="23">
        <x:v>0</x:v>
      </x:c>
      <x:c r="M152" s="23">
        <x:f>K152-L152</x:f>
      </x:c>
      <x:c r="N152" s="22" t="s">
        <x:v>406</x:v>
      </x:c>
      <x:c r="O152" s="24">
        <x:f>IFERROR(INDEX('تطبیق کل'!$J:$J,MATCH(A152&amp;"",'تطبیق کل'!$A:$A,0))&amp;"","")</x:f>
      </x:c>
      <x:c r="P152" s="24" t="s">
        <x:v>392</x:v>
      </x:c>
      <x:c r="Q152" s="24" t="s">
        <x:v>393</x:v>
      </x:c>
      <x:c r="R152" s="25">
        <x:v>0.46</x:v>
      </x:c>
      <x:c r="S152" s="26"/>
      <x:c r="T152" s="22">
        <x:f>IF(S152="","",IFERROR(INDEX('درخت جدید'!$C:$C,MATCH(S152&amp;"",'درخت جدید'!$B:$B,0)),"—"))</x:f>
      </x:c>
      <x:c r="U152" s="22">
        <x:f>IF(S152="",IF(N152="بله","الزامی — تکمیل نشده",""),IF(AND(O152&lt;&gt;"",LEFT(S152&amp;"",4)&lt;&gt;O152),"زیر کل دیگری است — کل یا معین را اصلاح کنید",IF(COUNTIFS('درخت جدید'!$B:$B,S152&amp;"",'درخت جدید'!$A:$A,"معین")=0,IF(V152="","کد در درخت نیست — نام برای تعریف را بنویسید","OK"),"OK")))</x:f>
      </x:c>
      <x:c r="V152" s="27"/>
      <x:c r="W152" s="28"/>
    </x:row>
    <x:row r="153" spans="1:23">
      <x:c r="A153" s="21" t="s">
        <x:v>45</x:v>
      </x:c>
      <x:c r="B153" s="22" t="s">
        <x:v>24</x:v>
      </x:c>
      <x:c r="C153" s="22" t="s">
        <x:v>46</x:v>
      </x:c>
      <x:c r="D153" s="22" t="s">
        <x:v>437</x:v>
      </x:c>
      <x:c r="E153" s="22" t="s">
        <x:v>195</x:v>
      </x:c>
      <x:c r="F153" s="22" t="s">
        <x:v>195</x:v>
      </x:c>
      <x:c r="G153" s="22" t="s">
        <x:v>196</x:v>
      </x:c>
      <x:c r="H153" s="22">
        <x:v>2</x:v>
      </x:c>
      <x:c r="I153" s="22">
        <x:v>0</x:v>
      </x:c>
      <x:c r="J153" s="22">
        <x:v>0</x:v>
      </x:c>
      <x:c r="K153" s="23">
        <x:v>0</x:v>
      </x:c>
      <x:c r="L153" s="23">
        <x:v>0</x:v>
      </x:c>
      <x:c r="M153" s="23">
        <x:f>K153-L153</x:f>
      </x:c>
      <x:c r="N153" s="22" t="s">
        <x:v>406</x:v>
      </x:c>
      <x:c r="O153" s="24">
        <x:f>IFERROR(INDEX('تطبیق کل'!$J:$J,MATCH(A153&amp;"",'تطبیق کل'!$A:$A,0))&amp;"","")</x:f>
      </x:c>
      <x:c r="P153" s="24" t="s">
        <x:v>272</x:v>
      </x:c>
      <x:c r="Q153" s="24" t="s">
        <x:v>273</x:v>
      </x:c>
      <x:c r="R153" s="25">
        <x:v>0.68</x:v>
      </x:c>
      <x:c r="S153" s="26"/>
      <x:c r="T153" s="22">
        <x:f>IF(S153="","",IFERROR(INDEX('درخت جدید'!$C:$C,MATCH(S153&amp;"",'درخت جدید'!$B:$B,0)),"—"))</x:f>
      </x:c>
      <x:c r="U153" s="22">
        <x:f>IF(S153="",IF(N153="بله","الزامی — تکمیل نشده",""),IF(AND(O153&lt;&gt;"",LEFT(S153&amp;"",4)&lt;&gt;O153),"زیر کل دیگری است — کل یا معین را اصلاح کنید",IF(COUNTIFS('درخت جدید'!$B:$B,S153&amp;"",'درخت جدید'!$A:$A,"معین")=0,IF(V153="","کد در درخت نیست — نام برای تعریف را بنویسید","OK"),"OK")))</x:f>
      </x:c>
      <x:c r="V153" s="27"/>
      <x:c r="W153" s="28"/>
    </x:row>
    <x:row r="154" spans="1:23">
      <x:c r="A154" s="21" t="s">
        <x:v>45</x:v>
      </x:c>
      <x:c r="B154" s="22" t="s">
        <x:v>34</x:v>
      </x:c>
      <x:c r="C154" s="22" t="s">
        <x:v>46</x:v>
      </x:c>
      <x:c r="D154" s="22" t="s">
        <x:v>438</x:v>
      </x:c>
      <x:c r="E154" s="22" t="s">
        <x:v>195</x:v>
      </x:c>
      <x:c r="F154" s="22" t="s">
        <x:v>195</x:v>
      </x:c>
      <x:c r="G154" s="22" t="s">
        <x:v>201</x:v>
      </x:c>
      <x:c r="H154" s="22">
        <x:v>2</x:v>
      </x:c>
      <x:c r="I154" s="22">
        <x:v>0</x:v>
      </x:c>
      <x:c r="J154" s="22">
        <x:v>0</x:v>
      </x:c>
      <x:c r="K154" s="23">
        <x:v>0</x:v>
      </x:c>
      <x:c r="L154" s="23">
        <x:v>0</x:v>
      </x:c>
      <x:c r="M154" s="23">
        <x:f>K154-L154</x:f>
      </x:c>
      <x:c r="N154" s="22" t="s">
        <x:v>406</x:v>
      </x:c>
      <x:c r="O154" s="24">
        <x:f>IFERROR(INDEX('تطبیق کل'!$J:$J,MATCH(A154&amp;"",'تطبیق کل'!$A:$A,0))&amp;"","")</x:f>
      </x:c>
      <x:c r="P154" s="24" t="s">
        <x:v>272</x:v>
      </x:c>
      <x:c r="Q154" s="24" t="s">
        <x:v>273</x:v>
      </x:c>
      <x:c r="R154" s="25">
        <x:v>0.72</x:v>
      </x:c>
      <x:c r="S154" s="26"/>
      <x:c r="T154" s="22">
        <x:f>IF(S154="","",IFERROR(INDEX('درخت جدید'!$C:$C,MATCH(S154&amp;"",'درخت جدید'!$B:$B,0)),"—"))</x:f>
      </x:c>
      <x:c r="U154" s="22">
        <x:f>IF(S154="",IF(N154="بله","الزامی — تکمیل نشده",""),IF(AND(O154&lt;&gt;"",LEFT(S154&amp;"",4)&lt;&gt;O154),"زیر کل دیگری است — کل یا معین را اصلاح کنید",IF(COUNTIFS('درخت جدید'!$B:$B,S154&amp;"",'درخت جدید'!$A:$A,"معین")=0,IF(V154="","کد در درخت نیست — نام برای تعریف را بنویسید","OK"),"OK")))</x:f>
      </x:c>
      <x:c r="V154" s="27"/>
      <x:c r="W154" s="28"/>
    </x:row>
    <x:row r="155" spans="1:23">
      <x:c r="A155" s="21" t="s">
        <x:v>45</x:v>
      </x:c>
      <x:c r="B155" s="22" t="s">
        <x:v>90</x:v>
      </x:c>
      <x:c r="C155" s="22" t="s">
        <x:v>46</x:v>
      </x:c>
      <x:c r="D155" s="22" t="s">
        <x:v>439</x:v>
      </x:c>
      <x:c r="E155" s="22" t="s">
        <x:v>195</x:v>
      </x:c>
      <x:c r="F155" s="22" t="s">
        <x:v>195</x:v>
      </x:c>
      <x:c r="G155" s="22" t="s">
        <x:v>201</x:v>
      </x:c>
      <x:c r="H155" s="22">
        <x:v>2</x:v>
      </x:c>
      <x:c r="I155" s="22">
        <x:v>0</x:v>
      </x:c>
      <x:c r="J155" s="22">
        <x:v>0</x:v>
      </x:c>
      <x:c r="K155" s="23">
        <x:v>0</x:v>
      </x:c>
      <x:c r="L155" s="23">
        <x:v>0</x:v>
      </x:c>
      <x:c r="M155" s="23">
        <x:f>K155-L155</x:f>
      </x:c>
      <x:c r="N155" s="22" t="s">
        <x:v>406</x:v>
      </x:c>
      <x:c r="O155" s="24">
        <x:f>IFERROR(INDEX('تطبیق کل'!$J:$J,MATCH(A155&amp;"",'تطبیق کل'!$A:$A,0))&amp;"","")</x:f>
      </x:c>
      <x:c r="P155" s="24" t="s">
        <x:v>222</x:v>
      </x:c>
      <x:c r="Q155" s="24" t="s">
        <x:v>223</x:v>
      </x:c>
      <x:c r="R155" s="25">
        <x:v>0.5</x:v>
      </x:c>
      <x:c r="S155" s="26"/>
      <x:c r="T155" s="22">
        <x:f>IF(S155="","",IFERROR(INDEX('درخت جدید'!$C:$C,MATCH(S155&amp;"",'درخت جدید'!$B:$B,0)),"—"))</x:f>
      </x:c>
      <x:c r="U155" s="22">
        <x:f>IF(S155="",IF(N155="بله","الزامی — تکمیل نشده",""),IF(AND(O155&lt;&gt;"",LEFT(S155&amp;"",4)&lt;&gt;O155),"زیر کل دیگری است — کل یا معین را اصلاح کنید",IF(COUNTIFS('درخت جدید'!$B:$B,S155&amp;"",'درخت جدید'!$A:$A,"معین")=0,IF(V155="","کد در درخت نیست — نام برای تعریف را بنویسید","OK"),"OK")))</x:f>
      </x:c>
      <x:c r="V155" s="27"/>
      <x:c r="W155" s="28"/>
    </x:row>
    <x:row r="156" spans="1:23">
      <x:c r="A156" s="21" t="s">
        <x:v>49</x:v>
      </x:c>
      <x:c r="B156" s="22" t="s">
        <x:v>30</x:v>
      </x:c>
      <x:c r="C156" s="22" t="s">
        <x:v>50</x:v>
      </x:c>
      <x:c r="D156" s="22" t="s">
        <x:v>440</x:v>
      </x:c>
      <x:c r="E156" s="22" t="s">
        <x:v>195</x:v>
      </x:c>
      <x:c r="F156" s="22" t="s">
        <x:v>195</x:v>
      </x:c>
      <x:c r="G156" s="22" t="s">
        <x:v>201</x:v>
      </x:c>
      <x:c r="H156" s="22">
        <x:v>1</x:v>
      </x:c>
      <x:c r="I156" s="22">
        <x:v>0</x:v>
      </x:c>
      <x:c r="J156" s="22">
        <x:v>0</x:v>
      </x:c>
      <x:c r="K156" s="23">
        <x:v>0</x:v>
      </x:c>
      <x:c r="L156" s="23">
        <x:v>0</x:v>
      </x:c>
      <x:c r="M156" s="23">
        <x:f>K156-L156</x:f>
      </x:c>
      <x:c r="N156" s="22" t="s">
        <x:v>406</x:v>
      </x:c>
      <x:c r="O156" s="24">
        <x:f>IFERROR(INDEX('تطبیق کل'!$J:$J,MATCH(A156&amp;"",'تطبیق کل'!$A:$A,0))&amp;"","")</x:f>
      </x:c>
      <x:c r="P156" s="24" t="s">
        <x:v>229</x:v>
      </x:c>
      <x:c r="Q156" s="24" t="s">
        <x:v>230</x:v>
      </x:c>
      <x:c r="R156" s="25">
        <x:v>0.43</x:v>
      </x:c>
      <x:c r="S156" s="26"/>
      <x:c r="T156" s="22">
        <x:f>IF(S156="","",IFERROR(INDEX('درخت جدید'!$C:$C,MATCH(S156&amp;"",'درخت جدید'!$B:$B,0)),"—"))</x:f>
      </x:c>
      <x:c r="U156" s="22">
        <x:f>IF(S156="",IF(N156="بله","الزامی — تکمیل نشده",""),IF(AND(O156&lt;&gt;"",LEFT(S156&amp;"",4)&lt;&gt;O156),"زیر کل دیگری است — کل یا معین را اصلاح کنید",IF(COUNTIFS('درخت جدید'!$B:$B,S156&amp;"",'درخت جدید'!$A:$A,"معین")=0,IF(V156="","کد در درخت نیست — نام برای تعریف را بنویسید","OK"),"OK")))</x:f>
      </x:c>
      <x:c r="V156" s="27"/>
      <x:c r="W156" s="28"/>
    </x:row>
    <x:row r="157" spans="1:23">
      <x:c r="A157" s="21" t="s">
        <x:v>49</x:v>
      </x:c>
      <x:c r="B157" s="22" t="s">
        <x:v>207</x:v>
      </x:c>
      <x:c r="C157" s="22" t="s">
        <x:v>50</x:v>
      </x:c>
      <x:c r="D157" s="22" t="s">
        <x:v>441</x:v>
      </x:c>
      <x:c r="E157" s="22" t="s">
        <x:v>195</x:v>
      </x:c>
      <x:c r="F157" s="22" t="s">
        <x:v>195</x:v>
      </x:c>
      <x:c r="G157" s="22" t="s">
        <x:v>201</x:v>
      </x:c>
      <x:c r="H157" s="22">
        <x:v>1</x:v>
      </x:c>
      <x:c r="I157" s="22">
        <x:v>0</x:v>
      </x:c>
      <x:c r="J157" s="22">
        <x:v>0</x:v>
      </x:c>
      <x:c r="K157" s="23">
        <x:v>0</x:v>
      </x:c>
      <x:c r="L157" s="23">
        <x:v>0</x:v>
      </x:c>
      <x:c r="M157" s="23">
        <x:f>K157-L157</x:f>
      </x:c>
      <x:c r="N157" s="22" t="s">
        <x:v>406</x:v>
      </x:c>
      <x:c r="O157" s="24">
        <x:f>IFERROR(INDEX('تطبیق کل'!$J:$J,MATCH(A157&amp;"",'تطبیق کل'!$A:$A,0))&amp;"","")</x:f>
      </x:c>
      <x:c r="P157" s="24" t="s">
        <x:v>229</x:v>
      </x:c>
      <x:c r="Q157" s="24" t="s">
        <x:v>230</x:v>
      </x:c>
      <x:c r="R157" s="25">
        <x:v>0.4</x:v>
      </x:c>
      <x:c r="S157" s="26"/>
      <x:c r="T157" s="22">
        <x:f>IF(S157="","",IFERROR(INDEX('درخت جدید'!$C:$C,MATCH(S157&amp;"",'درخت جدید'!$B:$B,0)),"—"))</x:f>
      </x:c>
      <x:c r="U157" s="22">
        <x:f>IF(S157="",IF(N157="بله","الزامی — تکمیل نشده",""),IF(AND(O157&lt;&gt;"",LEFT(S157&amp;"",4)&lt;&gt;O157),"زیر کل دیگری است — کل یا معین را اصلاح کنید",IF(COUNTIFS('درخت جدید'!$B:$B,S157&amp;"",'درخت جدید'!$A:$A,"معین")=0,IF(V157="","کد در درخت نیست — نام برای تعریف را بنویسید","OK"),"OK")))</x:f>
      </x:c>
      <x:c r="V157" s="27"/>
      <x:c r="W157" s="28"/>
    </x:row>
    <x:row r="158" spans="1:23">
      <x:c r="A158" s="21" t="s">
        <x:v>49</x:v>
      </x:c>
      <x:c r="B158" s="22" t="s">
        <x:v>202</x:v>
      </x:c>
      <x:c r="C158" s="22" t="s">
        <x:v>50</x:v>
      </x:c>
      <x:c r="D158" s="22" t="s">
        <x:v>442</x:v>
      </x:c>
      <x:c r="E158" s="22" t="s">
        <x:v>195</x:v>
      </x:c>
      <x:c r="F158" s="22" t="s">
        <x:v>195</x:v>
      </x:c>
      <x:c r="G158" s="22" t="s">
        <x:v>201</x:v>
      </x:c>
      <x:c r="H158" s="22">
        <x:v>1</x:v>
      </x:c>
      <x:c r="I158" s="22">
        <x:v>0</x:v>
      </x:c>
      <x:c r="J158" s="22">
        <x:v>0</x:v>
      </x:c>
      <x:c r="K158" s="23">
        <x:v>0</x:v>
      </x:c>
      <x:c r="L158" s="23">
        <x:v>0</x:v>
      </x:c>
      <x:c r="M158" s="23">
        <x:f>K158-L158</x:f>
      </x:c>
      <x:c r="N158" s="22" t="s">
        <x:v>406</x:v>
      </x:c>
      <x:c r="O158" s="24">
        <x:f>IFERROR(INDEX('تطبیق کل'!$J:$J,MATCH(A158&amp;"",'تطبیق کل'!$A:$A,0))&amp;"","")</x:f>
      </x:c>
      <x:c r="P158" s="24"/>
      <x:c r="Q158" s="24" t="s">
        <x:v>198</x:v>
      </x:c>
      <x:c r="R158" s="25"/>
      <x:c r="S158" s="26"/>
      <x:c r="T158" s="22">
        <x:f>IF(S158="","",IFERROR(INDEX('درخت جدید'!$C:$C,MATCH(S158&amp;"",'درخت جدید'!$B:$B,0)),"—"))</x:f>
      </x:c>
      <x:c r="U158" s="22">
        <x:f>IF(S158="",IF(N158="بله","الزامی — تکمیل نشده",""),IF(AND(O158&lt;&gt;"",LEFT(S158&amp;"",4)&lt;&gt;O158),"زیر کل دیگری است — کل یا معین را اصلاح کنید",IF(COUNTIFS('درخت جدید'!$B:$B,S158&amp;"",'درخت جدید'!$A:$A,"معین")=0,IF(V158="","کد در درخت نیست — نام برای تعریف را بنویسید","OK"),"OK")))</x:f>
      </x:c>
      <x:c r="V158" s="27"/>
      <x:c r="W158" s="28"/>
    </x:row>
    <x:row r="159" spans="1:23">
      <x:c r="A159" s="21" t="s">
        <x:v>49</x:v>
      </x:c>
      <x:c r="B159" s="22" t="s">
        <x:v>71</x:v>
      </x:c>
      <x:c r="C159" s="22" t="s">
        <x:v>50</x:v>
      </x:c>
      <x:c r="D159" s="22" t="s">
        <x:v>443</x:v>
      </x:c>
      <x:c r="E159" s="22" t="s">
        <x:v>195</x:v>
      </x:c>
      <x:c r="F159" s="22" t="s">
        <x:v>195</x:v>
      </x:c>
      <x:c r="G159" s="22" t="s">
        <x:v>201</x:v>
      </x:c>
      <x:c r="H159" s="22">
        <x:v>1</x:v>
      </x:c>
      <x:c r="I159" s="22">
        <x:v>0</x:v>
      </x:c>
      <x:c r="J159" s="22">
        <x:v>0</x:v>
      </x:c>
      <x:c r="K159" s="23">
        <x:v>0</x:v>
      </x:c>
      <x:c r="L159" s="23">
        <x:v>0</x:v>
      </x:c>
      <x:c r="M159" s="23">
        <x:f>K159-L159</x:f>
      </x:c>
      <x:c r="N159" s="22" t="s">
        <x:v>406</x:v>
      </x:c>
      <x:c r="O159" s="24">
        <x:f>IFERROR(INDEX('تطبیق کل'!$J:$J,MATCH(A159&amp;"",'تطبیق کل'!$A:$A,0))&amp;"","")</x:f>
      </x:c>
      <x:c r="P159" s="24" t="s">
        <x:v>229</x:v>
      </x:c>
      <x:c r="Q159" s="24" t="s">
        <x:v>230</x:v>
      </x:c>
      <x:c r="R159" s="25">
        <x:v>0.36</x:v>
      </x:c>
      <x:c r="S159" s="26"/>
      <x:c r="T159" s="22">
        <x:f>IF(S159="","",IFERROR(INDEX('درخت جدید'!$C:$C,MATCH(S159&amp;"",'درخت جدید'!$B:$B,0)),"—"))</x:f>
      </x:c>
      <x:c r="U159" s="22">
        <x:f>IF(S159="",IF(N159="بله","الزامی — تکمیل نشده",""),IF(AND(O159&lt;&gt;"",LEFT(S159&amp;"",4)&lt;&gt;O159),"زیر کل دیگری است — کل یا معین را اصلاح کنید",IF(COUNTIFS('درخت جدید'!$B:$B,S159&amp;"",'درخت جدید'!$A:$A,"معین")=0,IF(V159="","کد در درخت نیست — نام برای تعریف را بنویسید","OK"),"OK")))</x:f>
      </x:c>
      <x:c r="V159" s="27"/>
      <x:c r="W159" s="28"/>
    </x:row>
    <x:row r="160" spans="1:23">
      <x:c r="A160" s="21" t="s">
        <x:v>49</x:v>
      </x:c>
      <x:c r="B160" s="22" t="s">
        <x:v>150</x:v>
      </x:c>
      <x:c r="C160" s="22" t="s">
        <x:v>50</x:v>
      </x:c>
      <x:c r="D160" s="22" t="s">
        <x:v>444</x:v>
      </x:c>
      <x:c r="E160" s="22" t="s">
        <x:v>195</x:v>
      </x:c>
      <x:c r="F160" s="22" t="s">
        <x:v>195</x:v>
      </x:c>
      <x:c r="G160" s="22" t="s">
        <x:v>201</x:v>
      </x:c>
      <x:c r="H160" s="22">
        <x:v>1</x:v>
      </x:c>
      <x:c r="I160" s="22">
        <x:v>0</x:v>
      </x:c>
      <x:c r="J160" s="22">
        <x:v>0</x:v>
      </x:c>
      <x:c r="K160" s="23">
        <x:v>0</x:v>
      </x:c>
      <x:c r="L160" s="23">
        <x:v>0</x:v>
      </x:c>
      <x:c r="M160" s="23">
        <x:f>K160-L160</x:f>
      </x:c>
      <x:c r="N160" s="22" t="s">
        <x:v>406</x:v>
      </x:c>
      <x:c r="O160" s="24">
        <x:f>IFERROR(INDEX('تطبیق کل'!$J:$J,MATCH(A160&amp;"",'تطبیق کل'!$A:$A,0))&amp;"","")</x:f>
      </x:c>
      <x:c r="P160" s="24"/>
      <x:c r="Q160" s="24" t="s">
        <x:v>198</x:v>
      </x:c>
      <x:c r="R160" s="25"/>
      <x:c r="S160" s="26"/>
      <x:c r="T160" s="22">
        <x:f>IF(S160="","",IFERROR(INDEX('درخت جدید'!$C:$C,MATCH(S160&amp;"",'درخت جدید'!$B:$B,0)),"—"))</x:f>
      </x:c>
      <x:c r="U160" s="22">
        <x:f>IF(S160="",IF(N160="بله","الزامی — تکمیل نشده",""),IF(AND(O160&lt;&gt;"",LEFT(S160&amp;"",4)&lt;&gt;O160),"زیر کل دیگری است — کل یا معین را اصلاح کنید",IF(COUNTIFS('درخت جدید'!$B:$B,S160&amp;"",'درخت جدید'!$A:$A,"معین")=0,IF(V160="","کد در درخت نیست — نام برای تعریف را بنویسید","OK"),"OK")))</x:f>
      </x:c>
      <x:c r="V160" s="27"/>
      <x:c r="W160" s="28"/>
    </x:row>
    <x:row r="161" spans="1:23">
      <x:c r="A161" s="21" t="s">
        <x:v>53</x:v>
      </x:c>
      <x:c r="B161" s="22" t="s">
        <x:v>251</x:v>
      </x:c>
      <x:c r="C161" s="22" t="s">
        <x:v>54</x:v>
      </x:c>
      <x:c r="D161" s="22" t="s">
        <x:v>445</x:v>
      </x:c>
      <x:c r="E161" s="22" t="s">
        <x:v>195</x:v>
      </x:c>
      <x:c r="F161" s="22" t="s">
        <x:v>195</x:v>
      </x:c>
      <x:c r="G161" s="22" t="s">
        <x:v>196</x:v>
      </x:c>
      <x:c r="H161" s="22">
        <x:v>4</x:v>
      </x:c>
      <x:c r="I161" s="22">
        <x:v>0</x:v>
      </x:c>
      <x:c r="J161" s="22">
        <x:v>0</x:v>
      </x:c>
      <x:c r="K161" s="23">
        <x:v>0</x:v>
      </x:c>
      <x:c r="L161" s="23">
        <x:v>0</x:v>
      </x:c>
      <x:c r="M161" s="23">
        <x:f>K161-L161</x:f>
      </x:c>
      <x:c r="N161" s="22" t="s">
        <x:v>406</x:v>
      </x:c>
      <x:c r="O161" s="24">
        <x:f>IFERROR(INDEX('تطبیق کل'!$J:$J,MATCH(A161&amp;"",'تطبیق کل'!$A:$A,0))&amp;"","")</x:f>
      </x:c>
      <x:c r="P161" s="24"/>
      <x:c r="Q161" s="24" t="s">
        <x:v>198</x:v>
      </x:c>
      <x:c r="R161" s="25"/>
      <x:c r="S161" s="26"/>
      <x:c r="T161" s="22">
        <x:f>IF(S161="","",IFERROR(INDEX('درخت جدید'!$C:$C,MATCH(S161&amp;"",'درخت جدید'!$B:$B,0)),"—"))</x:f>
      </x:c>
      <x:c r="U161" s="22">
        <x:f>IF(S161="",IF(N161="بله","الزامی — تکمیل نشده",""),IF(AND(O161&lt;&gt;"",LEFT(S161&amp;"",4)&lt;&gt;O161),"زیر کل دیگری است — کل یا معین را اصلاح کنید",IF(COUNTIFS('درخت جدید'!$B:$B,S161&amp;"",'درخت جدید'!$A:$A,"معین")=0,IF(V161="","کد در درخت نیست — نام برای تعریف را بنویسید","OK"),"OK")))</x:f>
      </x:c>
      <x:c r="V161" s="27"/>
      <x:c r="W161" s="28"/>
    </x:row>
    <x:row r="162" spans="1:23">
      <x:c r="A162" s="21" t="s">
        <x:v>53</x:v>
      </x:c>
      <x:c r="B162" s="22" t="s">
        <x:v>351</x:v>
      </x:c>
      <x:c r="C162" s="22" t="s">
        <x:v>54</x:v>
      </x:c>
      <x:c r="D162" s="22" t="s">
        <x:v>446</x:v>
      </x:c>
      <x:c r="E162" s="22" t="s">
        <x:v>195</x:v>
      </x:c>
      <x:c r="F162" s="22" t="s">
        <x:v>195</x:v>
      </x:c>
      <x:c r="G162" s="22" t="s">
        <x:v>201</x:v>
      </x:c>
      <x:c r="H162" s="22">
        <x:v>1</x:v>
      </x:c>
      <x:c r="I162" s="22">
        <x:v>0</x:v>
      </x:c>
      <x:c r="J162" s="22">
        <x:v>0</x:v>
      </x:c>
      <x:c r="K162" s="23">
        <x:v>0</x:v>
      </x:c>
      <x:c r="L162" s="23">
        <x:v>0</x:v>
      </x:c>
      <x:c r="M162" s="23">
        <x:f>K162-L162</x:f>
      </x:c>
      <x:c r="N162" s="22" t="s">
        <x:v>406</x:v>
      </x:c>
      <x:c r="O162" s="24">
        <x:f>IFERROR(INDEX('تطبیق کل'!$J:$J,MATCH(A162&amp;"",'تطبیق کل'!$A:$A,0))&amp;"","")</x:f>
      </x:c>
      <x:c r="P162" s="24"/>
      <x:c r="Q162" s="24" t="s">
        <x:v>198</x:v>
      </x:c>
      <x:c r="R162" s="25"/>
      <x:c r="S162" s="26"/>
      <x:c r="T162" s="22">
        <x:f>IF(S162="","",IFERROR(INDEX('درخت جدید'!$C:$C,MATCH(S162&amp;"",'درخت جدید'!$B:$B,0)),"—"))</x:f>
      </x:c>
      <x:c r="U162" s="22">
        <x:f>IF(S162="",IF(N162="بله","الزامی — تکمیل نشده",""),IF(AND(O162&lt;&gt;"",LEFT(S162&amp;"",4)&lt;&gt;O162),"زیر کل دیگری است — کل یا معین را اصلاح کنید",IF(COUNTIFS('درخت جدید'!$B:$B,S162&amp;"",'درخت جدید'!$A:$A,"معین")=0,IF(V162="","کد در درخت نیست — نام برای تعریف را بنویسید","OK"),"OK")))</x:f>
      </x:c>
      <x:c r="V162" s="27"/>
      <x:c r="W162" s="28"/>
    </x:row>
    <x:row r="163" spans="1:23">
      <x:c r="A163" s="21" t="s">
        <x:v>53</x:v>
      </x:c>
      <x:c r="B163" s="22" t="s">
        <x:v>193</x:v>
      </x:c>
      <x:c r="C163" s="22" t="s">
        <x:v>54</x:v>
      </x:c>
      <x:c r="D163" s="22" t="s">
        <x:v>447</x:v>
      </x:c>
      <x:c r="E163" s="22" t="s">
        <x:v>195</x:v>
      </x:c>
      <x:c r="F163" s="22" t="s">
        <x:v>195</x:v>
      </x:c>
      <x:c r="G163" s="22" t="s">
        <x:v>201</x:v>
      </x:c>
      <x:c r="H163" s="22">
        <x:v>1</x:v>
      </x:c>
      <x:c r="I163" s="22">
        <x:v>0</x:v>
      </x:c>
      <x:c r="J163" s="22">
        <x:v>0</x:v>
      </x:c>
      <x:c r="K163" s="23">
        <x:v>0</x:v>
      </x:c>
      <x:c r="L163" s="23">
        <x:v>0</x:v>
      </x:c>
      <x:c r="M163" s="23">
        <x:f>K163-L163</x:f>
      </x:c>
      <x:c r="N163" s="22" t="s">
        <x:v>406</x:v>
      </x:c>
      <x:c r="O163" s="24">
        <x:f>IFERROR(INDEX('تطبیق کل'!$J:$J,MATCH(A163&amp;"",'تطبیق کل'!$A:$A,0))&amp;"","")</x:f>
      </x:c>
      <x:c r="P163" s="24" t="s">
        <x:v>448</x:v>
      </x:c>
      <x:c r="Q163" s="24" t="s">
        <x:v>447</x:v>
      </x:c>
      <x:c r="R163" s="25">
        <x:v>1</x:v>
      </x:c>
      <x:c r="S163" s="26"/>
      <x:c r="T163" s="22">
        <x:f>IF(S163="","",IFERROR(INDEX('درخت جدید'!$C:$C,MATCH(S163&amp;"",'درخت جدید'!$B:$B,0)),"—"))</x:f>
      </x:c>
      <x:c r="U163" s="22">
        <x:f>IF(S163="",IF(N163="بله","الزامی — تکمیل نشده",""),IF(AND(O163&lt;&gt;"",LEFT(S163&amp;"",4)&lt;&gt;O163),"زیر کل دیگری است — کل یا معین را اصلاح کنید",IF(COUNTIFS('درخت جدید'!$B:$B,S163&amp;"",'درخت جدید'!$A:$A,"معین")=0,IF(V163="","کد در درخت نیست — نام برای تعریف را بنویسید","OK"),"OK")))</x:f>
      </x:c>
      <x:c r="V163" s="27"/>
      <x:c r="W163" s="28"/>
    </x:row>
    <x:row r="164" spans="1:23">
      <x:c r="A164" s="21" t="s">
        <x:v>53</x:v>
      </x:c>
      <x:c r="B164" s="22" t="s">
        <x:v>204</x:v>
      </x:c>
      <x:c r="C164" s="22" t="s">
        <x:v>54</x:v>
      </x:c>
      <x:c r="D164" s="22" t="s">
        <x:v>449</x:v>
      </x:c>
      <x:c r="E164" s="22" t="s">
        <x:v>195</x:v>
      </x:c>
      <x:c r="F164" s="22" t="s">
        <x:v>195</x:v>
      </x:c>
      <x:c r="G164" s="22" t="s">
        <x:v>201</x:v>
      </x:c>
      <x:c r="H164" s="22">
        <x:v>1</x:v>
      </x:c>
      <x:c r="I164" s="22">
        <x:v>0</x:v>
      </x:c>
      <x:c r="J164" s="22">
        <x:v>0</x:v>
      </x:c>
      <x:c r="K164" s="23">
        <x:v>0</x:v>
      </x:c>
      <x:c r="L164" s="23">
        <x:v>0</x:v>
      </x:c>
      <x:c r="M164" s="23">
        <x:f>K164-L164</x:f>
      </x:c>
      <x:c r="N164" s="22" t="s">
        <x:v>406</x:v>
      </x:c>
      <x:c r="O164" s="24">
        <x:f>IFERROR(INDEX('تطبیق کل'!$J:$J,MATCH(A164&amp;"",'تطبیق کل'!$A:$A,0))&amp;"","")</x:f>
      </x:c>
      <x:c r="P164" s="24"/>
      <x:c r="Q164" s="24" t="s">
        <x:v>198</x:v>
      </x:c>
      <x:c r="R164" s="25"/>
      <x:c r="S164" s="26"/>
      <x:c r="T164" s="22">
        <x:f>IF(S164="","",IFERROR(INDEX('درخت جدید'!$C:$C,MATCH(S164&amp;"",'درخت جدید'!$B:$B,0)),"—"))</x:f>
      </x:c>
      <x:c r="U164" s="22">
        <x:f>IF(S164="",IF(N164="بله","الزامی — تکمیل نشده",""),IF(AND(O164&lt;&gt;"",LEFT(S164&amp;"",4)&lt;&gt;O164),"زیر کل دیگری است — کل یا معین را اصلاح کنید",IF(COUNTIFS('درخت جدید'!$B:$B,S164&amp;"",'درخت جدید'!$A:$A,"معین")=0,IF(V164="","کد در درخت نیست — نام برای تعریف را بنویسید","OK"),"OK")))</x:f>
      </x:c>
      <x:c r="V164" s="27"/>
      <x:c r="W164" s="28"/>
    </x:row>
    <x:row r="165" spans="1:23">
      <x:c r="A165" s="21" t="s">
        <x:v>53</x:v>
      </x:c>
      <x:c r="B165" s="22" t="s">
        <x:v>199</x:v>
      </x:c>
      <x:c r="C165" s="22" t="s">
        <x:v>54</x:v>
      </x:c>
      <x:c r="D165" s="22" t="s">
        <x:v>450</x:v>
      </x:c>
      <x:c r="E165" s="22" t="s">
        <x:v>195</x:v>
      </x:c>
      <x:c r="F165" s="22" t="s">
        <x:v>195</x:v>
      </x:c>
      <x:c r="G165" s="22" t="s">
        <x:v>201</x:v>
      </x:c>
      <x:c r="H165" s="22">
        <x:v>1</x:v>
      </x:c>
      <x:c r="I165" s="22">
        <x:v>0</x:v>
      </x:c>
      <x:c r="J165" s="22">
        <x:v>0</x:v>
      </x:c>
      <x:c r="K165" s="23">
        <x:v>0</x:v>
      </x:c>
      <x:c r="L165" s="23">
        <x:v>0</x:v>
      </x:c>
      <x:c r="M165" s="23">
        <x:f>K165-L165</x:f>
      </x:c>
      <x:c r="N165" s="22" t="s">
        <x:v>406</x:v>
      </x:c>
      <x:c r="O165" s="24">
        <x:f>IFERROR(INDEX('تطبیق کل'!$J:$J,MATCH(A165&amp;"",'تطبیق کل'!$A:$A,0))&amp;"","")</x:f>
      </x:c>
      <x:c r="P165" s="24"/>
      <x:c r="Q165" s="24" t="s">
        <x:v>198</x:v>
      </x:c>
      <x:c r="R165" s="25"/>
      <x:c r="S165" s="26"/>
      <x:c r="T165" s="22">
        <x:f>IF(S165="","",IFERROR(INDEX('درخت جدید'!$C:$C,MATCH(S165&amp;"",'درخت جدید'!$B:$B,0)),"—"))</x:f>
      </x:c>
      <x:c r="U165" s="22">
        <x:f>IF(S165="",IF(N165="بله","الزامی — تکمیل نشده",""),IF(AND(O165&lt;&gt;"",LEFT(S165&amp;"",4)&lt;&gt;O165),"زیر کل دیگری است — کل یا معین را اصلاح کنید",IF(COUNTIFS('درخت جدید'!$B:$B,S165&amp;"",'درخت جدید'!$A:$A,"معین")=0,IF(V165="","کد در درخت نیست — نام برای تعریف را بنویسید","OK"),"OK")))</x:f>
      </x:c>
      <x:c r="V165" s="27"/>
      <x:c r="W165" s="28"/>
    </x:row>
    <x:row r="166" spans="1:23">
      <x:c r="A166" s="21" t="s">
        <x:v>53</x:v>
      </x:c>
      <x:c r="B166" s="22" t="s">
        <x:v>38</x:v>
      </x:c>
      <x:c r="C166" s="22" t="s">
        <x:v>54</x:v>
      </x:c>
      <x:c r="D166" s="22" t="s">
        <x:v>451</x:v>
      </x:c>
      <x:c r="E166" s="22" t="s">
        <x:v>195</x:v>
      </x:c>
      <x:c r="F166" s="22" t="s">
        <x:v>195</x:v>
      </x:c>
      <x:c r="G166" s="22" t="s">
        <x:v>196</x:v>
      </x:c>
      <x:c r="H166" s="22">
        <x:v>1</x:v>
      </x:c>
      <x:c r="I166" s="22">
        <x:v>0</x:v>
      </x:c>
      <x:c r="J166" s="22">
        <x:v>0</x:v>
      </x:c>
      <x:c r="K166" s="23">
        <x:v>0</x:v>
      </x:c>
      <x:c r="L166" s="23">
        <x:v>0</x:v>
      </x:c>
      <x:c r="M166" s="23">
        <x:f>K166-L166</x:f>
      </x:c>
      <x:c r="N166" s="22" t="s">
        <x:v>406</x:v>
      </x:c>
      <x:c r="O166" s="24">
        <x:f>IFERROR(INDEX('تطبیق کل'!$J:$J,MATCH(A166&amp;"",'تطبیق کل'!$A:$A,0))&amp;"","")</x:f>
      </x:c>
      <x:c r="P166" s="24"/>
      <x:c r="Q166" s="24" t="s">
        <x:v>198</x:v>
      </x:c>
      <x:c r="R166" s="25"/>
      <x:c r="S166" s="26"/>
      <x:c r="T166" s="22">
        <x:f>IF(S166="","",IFERROR(INDEX('درخت جدید'!$C:$C,MATCH(S166&amp;"",'درخت جدید'!$B:$B,0)),"—"))</x:f>
      </x:c>
      <x:c r="U166" s="22">
        <x:f>IF(S166="",IF(N166="بله","الزامی — تکمیل نشده",""),IF(AND(O166&lt;&gt;"",LEFT(S166&amp;"",4)&lt;&gt;O166),"زیر کل دیگری است — کل یا معین را اصلاح کنید",IF(COUNTIFS('درخت جدید'!$B:$B,S166&amp;"",'درخت جدید'!$A:$A,"معین")=0,IF(V166="","کد در درخت نیست — نام برای تعریف را بنویسید","OK"),"OK")))</x:f>
      </x:c>
      <x:c r="V166" s="27"/>
      <x:c r="W166" s="28"/>
    </x:row>
    <x:row r="167" spans="1:23">
      <x:c r="A167" s="21" t="s">
        <x:v>53</x:v>
      </x:c>
      <x:c r="B167" s="22" t="s">
        <x:v>41</x:v>
      </x:c>
      <x:c r="C167" s="22" t="s">
        <x:v>54</x:v>
      </x:c>
      <x:c r="D167" s="22" t="s">
        <x:v>452</x:v>
      </x:c>
      <x:c r="E167" s="22" t="s">
        <x:v>195</x:v>
      </x:c>
      <x:c r="F167" s="22" t="s">
        <x:v>195</x:v>
      </x:c>
      <x:c r="G167" s="22" t="s">
        <x:v>196</x:v>
      </x:c>
      <x:c r="H167" s="22">
        <x:v>1</x:v>
      </x:c>
      <x:c r="I167" s="22">
        <x:v>0</x:v>
      </x:c>
      <x:c r="J167" s="22">
        <x:v>0</x:v>
      </x:c>
      <x:c r="K167" s="23">
        <x:v>0</x:v>
      </x:c>
      <x:c r="L167" s="23">
        <x:v>0</x:v>
      </x:c>
      <x:c r="M167" s="23">
        <x:f>K167-L167</x:f>
      </x:c>
      <x:c r="N167" s="22" t="s">
        <x:v>406</x:v>
      </x:c>
      <x:c r="O167" s="24">
        <x:f>IFERROR(INDEX('تطبیق کل'!$J:$J,MATCH(A167&amp;"",'تطبیق کل'!$A:$A,0))&amp;"","")</x:f>
      </x:c>
      <x:c r="P167" s="24"/>
      <x:c r="Q167" s="24" t="s">
        <x:v>198</x:v>
      </x:c>
      <x:c r="R167" s="25"/>
      <x:c r="S167" s="26"/>
      <x:c r="T167" s="22">
        <x:f>IF(S167="","",IFERROR(INDEX('درخت جدید'!$C:$C,MATCH(S167&amp;"",'درخت جدید'!$B:$B,0)),"—"))</x:f>
      </x:c>
      <x:c r="U167" s="22">
        <x:f>IF(S167="",IF(N167="بله","الزامی — تکمیل نشده",""),IF(AND(O167&lt;&gt;"",LEFT(S167&amp;"",4)&lt;&gt;O167),"زیر کل دیگری است — کل یا معین را اصلاح کنید",IF(COUNTIFS('درخت جدید'!$B:$B,S167&amp;"",'درخت جدید'!$A:$A,"معین")=0,IF(V167="","کد در درخت نیست — نام برای تعریف را بنویسید","OK"),"OK")))</x:f>
      </x:c>
      <x:c r="V167" s="27"/>
      <x:c r="W167" s="28"/>
    </x:row>
    <x:row r="168" spans="1:23">
      <x:c r="A168" s="21" t="s">
        <x:v>53</x:v>
      </x:c>
      <x:c r="B168" s="22" t="s">
        <x:v>336</x:v>
      </x:c>
      <x:c r="C168" s="22" t="s">
        <x:v>54</x:v>
      </x:c>
      <x:c r="D168" s="22" t="s">
        <x:v>453</x:v>
      </x:c>
      <x:c r="E168" s="22" t="s">
        <x:v>195</x:v>
      </x:c>
      <x:c r="F168" s="22" t="s">
        <x:v>195</x:v>
      </x:c>
      <x:c r="G168" s="22" t="s">
        <x:v>201</x:v>
      </x:c>
      <x:c r="H168" s="22">
        <x:v>1</x:v>
      </x:c>
      <x:c r="I168" s="22">
        <x:v>0</x:v>
      </x:c>
      <x:c r="J168" s="22">
        <x:v>0</x:v>
      </x:c>
      <x:c r="K168" s="23">
        <x:v>0</x:v>
      </x:c>
      <x:c r="L168" s="23">
        <x:v>0</x:v>
      </x:c>
      <x:c r="M168" s="23">
        <x:f>K168-L168</x:f>
      </x:c>
      <x:c r="N168" s="22" t="s">
        <x:v>406</x:v>
      </x:c>
      <x:c r="O168" s="24">
        <x:f>IFERROR(INDEX('تطبیق کل'!$J:$J,MATCH(A168&amp;"",'تطبیق کل'!$A:$A,0))&amp;"","")</x:f>
      </x:c>
      <x:c r="P168" s="24"/>
      <x:c r="Q168" s="24" t="s">
        <x:v>198</x:v>
      </x:c>
      <x:c r="R168" s="25"/>
      <x:c r="S168" s="26"/>
      <x:c r="T168" s="22">
        <x:f>IF(S168="","",IFERROR(INDEX('درخت جدید'!$C:$C,MATCH(S168&amp;"",'درخت جدید'!$B:$B,0)),"—"))</x:f>
      </x:c>
      <x:c r="U168" s="22">
        <x:f>IF(S168="",IF(N168="بله","الزامی — تکمیل نشده",""),IF(AND(O168&lt;&gt;"",LEFT(S168&amp;"",4)&lt;&gt;O168),"زیر کل دیگری است — کل یا معین را اصلاح کنید",IF(COUNTIFS('درخت جدید'!$B:$B,S168&amp;"",'درخت جدید'!$A:$A,"معین")=0,IF(V168="","کد در درخت نیست — نام برای تعریف را بنویسید","OK"),"OK")))</x:f>
      </x:c>
      <x:c r="V168" s="27"/>
      <x:c r="W168" s="28"/>
    </x:row>
    <x:row r="169" spans="1:23">
      <x:c r="A169" s="21" t="s">
        <x:v>53</x:v>
      </x:c>
      <x:c r="B169" s="22" t="s">
        <x:v>64</x:v>
      </x:c>
      <x:c r="C169" s="22" t="s">
        <x:v>54</x:v>
      </x:c>
      <x:c r="D169" s="22" t="s">
        <x:v>454</x:v>
      </x:c>
      <x:c r="E169" s="22" t="s">
        <x:v>195</x:v>
      </x:c>
      <x:c r="F169" s="22" t="s">
        <x:v>195</x:v>
      </x:c>
      <x:c r="G169" s="22" t="s">
        <x:v>196</x:v>
      </x:c>
      <x:c r="H169" s="22">
        <x:v>1</x:v>
      </x:c>
      <x:c r="I169" s="22">
        <x:v>0</x:v>
      </x:c>
      <x:c r="J169" s="22">
        <x:v>0</x:v>
      </x:c>
      <x:c r="K169" s="23">
        <x:v>0</x:v>
      </x:c>
      <x:c r="L169" s="23">
        <x:v>0</x:v>
      </x:c>
      <x:c r="M169" s="23">
        <x:f>K169-L169</x:f>
      </x:c>
      <x:c r="N169" s="22" t="s">
        <x:v>406</x:v>
      </x:c>
      <x:c r="O169" s="24">
        <x:f>IFERROR(INDEX('تطبیق کل'!$J:$J,MATCH(A169&amp;"",'تطبیق کل'!$A:$A,0))&amp;"","")</x:f>
      </x:c>
      <x:c r="P169" s="24"/>
      <x:c r="Q169" s="24" t="s">
        <x:v>198</x:v>
      </x:c>
      <x:c r="R169" s="25"/>
      <x:c r="S169" s="26"/>
      <x:c r="T169" s="22">
        <x:f>IF(S169="","",IFERROR(INDEX('درخت جدید'!$C:$C,MATCH(S169&amp;"",'درخت جدید'!$B:$B,0)),"—"))</x:f>
      </x:c>
      <x:c r="U169" s="22">
        <x:f>IF(S169="",IF(N169="بله","الزامی — تکمیل نشده",""),IF(AND(O169&lt;&gt;"",LEFT(S169&amp;"",4)&lt;&gt;O169),"زیر کل دیگری است — کل یا معین را اصلاح کنید",IF(COUNTIFS('درخت جدید'!$B:$B,S169&amp;"",'درخت جدید'!$A:$A,"معین")=0,IF(V169="","کد در درخت نیست — نام برای تعریف را بنویسید","OK"),"OK")))</x:f>
      </x:c>
      <x:c r="V169" s="27"/>
      <x:c r="W169" s="28"/>
    </x:row>
    <x:row r="170" spans="1:23">
      <x:c r="A170" s="21" t="s">
        <x:v>53</x:v>
      </x:c>
      <x:c r="B170" s="22" t="s">
        <x:v>67</x:v>
      </x:c>
      <x:c r="C170" s="22" t="s">
        <x:v>54</x:v>
      </x:c>
      <x:c r="D170" s="22" t="s">
        <x:v>455</x:v>
      </x:c>
      <x:c r="E170" s="22" t="s">
        <x:v>195</x:v>
      </x:c>
      <x:c r="F170" s="22" t="s">
        <x:v>195</x:v>
      </x:c>
      <x:c r="G170" s="22" t="s">
        <x:v>201</x:v>
      </x:c>
      <x:c r="H170" s="22">
        <x:v>8</x:v>
      </x:c>
      <x:c r="I170" s="22">
        <x:v>0</x:v>
      </x:c>
      <x:c r="J170" s="22">
        <x:v>0</x:v>
      </x:c>
      <x:c r="K170" s="23">
        <x:v>0</x:v>
      </x:c>
      <x:c r="L170" s="23">
        <x:v>0</x:v>
      </x:c>
      <x:c r="M170" s="23">
        <x:f>K170-L170</x:f>
      </x:c>
      <x:c r="N170" s="22" t="s">
        <x:v>406</x:v>
      </x:c>
      <x:c r="O170" s="24">
        <x:f>IFERROR(INDEX('تطبیق کل'!$J:$J,MATCH(A170&amp;"",'تطبیق کل'!$A:$A,0))&amp;"","")</x:f>
      </x:c>
      <x:c r="P170" s="24"/>
      <x:c r="Q170" s="24" t="s">
        <x:v>198</x:v>
      </x:c>
      <x:c r="R170" s="25"/>
      <x:c r="S170" s="26"/>
      <x:c r="T170" s="22">
        <x:f>IF(S170="","",IFERROR(INDEX('درخت جدید'!$C:$C,MATCH(S170&amp;"",'درخت جدید'!$B:$B,0)),"—"))</x:f>
      </x:c>
      <x:c r="U170" s="22">
        <x:f>IF(S170="",IF(N170="بله","الزامی — تکمیل نشده",""),IF(AND(O170&lt;&gt;"",LEFT(S170&amp;"",4)&lt;&gt;O170),"زیر کل دیگری است — کل یا معین را اصلاح کنید",IF(COUNTIFS('درخت جدید'!$B:$B,S170&amp;"",'درخت جدید'!$A:$A,"معین")=0,IF(V170="","کد در درخت نیست — نام برای تعریف را بنویسید","OK"),"OK")))</x:f>
      </x:c>
      <x:c r="V170" s="27"/>
      <x:c r="W170" s="28"/>
    </x:row>
    <x:row r="171" spans="1:23">
      <x:c r="A171" s="21" t="s">
        <x:v>53</x:v>
      </x:c>
      <x:c r="B171" s="22" t="s">
        <x:v>456</x:v>
      </x:c>
      <x:c r="C171" s="22" t="s">
        <x:v>54</x:v>
      </x:c>
      <x:c r="D171" s="22" t="s">
        <x:v>457</x:v>
      </x:c>
      <x:c r="E171" s="22" t="s">
        <x:v>195</x:v>
      </x:c>
      <x:c r="F171" s="22" t="s">
        <x:v>195</x:v>
      </x:c>
      <x:c r="G171" s="22" t="s">
        <x:v>196</x:v>
      </x:c>
      <x:c r="H171" s="22">
        <x:v>1</x:v>
      </x:c>
      <x:c r="I171" s="22">
        <x:v>0</x:v>
      </x:c>
      <x:c r="J171" s="22">
        <x:v>0</x:v>
      </x:c>
      <x:c r="K171" s="23">
        <x:v>0</x:v>
      </x:c>
      <x:c r="L171" s="23">
        <x:v>0</x:v>
      </x:c>
      <x:c r="M171" s="23">
        <x:f>K171-L171</x:f>
      </x:c>
      <x:c r="N171" s="22" t="s">
        <x:v>406</x:v>
      </x:c>
      <x:c r="O171" s="24">
        <x:f>IFERROR(INDEX('تطبیق کل'!$J:$J,MATCH(A171&amp;"",'تطبیق کل'!$A:$A,0))&amp;"","")</x:f>
      </x:c>
      <x:c r="P171" s="24"/>
      <x:c r="Q171" s="24" t="s">
        <x:v>198</x:v>
      </x:c>
      <x:c r="R171" s="25"/>
      <x:c r="S171" s="26"/>
      <x:c r="T171" s="22">
        <x:f>IF(S171="","",IFERROR(INDEX('درخت جدید'!$C:$C,MATCH(S171&amp;"",'درخت جدید'!$B:$B,0)),"—"))</x:f>
      </x:c>
      <x:c r="U171" s="22">
        <x:f>IF(S171="",IF(N171="بله","الزامی — تکمیل نشده",""),IF(AND(O171&lt;&gt;"",LEFT(S171&amp;"",4)&lt;&gt;O171),"زیر کل دیگری است — کل یا معین را اصلاح کنید",IF(COUNTIFS('درخت جدید'!$B:$B,S171&amp;"",'درخت جدید'!$A:$A,"معین")=0,IF(V171="","کد در درخت نیست — نام برای تعریف را بنویسید","OK"),"OK")))</x:f>
      </x:c>
      <x:c r="V171" s="27"/>
      <x:c r="W171" s="28"/>
    </x:row>
    <x:row r="172" spans="1:23">
      <x:c r="A172" s="21" t="s">
        <x:v>53</x:v>
      </x:c>
      <x:c r="B172" s="22" t="s">
        <x:v>202</x:v>
      </x:c>
      <x:c r="C172" s="22" t="s">
        <x:v>54</x:v>
      </x:c>
      <x:c r="D172" s="22" t="s">
        <x:v>458</x:v>
      </x:c>
      <x:c r="E172" s="22" t="s">
        <x:v>195</x:v>
      </x:c>
      <x:c r="F172" s="22" t="s">
        <x:v>195</x:v>
      </x:c>
      <x:c r="G172" s="22" t="s">
        <x:v>201</x:v>
      </x:c>
      <x:c r="H172" s="22">
        <x:v>1</x:v>
      </x:c>
      <x:c r="I172" s="22">
        <x:v>0</x:v>
      </x:c>
      <x:c r="J172" s="22">
        <x:v>0</x:v>
      </x:c>
      <x:c r="K172" s="23">
        <x:v>0</x:v>
      </x:c>
      <x:c r="L172" s="23">
        <x:v>0</x:v>
      </x:c>
      <x:c r="M172" s="23">
        <x:f>K172-L172</x:f>
      </x:c>
      <x:c r="N172" s="22" t="s">
        <x:v>406</x:v>
      </x:c>
      <x:c r="O172" s="24">
        <x:f>IFERROR(INDEX('تطبیق کل'!$J:$J,MATCH(A172&amp;"",'تطبیق کل'!$A:$A,0))&amp;"","")</x:f>
      </x:c>
      <x:c r="P172" s="24"/>
      <x:c r="Q172" s="24" t="s">
        <x:v>198</x:v>
      </x:c>
      <x:c r="R172" s="25"/>
      <x:c r="S172" s="26"/>
      <x:c r="T172" s="22">
        <x:f>IF(S172="","",IFERROR(INDEX('درخت جدید'!$C:$C,MATCH(S172&amp;"",'درخت جدید'!$B:$B,0)),"—"))</x:f>
      </x:c>
      <x:c r="U172" s="22">
        <x:f>IF(S172="",IF(N172="بله","الزامی — تکمیل نشده",""),IF(AND(O172&lt;&gt;"",LEFT(S172&amp;"",4)&lt;&gt;O172),"زیر کل دیگری است — کل یا معین را اصلاح کنید",IF(COUNTIFS('درخت جدید'!$B:$B,S172&amp;"",'درخت جدید'!$A:$A,"معین")=0,IF(V172="","کد در درخت نیست — نام برای تعریف را بنویسید","OK"),"OK")))</x:f>
      </x:c>
      <x:c r="V172" s="27"/>
      <x:c r="W172" s="28"/>
    </x:row>
    <x:row r="173" spans="1:23">
      <x:c r="A173" s="21" t="s">
        <x:v>53</x:v>
      </x:c>
      <x:c r="B173" s="22" t="s">
        <x:v>74</x:v>
      </x:c>
      <x:c r="C173" s="22" t="s">
        <x:v>54</x:v>
      </x:c>
      <x:c r="D173" s="22" t="s">
        <x:v>459</x:v>
      </x:c>
      <x:c r="E173" s="22" t="s">
        <x:v>195</x:v>
      </x:c>
      <x:c r="F173" s="22" t="s">
        <x:v>195</x:v>
      </x:c>
      <x:c r="G173" s="22" t="s">
        <x:v>196</x:v>
      </x:c>
      <x:c r="H173" s="22">
        <x:v>1</x:v>
      </x:c>
      <x:c r="I173" s="22">
        <x:v>0</x:v>
      </x:c>
      <x:c r="J173" s="22">
        <x:v>0</x:v>
      </x:c>
      <x:c r="K173" s="23">
        <x:v>0</x:v>
      </x:c>
      <x:c r="L173" s="23">
        <x:v>0</x:v>
      </x:c>
      <x:c r="M173" s="23">
        <x:f>K173-L173</x:f>
      </x:c>
      <x:c r="N173" s="22" t="s">
        <x:v>406</x:v>
      </x:c>
      <x:c r="O173" s="24">
        <x:f>IFERROR(INDEX('تطبیق کل'!$J:$J,MATCH(A173&amp;"",'تطبیق کل'!$A:$A,0))&amp;"","")</x:f>
      </x:c>
      <x:c r="P173" s="24"/>
      <x:c r="Q173" s="24" t="s">
        <x:v>198</x:v>
      </x:c>
      <x:c r="R173" s="25"/>
      <x:c r="S173" s="26"/>
      <x:c r="T173" s="22">
        <x:f>IF(S173="","",IFERROR(INDEX('درخت جدید'!$C:$C,MATCH(S173&amp;"",'درخت جدید'!$B:$B,0)),"—"))</x:f>
      </x:c>
      <x:c r="U173" s="22">
        <x:f>IF(S173="",IF(N173="بله","الزامی — تکمیل نشده",""),IF(AND(O173&lt;&gt;"",LEFT(S173&amp;"",4)&lt;&gt;O173),"زیر کل دیگری است — کل یا معین را اصلاح کنید",IF(COUNTIFS('درخت جدید'!$B:$B,S173&amp;"",'درخت جدید'!$A:$A,"معین")=0,IF(V173="","کد در درخت نیست — نام برای تعریف را بنویسید","OK"),"OK")))</x:f>
      </x:c>
      <x:c r="V173" s="27"/>
      <x:c r="W173" s="28"/>
    </x:row>
    <x:row r="174" spans="1:23">
      <x:c r="A174" s="21" t="s">
        <x:v>53</x:v>
      </x:c>
      <x:c r="B174" s="22" t="s">
        <x:v>460</x:v>
      </x:c>
      <x:c r="C174" s="22" t="s">
        <x:v>54</x:v>
      </x:c>
      <x:c r="D174" s="22" t="s">
        <x:v>461</x:v>
      </x:c>
      <x:c r="E174" s="22" t="s">
        <x:v>195</x:v>
      </x:c>
      <x:c r="F174" s="22" t="s">
        <x:v>195</x:v>
      </x:c>
      <x:c r="G174" s="22" t="s">
        <x:v>201</x:v>
      </x:c>
      <x:c r="H174" s="22">
        <x:v>1</x:v>
      </x:c>
      <x:c r="I174" s="22">
        <x:v>0</x:v>
      </x:c>
      <x:c r="J174" s="22">
        <x:v>0</x:v>
      </x:c>
      <x:c r="K174" s="23">
        <x:v>0</x:v>
      </x:c>
      <x:c r="L174" s="23">
        <x:v>0</x:v>
      </x:c>
      <x:c r="M174" s="23">
        <x:f>K174-L174</x:f>
      </x:c>
      <x:c r="N174" s="22" t="s">
        <x:v>406</x:v>
      </x:c>
      <x:c r="O174" s="24">
        <x:f>IFERROR(INDEX('تطبیق کل'!$J:$J,MATCH(A174&amp;"",'تطبیق کل'!$A:$A,0))&amp;"","")</x:f>
      </x:c>
      <x:c r="P174" s="24"/>
      <x:c r="Q174" s="24" t="s">
        <x:v>198</x:v>
      </x:c>
      <x:c r="R174" s="25"/>
      <x:c r="S174" s="26"/>
      <x:c r="T174" s="22">
        <x:f>IF(S174="","",IFERROR(INDEX('درخت جدید'!$C:$C,MATCH(S174&amp;"",'درخت جدید'!$B:$B,0)),"—"))</x:f>
      </x:c>
      <x:c r="U174" s="22">
        <x:f>IF(S174="",IF(N174="بله","الزامی — تکمیل نشده",""),IF(AND(O174&lt;&gt;"",LEFT(S174&amp;"",4)&lt;&gt;O174),"زیر کل دیگری است — کل یا معین را اصلاح کنید",IF(COUNTIFS('درخت جدید'!$B:$B,S174&amp;"",'درخت جدید'!$A:$A,"معین")=0,IF(V174="","کد در درخت نیست — نام برای تعریف را بنویسید","OK"),"OK")))</x:f>
      </x:c>
      <x:c r="V174" s="27"/>
      <x:c r="W174" s="28"/>
    </x:row>
    <x:row r="175" spans="1:23">
      <x:c r="A175" s="21" t="s">
        <x:v>53</x:v>
      </x:c>
      <x:c r="B175" s="22" t="s">
        <x:v>462</x:v>
      </x:c>
      <x:c r="C175" s="22" t="s">
        <x:v>54</x:v>
      </x:c>
      <x:c r="D175" s="22" t="s">
        <x:v>463</x:v>
      </x:c>
      <x:c r="E175" s="22" t="s">
        <x:v>195</x:v>
      </x:c>
      <x:c r="F175" s="22" t="s">
        <x:v>195</x:v>
      </x:c>
      <x:c r="G175" s="22" t="s">
        <x:v>201</x:v>
      </x:c>
      <x:c r="H175" s="22">
        <x:v>30</x:v>
      </x:c>
      <x:c r="I175" s="22">
        <x:v>0</x:v>
      </x:c>
      <x:c r="J175" s="22">
        <x:v>0</x:v>
      </x:c>
      <x:c r="K175" s="23">
        <x:v>0</x:v>
      </x:c>
      <x:c r="L175" s="23">
        <x:v>0</x:v>
      </x:c>
      <x:c r="M175" s="23">
        <x:f>K175-L175</x:f>
      </x:c>
      <x:c r="N175" s="22" t="s">
        <x:v>406</x:v>
      </x:c>
      <x:c r="O175" s="24">
        <x:f>IFERROR(INDEX('تطبیق کل'!$J:$J,MATCH(A175&amp;"",'تطبیق کل'!$A:$A,0))&amp;"","")</x:f>
      </x:c>
      <x:c r="P175" s="24"/>
      <x:c r="Q175" s="24" t="s">
        <x:v>198</x:v>
      </x:c>
      <x:c r="R175" s="25"/>
      <x:c r="S175" s="26"/>
      <x:c r="T175" s="22">
        <x:f>IF(S175="","",IFERROR(INDEX('درخت جدید'!$C:$C,MATCH(S175&amp;"",'درخت جدید'!$B:$B,0)),"—"))</x:f>
      </x:c>
      <x:c r="U175" s="22">
        <x:f>IF(S175="",IF(N175="بله","الزامی — تکمیل نشده",""),IF(AND(O175&lt;&gt;"",LEFT(S175&amp;"",4)&lt;&gt;O175),"زیر کل دیگری است — کل یا معین را اصلاح کنید",IF(COUNTIFS('درخت جدید'!$B:$B,S175&amp;"",'درخت جدید'!$A:$A,"معین")=0,IF(V175="","کد در درخت نیست — نام برای تعریف را بنویسید","OK"),"OK")))</x:f>
      </x:c>
      <x:c r="V175" s="27"/>
      <x:c r="W175" s="28"/>
    </x:row>
    <x:row r="176" spans="1:23">
      <x:c r="A176" s="21" t="s">
        <x:v>53</x:v>
      </x:c>
      <x:c r="B176" s="22" t="s">
        <x:v>464</x:v>
      </x:c>
      <x:c r="C176" s="22" t="s">
        <x:v>54</x:v>
      </x:c>
      <x:c r="D176" s="22" t="s">
        <x:v>465</x:v>
      </x:c>
      <x:c r="E176" s="22" t="s">
        <x:v>195</x:v>
      </x:c>
      <x:c r="F176" s="22" t="s">
        <x:v>195</x:v>
      </x:c>
      <x:c r="G176" s="22" t="s">
        <x:v>196</x:v>
      </x:c>
      <x:c r="H176" s="22">
        <x:v>105</x:v>
      </x:c>
      <x:c r="I176" s="22">
        <x:v>0</x:v>
      </x:c>
      <x:c r="J176" s="22">
        <x:v>0</x:v>
      </x:c>
      <x:c r="K176" s="23">
        <x:v>0</x:v>
      </x:c>
      <x:c r="L176" s="23">
        <x:v>0</x:v>
      </x:c>
      <x:c r="M176" s="23">
        <x:f>K176-L176</x:f>
      </x:c>
      <x:c r="N176" s="22" t="s">
        <x:v>406</x:v>
      </x:c>
      <x:c r="O176" s="24">
        <x:f>IFERROR(INDEX('تطبیق کل'!$J:$J,MATCH(A176&amp;"",'تطبیق کل'!$A:$A,0))&amp;"","")</x:f>
      </x:c>
      <x:c r="P176" s="24"/>
      <x:c r="Q176" s="24" t="s">
        <x:v>198</x:v>
      </x:c>
      <x:c r="R176" s="25"/>
      <x:c r="S176" s="26"/>
      <x:c r="T176" s="22">
        <x:f>IF(S176="","",IFERROR(INDEX('درخت جدید'!$C:$C,MATCH(S176&amp;"",'درخت جدید'!$B:$B,0)),"—"))</x:f>
      </x:c>
      <x:c r="U176" s="22">
        <x:f>IF(S176="",IF(N176="بله","الزامی — تکمیل نشده",""),IF(AND(O176&lt;&gt;"",LEFT(S176&amp;"",4)&lt;&gt;O176),"زیر کل دیگری است — کل یا معین را اصلاح کنید",IF(COUNTIFS('درخت جدید'!$B:$B,S176&amp;"",'درخت جدید'!$A:$A,"معین")=0,IF(V176="","کد در درخت نیست — نام برای تعریف را بنویسید","OK"),"OK")))</x:f>
      </x:c>
      <x:c r="V176" s="27"/>
      <x:c r="W176" s="28"/>
    </x:row>
    <x:row r="177" spans="1:23">
      <x:c r="A177" s="21" t="s">
        <x:v>53</x:v>
      </x:c>
      <x:c r="B177" s="22" t="s">
        <x:v>86</x:v>
      </x:c>
      <x:c r="C177" s="22" t="s">
        <x:v>54</x:v>
      </x:c>
      <x:c r="D177" s="22" t="s">
        <x:v>439</x:v>
      </x:c>
      <x:c r="E177" s="22" t="s">
        <x:v>195</x:v>
      </x:c>
      <x:c r="F177" s="22" t="s">
        <x:v>195</x:v>
      </x:c>
      <x:c r="G177" s="22" t="s">
        <x:v>201</x:v>
      </x:c>
      <x:c r="H177" s="22">
        <x:v>2</x:v>
      </x:c>
      <x:c r="I177" s="22">
        <x:v>0</x:v>
      </x:c>
      <x:c r="J177" s="22">
        <x:v>0</x:v>
      </x:c>
      <x:c r="K177" s="23">
        <x:v>0</x:v>
      </x:c>
      <x:c r="L177" s="23">
        <x:v>0</x:v>
      </x:c>
      <x:c r="M177" s="23">
        <x:f>K177-L177</x:f>
      </x:c>
      <x:c r="N177" s="22" t="s">
        <x:v>406</x:v>
      </x:c>
      <x:c r="O177" s="24">
        <x:f>IFERROR(INDEX('تطبیق کل'!$J:$J,MATCH(A177&amp;"",'تطبیق کل'!$A:$A,0))&amp;"","")</x:f>
      </x:c>
      <x:c r="P177" s="24"/>
      <x:c r="Q177" s="24" t="s">
        <x:v>198</x:v>
      </x:c>
      <x:c r="R177" s="25"/>
      <x:c r="S177" s="26"/>
      <x:c r="T177" s="22">
        <x:f>IF(S177="","",IFERROR(INDEX('درخت جدید'!$C:$C,MATCH(S177&amp;"",'درخت جدید'!$B:$B,0)),"—"))</x:f>
      </x:c>
      <x:c r="U177" s="22">
        <x:f>IF(S177="",IF(N177="بله","الزامی — تکمیل نشده",""),IF(AND(O177&lt;&gt;"",LEFT(S177&amp;"",4)&lt;&gt;O177),"زیر کل دیگری است — کل یا معین را اصلاح کنید",IF(COUNTIFS('درخت جدید'!$B:$B,S177&amp;"",'درخت جدید'!$A:$A,"معین")=0,IF(V177="","کد در درخت نیست — نام برای تعریف را بنویسید","OK"),"OK")))</x:f>
      </x:c>
      <x:c r="V177" s="27"/>
      <x:c r="W177" s="28"/>
    </x:row>
    <x:row r="178" spans="1:23">
      <x:c r="A178" s="21" t="s">
        <x:v>53</x:v>
      </x:c>
      <x:c r="B178" s="22" t="s">
        <x:v>116</x:v>
      </x:c>
      <x:c r="C178" s="22" t="s">
        <x:v>54</x:v>
      </x:c>
      <x:c r="D178" s="22" t="s">
        <x:v>466</x:v>
      </x:c>
      <x:c r="E178" s="22" t="s">
        <x:v>195</x:v>
      </x:c>
      <x:c r="F178" s="22" t="s">
        <x:v>195</x:v>
      </x:c>
      <x:c r="G178" s="22" t="s">
        <x:v>201</x:v>
      </x:c>
      <x:c r="H178" s="22">
        <x:v>1</x:v>
      </x:c>
      <x:c r="I178" s="22">
        <x:v>0</x:v>
      </x:c>
      <x:c r="J178" s="22">
        <x:v>0</x:v>
      </x:c>
      <x:c r="K178" s="23">
        <x:v>0</x:v>
      </x:c>
      <x:c r="L178" s="23">
        <x:v>0</x:v>
      </x:c>
      <x:c r="M178" s="23">
        <x:f>K178-L178</x:f>
      </x:c>
      <x:c r="N178" s="22" t="s">
        <x:v>406</x:v>
      </x:c>
      <x:c r="O178" s="24">
        <x:f>IFERROR(INDEX('تطبیق کل'!$J:$J,MATCH(A178&amp;"",'تطبیق کل'!$A:$A,0))&amp;"","")</x:f>
      </x:c>
      <x:c r="P178" s="24"/>
      <x:c r="Q178" s="24" t="s">
        <x:v>198</x:v>
      </x:c>
      <x:c r="R178" s="25"/>
      <x:c r="S178" s="26"/>
      <x:c r="T178" s="22">
        <x:f>IF(S178="","",IFERROR(INDEX('درخت جدید'!$C:$C,MATCH(S178&amp;"",'درخت جدید'!$B:$B,0)),"—"))</x:f>
      </x:c>
      <x:c r="U178" s="22">
        <x:f>IF(S178="",IF(N178="بله","الزامی — تکمیل نشده",""),IF(AND(O178&lt;&gt;"",LEFT(S178&amp;"",4)&lt;&gt;O178),"زیر کل دیگری است — کل یا معین را اصلاح کنید",IF(COUNTIFS('درخت جدید'!$B:$B,S178&amp;"",'درخت جدید'!$A:$A,"معین")=0,IF(V178="","کد در درخت نیست — نام برای تعریف را بنویسید","OK"),"OK")))</x:f>
      </x:c>
      <x:c r="V178" s="27"/>
      <x:c r="W178" s="28"/>
    </x:row>
    <x:row r="179" spans="1:23">
      <x:c r="A179" s="21" t="s">
        <x:v>53</x:v>
      </x:c>
      <x:c r="B179" s="22" t="s">
        <x:v>167</x:v>
      </x:c>
      <x:c r="C179" s="22" t="s">
        <x:v>54</x:v>
      </x:c>
      <x:c r="D179" s="22" t="s">
        <x:v>467</x:v>
      </x:c>
      <x:c r="E179" s="22" t="s">
        <x:v>195</x:v>
      </x:c>
      <x:c r="F179" s="22" t="s">
        <x:v>195</x:v>
      </x:c>
      <x:c r="G179" s="22" t="s">
        <x:v>201</x:v>
      </x:c>
      <x:c r="H179" s="22">
        <x:v>1</x:v>
      </x:c>
      <x:c r="I179" s="22">
        <x:v>0</x:v>
      </x:c>
      <x:c r="J179" s="22">
        <x:v>0</x:v>
      </x:c>
      <x:c r="K179" s="23">
        <x:v>0</x:v>
      </x:c>
      <x:c r="L179" s="23">
        <x:v>0</x:v>
      </x:c>
      <x:c r="M179" s="23">
        <x:f>K179-L179</x:f>
      </x:c>
      <x:c r="N179" s="22" t="s">
        <x:v>406</x:v>
      </x:c>
      <x:c r="O179" s="24">
        <x:f>IFERROR(INDEX('تطبیق کل'!$J:$J,MATCH(A179&amp;"",'تطبیق کل'!$A:$A,0))&amp;"","")</x:f>
      </x:c>
      <x:c r="P179" s="24"/>
      <x:c r="Q179" s="24" t="s">
        <x:v>198</x:v>
      </x:c>
      <x:c r="R179" s="25"/>
      <x:c r="S179" s="26"/>
      <x:c r="T179" s="22">
        <x:f>IF(S179="","",IFERROR(INDEX('درخت جدید'!$C:$C,MATCH(S179&amp;"",'درخت جدید'!$B:$B,0)),"—"))</x:f>
      </x:c>
      <x:c r="U179" s="22">
        <x:f>IF(S179="",IF(N179="بله","الزامی — تکمیل نشده",""),IF(AND(O179&lt;&gt;"",LEFT(S179&amp;"",4)&lt;&gt;O179),"زیر کل دیگری است — کل یا معین را اصلاح کنید",IF(COUNTIFS('درخت جدید'!$B:$B,S179&amp;"",'درخت جدید'!$A:$A,"معین")=0,IF(V179="","کد در درخت نیست — نام برای تعریف را بنویسید","OK"),"OK")))</x:f>
      </x:c>
      <x:c r="V179" s="27"/>
      <x:c r="W179" s="28"/>
    </x:row>
    <x:row r="180" spans="1:23">
      <x:c r="A180" s="21" t="s">
        <x:v>56</x:v>
      </x:c>
      <x:c r="B180" s="22" t="s">
        <x:v>204</x:v>
      </x:c>
      <x:c r="C180" s="22" t="s">
        <x:v>57</x:v>
      </x:c>
      <x:c r="D180" s="22" t="s">
        <x:v>468</x:v>
      </x:c>
      <x:c r="E180" s="22" t="s">
        <x:v>195</x:v>
      </x:c>
      <x:c r="F180" s="22" t="s">
        <x:v>195</x:v>
      </x:c>
      <x:c r="G180" s="22" t="s">
        <x:v>201</x:v>
      </x:c>
      <x:c r="H180" s="22">
        <x:v>1</x:v>
      </x:c>
      <x:c r="I180" s="22">
        <x:v>0</x:v>
      </x:c>
      <x:c r="J180" s="22">
        <x:v>0</x:v>
      </x:c>
      <x:c r="K180" s="23">
        <x:v>0</x:v>
      </x:c>
      <x:c r="L180" s="23">
        <x:v>0</x:v>
      </x:c>
      <x:c r="M180" s="23">
        <x:f>K180-L180</x:f>
      </x:c>
      <x:c r="N180" s="22" t="s">
        <x:v>406</x:v>
      </x:c>
      <x:c r="O180" s="24">
        <x:f>IFERROR(INDEX('تطبیق کل'!$J:$J,MATCH(A180&amp;"",'تطبیق کل'!$A:$A,0))&amp;"","")</x:f>
      </x:c>
      <x:c r="P180" s="24"/>
      <x:c r="Q180" s="24" t="s">
        <x:v>198</x:v>
      </x:c>
      <x:c r="R180" s="25"/>
      <x:c r="S180" s="26"/>
      <x:c r="T180" s="22">
        <x:f>IF(S180="","",IFERROR(INDEX('درخت جدید'!$C:$C,MATCH(S180&amp;"",'درخت جدید'!$B:$B,0)),"—"))</x:f>
      </x:c>
      <x:c r="U180" s="22">
        <x:f>IF(S180="",IF(N180="بله","الزامی — تکمیل نشده",""),IF(AND(O180&lt;&gt;"",LEFT(S180&amp;"",4)&lt;&gt;O180),"زیر کل دیگری است — کل یا معین را اصلاح کنید",IF(COUNTIFS('درخت جدید'!$B:$B,S180&amp;"",'درخت جدید'!$A:$A,"معین")=0,IF(V180="","کد در درخت نیست — نام برای تعریف را بنویسید","OK"),"OK")))</x:f>
      </x:c>
      <x:c r="V180" s="27"/>
      <x:c r="W180" s="28"/>
    </x:row>
    <x:row r="181" spans="1:23">
      <x:c r="A181" s="21" t="s">
        <x:v>56</x:v>
      </x:c>
      <x:c r="B181" s="22" t="s">
        <x:v>199</x:v>
      </x:c>
      <x:c r="C181" s="22" t="s">
        <x:v>57</x:v>
      </x:c>
      <x:c r="D181" s="22" t="s">
        <x:v>469</x:v>
      </x:c>
      <x:c r="E181" s="22" t="s">
        <x:v>195</x:v>
      </x:c>
      <x:c r="F181" s="22" t="s">
        <x:v>195</x:v>
      </x:c>
      <x:c r="G181" s="22" t="s">
        <x:v>201</x:v>
      </x:c>
      <x:c r="H181" s="22">
        <x:v>1</x:v>
      </x:c>
      <x:c r="I181" s="22">
        <x:v>0</x:v>
      </x:c>
      <x:c r="J181" s="22">
        <x:v>0</x:v>
      </x:c>
      <x:c r="K181" s="23">
        <x:v>0</x:v>
      </x:c>
      <x:c r="L181" s="23">
        <x:v>0</x:v>
      </x:c>
      <x:c r="M181" s="23">
        <x:f>K181-L181</x:f>
      </x:c>
      <x:c r="N181" s="22" t="s">
        <x:v>406</x:v>
      </x:c>
      <x:c r="O181" s="24">
        <x:f>IFERROR(INDEX('تطبیق کل'!$J:$J,MATCH(A181&amp;"",'تطبیق کل'!$A:$A,0))&amp;"","")</x:f>
      </x:c>
      <x:c r="P181" s="24" t="s">
        <x:v>470</x:v>
      </x:c>
      <x:c r="Q181" s="24" t="s">
        <x:v>57</x:v>
      </x:c>
      <x:c r="R181" s="25">
        <x:v>0.62</x:v>
      </x:c>
      <x:c r="S181" s="26"/>
      <x:c r="T181" s="22">
        <x:f>IF(S181="","",IFERROR(INDEX('درخت جدید'!$C:$C,MATCH(S181&amp;"",'درخت جدید'!$B:$B,0)),"—"))</x:f>
      </x:c>
      <x:c r="U181" s="22">
        <x:f>IF(S181="",IF(N181="بله","الزامی — تکمیل نشده",""),IF(AND(O181&lt;&gt;"",LEFT(S181&amp;"",4)&lt;&gt;O181),"زیر کل دیگری است — کل یا معین را اصلاح کنید",IF(COUNTIFS('درخت جدید'!$B:$B,S181&amp;"",'درخت جدید'!$A:$A,"معین")=0,IF(V181="","کد در درخت نیست — نام برای تعریف را بنویسید","OK"),"OK")))</x:f>
      </x:c>
      <x:c r="V181" s="27"/>
      <x:c r="W181" s="28"/>
    </x:row>
    <x:row r="182" spans="1:23">
      <x:c r="A182" s="21" t="s">
        <x:v>56</x:v>
      </x:c>
      <x:c r="B182" s="22" t="s">
        <x:v>207</x:v>
      </x:c>
      <x:c r="C182" s="22" t="s">
        <x:v>57</x:v>
      </x:c>
      <x:c r="D182" s="22" t="s">
        <x:v>471</x:v>
      </x:c>
      <x:c r="E182" s="22" t="s">
        <x:v>195</x:v>
      </x:c>
      <x:c r="F182" s="22" t="s">
        <x:v>195</x:v>
      </x:c>
      <x:c r="G182" s="22" t="s">
        <x:v>201</x:v>
      </x:c>
      <x:c r="H182" s="22">
        <x:v>2</x:v>
      </x:c>
      <x:c r="I182" s="22">
        <x:v>0</x:v>
      </x:c>
      <x:c r="J182" s="22">
        <x:v>0</x:v>
      </x:c>
      <x:c r="K182" s="23">
        <x:v>0</x:v>
      </x:c>
      <x:c r="L182" s="23">
        <x:v>0</x:v>
      </x:c>
      <x:c r="M182" s="23">
        <x:f>K182-L182</x:f>
      </x:c>
      <x:c r="N182" s="22" t="s">
        <x:v>406</x:v>
      </x:c>
      <x:c r="O182" s="24">
        <x:f>IFERROR(INDEX('تطبیق کل'!$J:$J,MATCH(A182&amp;"",'تطبیق کل'!$A:$A,0))&amp;"","")</x:f>
      </x:c>
      <x:c r="P182" s="24" t="s">
        <x:v>470</x:v>
      </x:c>
      <x:c r="Q182" s="24" t="s">
        <x:v>57</x:v>
      </x:c>
      <x:c r="R182" s="25">
        <x:v>0.67</x:v>
      </x:c>
      <x:c r="S182" s="26"/>
      <x:c r="T182" s="22">
        <x:f>IF(S182="","",IFERROR(INDEX('درخت جدید'!$C:$C,MATCH(S182&amp;"",'درخت جدید'!$B:$B,0)),"—"))</x:f>
      </x:c>
      <x:c r="U182" s="22">
        <x:f>IF(S182="",IF(N182="بله","الزامی — تکمیل نشده",""),IF(AND(O182&lt;&gt;"",LEFT(S182&amp;"",4)&lt;&gt;O182),"زیر کل دیگری است — کل یا معین را اصلاح کنید",IF(COUNTIFS('درخت جدید'!$B:$B,S182&amp;"",'درخت جدید'!$A:$A,"معین")=0,IF(V182="","کد در درخت نیست — نام برای تعریف را بنویسید","OK"),"OK")))</x:f>
      </x:c>
      <x:c r="V182" s="27"/>
      <x:c r="W182" s="28"/>
    </x:row>
    <x:row r="183" spans="1:23">
      <x:c r="A183" s="21" t="s">
        <x:v>60</x:v>
      </x:c>
      <x:c r="B183" s="22" t="s">
        <x:v>199</x:v>
      </x:c>
      <x:c r="C183" s="22" t="s">
        <x:v>61</x:v>
      </x:c>
      <x:c r="D183" s="22" t="s">
        <x:v>472</x:v>
      </x:c>
      <x:c r="E183" s="22" t="s">
        <x:v>195</x:v>
      </x:c>
      <x:c r="F183" s="22" t="s">
        <x:v>195</x:v>
      </x:c>
      <x:c r="G183" s="22" t="s">
        <x:v>201</x:v>
      </x:c>
      <x:c r="H183" s="22">
        <x:v>3</x:v>
      </x:c>
      <x:c r="I183" s="22">
        <x:v>0</x:v>
      </x:c>
      <x:c r="J183" s="22">
        <x:v>0</x:v>
      </x:c>
      <x:c r="K183" s="23">
        <x:v>0</x:v>
      </x:c>
      <x:c r="L183" s="23">
        <x:v>0</x:v>
      </x:c>
      <x:c r="M183" s="23">
        <x:f>K183-L183</x:f>
      </x:c>
      <x:c r="N183" s="22" t="s">
        <x:v>406</x:v>
      </x:c>
      <x:c r="O183" s="24">
        <x:f>IFERROR(INDEX('تطبیق کل'!$J:$J,MATCH(A183&amp;"",'تطبیق کل'!$A:$A,0))&amp;"","")</x:f>
      </x:c>
      <x:c r="P183" s="24"/>
      <x:c r="Q183" s="24" t="s">
        <x:v>198</x:v>
      </x:c>
      <x:c r="R183" s="25"/>
      <x:c r="S183" s="26"/>
      <x:c r="T183" s="22">
        <x:f>IF(S183="","",IFERROR(INDEX('درخت جدید'!$C:$C,MATCH(S183&amp;"",'درخت جدید'!$B:$B,0)),"—"))</x:f>
      </x:c>
      <x:c r="U183" s="22">
        <x:f>IF(S183="",IF(N183="بله","الزامی — تکمیل نشده",""),IF(AND(O183&lt;&gt;"",LEFT(S183&amp;"",4)&lt;&gt;O183),"زیر کل دیگری است — کل یا معین را اصلاح کنید",IF(COUNTIFS('درخت جدید'!$B:$B,S183&amp;"",'درخت جدید'!$A:$A,"معین")=0,IF(V183="","کد در درخت نیست — نام برای تعریف را بنویسید","OK"),"OK")))</x:f>
      </x:c>
      <x:c r="V183" s="27"/>
      <x:c r="W183" s="28"/>
    </x:row>
    <x:row r="184" spans="1:23">
      <x:c r="A184" s="21" t="s">
        <x:v>60</x:v>
      </x:c>
      <x:c r="B184" s="22" t="s">
        <x:v>207</x:v>
      </x:c>
      <x:c r="C184" s="22" t="s">
        <x:v>61</x:v>
      </x:c>
      <x:c r="D184" s="22" t="s">
        <x:v>473</x:v>
      </x:c>
      <x:c r="E184" s="22" t="s">
        <x:v>195</x:v>
      </x:c>
      <x:c r="F184" s="22" t="s">
        <x:v>195</x:v>
      </x:c>
      <x:c r="G184" s="22" t="s">
        <x:v>201</x:v>
      </x:c>
      <x:c r="H184" s="22">
        <x:v>1</x:v>
      </x:c>
      <x:c r="I184" s="22">
        <x:v>0</x:v>
      </x:c>
      <x:c r="J184" s="22">
        <x:v>0</x:v>
      </x:c>
      <x:c r="K184" s="23">
        <x:v>0</x:v>
      </x:c>
      <x:c r="L184" s="23">
        <x:v>0</x:v>
      </x:c>
      <x:c r="M184" s="23">
        <x:f>K184-L184</x:f>
      </x:c>
      <x:c r="N184" s="22" t="s">
        <x:v>406</x:v>
      </x:c>
      <x:c r="O184" s="24">
        <x:f>IFERROR(INDEX('تطبیق کل'!$J:$J,MATCH(A184&amp;"",'تطبیق کل'!$A:$A,0))&amp;"","")</x:f>
      </x:c>
      <x:c r="P184" s="24" t="s">
        <x:v>470</x:v>
      </x:c>
      <x:c r="Q184" s="24" t="s">
        <x:v>57</x:v>
      </x:c>
      <x:c r="R184" s="25">
        <x:v>0.62</x:v>
      </x:c>
      <x:c r="S184" s="26"/>
      <x:c r="T184" s="22">
        <x:f>IF(S184="","",IFERROR(INDEX('درخت جدید'!$C:$C,MATCH(S184&amp;"",'درخت جدید'!$B:$B,0)),"—"))</x:f>
      </x:c>
      <x:c r="U184" s="22">
        <x:f>IF(S184="",IF(N184="بله","الزامی — تکمیل نشده",""),IF(AND(O184&lt;&gt;"",LEFT(S184&amp;"",4)&lt;&gt;O184),"زیر کل دیگری است — کل یا معین را اصلاح کنید",IF(COUNTIFS('درخت جدید'!$B:$B,S184&amp;"",'درخت جدید'!$A:$A,"معین")=0,IF(V184="","کد در درخت نیست — نام برای تعریف را بنویسید","OK"),"OK")))</x:f>
      </x:c>
      <x:c r="V184" s="27"/>
      <x:c r="W184" s="28"/>
    </x:row>
    <x:row r="185" spans="1:23">
      <x:c r="A185" s="21" t="s">
        <x:v>60</x:v>
      </x:c>
      <x:c r="B185" s="22" t="s">
        <x:v>60</x:v>
      </x:c>
      <x:c r="C185" s="22" t="s">
        <x:v>61</x:v>
      </x:c>
      <x:c r="D185" s="22" t="s">
        <x:v>471</x:v>
      </x:c>
      <x:c r="E185" s="22" t="s">
        <x:v>195</x:v>
      </x:c>
      <x:c r="F185" s="22" t="s">
        <x:v>195</x:v>
      </x:c>
      <x:c r="G185" s="22" t="s">
        <x:v>201</x:v>
      </x:c>
      <x:c r="H185" s="22">
        <x:v>2</x:v>
      </x:c>
      <x:c r="I185" s="22">
        <x:v>0</x:v>
      </x:c>
      <x:c r="J185" s="22">
        <x:v>0</x:v>
      </x:c>
      <x:c r="K185" s="23">
        <x:v>0</x:v>
      </x:c>
      <x:c r="L185" s="23">
        <x:v>0</x:v>
      </x:c>
      <x:c r="M185" s="23">
        <x:f>K185-L185</x:f>
      </x:c>
      <x:c r="N185" s="22" t="s">
        <x:v>406</x:v>
      </x:c>
      <x:c r="O185" s="24">
        <x:f>IFERROR(INDEX('تطبیق کل'!$J:$J,MATCH(A185&amp;"",'تطبیق کل'!$A:$A,0))&amp;"","")</x:f>
      </x:c>
      <x:c r="P185" s="24" t="s">
        <x:v>470</x:v>
      </x:c>
      <x:c r="Q185" s="24" t="s">
        <x:v>57</x:v>
      </x:c>
      <x:c r="R185" s="25">
        <x:v>0.67</x:v>
      </x:c>
      <x:c r="S185" s="26"/>
      <x:c r="T185" s="22">
        <x:f>IF(S185="","",IFERROR(INDEX('درخت جدید'!$C:$C,MATCH(S185&amp;"",'درخت جدید'!$B:$B,0)),"—"))</x:f>
      </x:c>
      <x:c r="U185" s="22">
        <x:f>IF(S185="",IF(N185="بله","الزامی — تکمیل نشده",""),IF(AND(O185&lt;&gt;"",LEFT(S185&amp;"",4)&lt;&gt;O185),"زیر کل دیگری است — کل یا معین را اصلاح کنید",IF(COUNTIFS('درخت جدید'!$B:$B,S185&amp;"",'درخت جدید'!$A:$A,"معین")=0,IF(V185="","کد در درخت نیست — نام برای تعریف را بنویسید","OK"),"OK")))</x:f>
      </x:c>
      <x:c r="V185" s="27"/>
      <x:c r="W185" s="28"/>
    </x:row>
    <x:row r="186" spans="1:23">
      <x:c r="A186" s="21" t="s">
        <x:v>60</x:v>
      </x:c>
      <x:c r="B186" s="22" t="s">
        <x:v>202</x:v>
      </x:c>
      <x:c r="C186" s="22" t="s">
        <x:v>61</x:v>
      </x:c>
      <x:c r="D186" s="22" t="s">
        <x:v>474</x:v>
      </x:c>
      <x:c r="E186" s="22" t="s">
        <x:v>195</x:v>
      </x:c>
      <x:c r="F186" s="22" t="s">
        <x:v>195</x:v>
      </x:c>
      <x:c r="G186" s="22" t="s">
        <x:v>196</x:v>
      </x:c>
      <x:c r="H186" s="22">
        <x:v>2</x:v>
      </x:c>
      <x:c r="I186" s="22">
        <x:v>0</x:v>
      </x:c>
      <x:c r="J186" s="22">
        <x:v>0</x:v>
      </x:c>
      <x:c r="K186" s="23">
        <x:v>0</x:v>
      </x:c>
      <x:c r="L186" s="23">
        <x:v>0</x:v>
      </x:c>
      <x:c r="M186" s="23">
        <x:f>K186-L186</x:f>
      </x:c>
      <x:c r="N186" s="22" t="s">
        <x:v>406</x:v>
      </x:c>
      <x:c r="O186" s="24">
        <x:f>IFERROR(INDEX('تطبیق کل'!$J:$J,MATCH(A186&amp;"",'تطبیق کل'!$A:$A,0))&amp;"","")</x:f>
      </x:c>
      <x:c r="P186" s="24"/>
      <x:c r="Q186" s="24" t="s">
        <x:v>198</x:v>
      </x:c>
      <x:c r="R186" s="25"/>
      <x:c r="S186" s="26"/>
      <x:c r="T186" s="22">
        <x:f>IF(S186="","",IFERROR(INDEX('درخت جدید'!$C:$C,MATCH(S186&amp;"",'درخت جدید'!$B:$B,0)),"—"))</x:f>
      </x:c>
      <x:c r="U186" s="22">
        <x:f>IF(S186="",IF(N186="بله","الزامی — تکمیل نشده",""),IF(AND(O186&lt;&gt;"",LEFT(S186&amp;"",4)&lt;&gt;O186),"زیر کل دیگری است — کل یا معین را اصلاح کنید",IF(COUNTIFS('درخت جدید'!$B:$B,S186&amp;"",'درخت جدید'!$A:$A,"معین")=0,IF(V186="","کد در درخت نیست — نام برای تعریف را بنویسید","OK"),"OK")))</x:f>
      </x:c>
      <x:c r="V186" s="27"/>
      <x:c r="W186" s="28"/>
    </x:row>
    <x:row r="187" spans="1:23">
      <x:c r="A187" s="21" t="s">
        <x:v>64</x:v>
      </x:c>
      <x:c r="B187" s="22" t="s">
        <x:v>292</x:v>
      </x:c>
      <x:c r="C187" s="22" t="s">
        <x:v>65</x:v>
      </x:c>
      <x:c r="D187" s="22" t="s">
        <x:v>475</x:v>
      </x:c>
      <x:c r="E187" s="22" t="s">
        <x:v>195</x:v>
      </x:c>
      <x:c r="F187" s="22" t="s">
        <x:v>195</x:v>
      </x:c>
      <x:c r="G187" s="22" t="s">
        <x:v>201</x:v>
      </x:c>
      <x:c r="H187" s="22">
        <x:v>1</x:v>
      </x:c>
      <x:c r="I187" s="22">
        <x:v>0</x:v>
      </x:c>
      <x:c r="J187" s="22">
        <x:v>0</x:v>
      </x:c>
      <x:c r="K187" s="23">
        <x:v>0</x:v>
      </x:c>
      <x:c r="L187" s="23">
        <x:v>0</x:v>
      </x:c>
      <x:c r="M187" s="23">
        <x:f>K187-L187</x:f>
      </x:c>
      <x:c r="N187" s="22" t="s">
        <x:v>406</x:v>
      </x:c>
      <x:c r="O187" s="24">
        <x:f>IFERROR(INDEX('تطبیق کل'!$J:$J,MATCH(A187&amp;"",'تطبیق کل'!$A:$A,0))&amp;"","")</x:f>
      </x:c>
      <x:c r="P187" s="24"/>
      <x:c r="Q187" s="24" t="s">
        <x:v>198</x:v>
      </x:c>
      <x:c r="R187" s="25"/>
      <x:c r="S187" s="26"/>
      <x:c r="T187" s="22">
        <x:f>IF(S187="","",IFERROR(INDEX('درخت جدید'!$C:$C,MATCH(S187&amp;"",'درخت جدید'!$B:$B,0)),"—"))</x:f>
      </x:c>
      <x:c r="U187" s="22">
        <x:f>IF(S187="",IF(N187="بله","الزامی — تکمیل نشده",""),IF(AND(O187&lt;&gt;"",LEFT(S187&amp;"",4)&lt;&gt;O187),"زیر کل دیگری است — کل یا معین را اصلاح کنید",IF(COUNTIFS('درخت جدید'!$B:$B,S187&amp;"",'درخت جدید'!$A:$A,"معین")=0,IF(V187="","کد در درخت نیست — نام برای تعریف را بنویسید","OK"),"OK")))</x:f>
      </x:c>
      <x:c r="V187" s="27"/>
      <x:c r="W187" s="28"/>
    </x:row>
    <x:row r="188" spans="1:23">
      <x:c r="A188" s="21" t="s">
        <x:v>64</x:v>
      </x:c>
      <x:c r="B188" s="22" t="s">
        <x:v>207</x:v>
      </x:c>
      <x:c r="C188" s="22" t="s">
        <x:v>65</x:v>
      </x:c>
      <x:c r="D188" s="22" t="s">
        <x:v>476</x:v>
      </x:c>
      <x:c r="E188" s="22" t="s">
        <x:v>195</x:v>
      </x:c>
      <x:c r="F188" s="22" t="s">
        <x:v>195</x:v>
      </x:c>
      <x:c r="G188" s="22" t="s">
        <x:v>201</x:v>
      </x:c>
      <x:c r="H188" s="22">
        <x:v>1</x:v>
      </x:c>
      <x:c r="I188" s="22">
        <x:v>0</x:v>
      </x:c>
      <x:c r="J188" s="22">
        <x:v>0</x:v>
      </x:c>
      <x:c r="K188" s="23">
        <x:v>0</x:v>
      </x:c>
      <x:c r="L188" s="23">
        <x:v>0</x:v>
      </x:c>
      <x:c r="M188" s="23">
        <x:f>K188-L188</x:f>
      </x:c>
      <x:c r="N188" s="22" t="s">
        <x:v>406</x:v>
      </x:c>
      <x:c r="O188" s="24">
        <x:f>IFERROR(INDEX('تطبیق کل'!$J:$J,MATCH(A188&amp;"",'تطبیق کل'!$A:$A,0))&amp;"","")</x:f>
      </x:c>
      <x:c r="P188" s="24"/>
      <x:c r="Q188" s="24" t="s">
        <x:v>198</x:v>
      </x:c>
      <x:c r="R188" s="25"/>
      <x:c r="S188" s="26"/>
      <x:c r="T188" s="22">
        <x:f>IF(S188="","",IFERROR(INDEX('درخت جدید'!$C:$C,MATCH(S188&amp;"",'درخت جدید'!$B:$B,0)),"—"))</x:f>
      </x:c>
      <x:c r="U188" s="22">
        <x:f>IF(S188="",IF(N188="بله","الزامی — تکمیل نشده",""),IF(AND(O188&lt;&gt;"",LEFT(S188&amp;"",4)&lt;&gt;O188),"زیر کل دیگری است — کل یا معین را اصلاح کنید",IF(COUNTIFS('درخت جدید'!$B:$B,S188&amp;"",'درخت جدید'!$A:$A,"معین")=0,IF(V188="","کد در درخت نیست — نام برای تعریف را بنویسید","OK"),"OK")))</x:f>
      </x:c>
      <x:c r="V188" s="27"/>
      <x:c r="W188" s="28"/>
    </x:row>
    <x:row r="189" spans="1:23">
      <x:c r="A189" s="21" t="s">
        <x:v>64</x:v>
      </x:c>
      <x:c r="B189" s="22" t="s">
        <x:v>64</x:v>
      </x:c>
      <x:c r="C189" s="22" t="s">
        <x:v>65</x:v>
      </x:c>
      <x:c r="D189" s="22" t="s">
        <x:v>477</x:v>
      </x:c>
      <x:c r="E189" s="22" t="s">
        <x:v>195</x:v>
      </x:c>
      <x:c r="F189" s="22" t="s">
        <x:v>195</x:v>
      </x:c>
      <x:c r="G189" s="22" t="s">
        <x:v>201</x:v>
      </x:c>
      <x:c r="H189" s="22">
        <x:v>1</x:v>
      </x:c>
      <x:c r="I189" s="22">
        <x:v>0</x:v>
      </x:c>
      <x:c r="J189" s="22">
        <x:v>0</x:v>
      </x:c>
      <x:c r="K189" s="23">
        <x:v>0</x:v>
      </x:c>
      <x:c r="L189" s="23">
        <x:v>0</x:v>
      </x:c>
      <x:c r="M189" s="23">
        <x:f>K189-L189</x:f>
      </x:c>
      <x:c r="N189" s="22" t="s">
        <x:v>406</x:v>
      </x:c>
      <x:c r="O189" s="24">
        <x:f>IFERROR(INDEX('تطبیق کل'!$J:$J,MATCH(A189&amp;"",'تطبیق کل'!$A:$A,0))&amp;"","")</x:f>
      </x:c>
      <x:c r="P189" s="24" t="s">
        <x:v>243</x:v>
      </x:c>
      <x:c r="Q189" s="24" t="s">
        <x:v>244</x:v>
      </x:c>
      <x:c r="R189" s="25">
        <x:v>0.4</x:v>
      </x:c>
      <x:c r="S189" s="26"/>
      <x:c r="T189" s="22">
        <x:f>IF(S189="","",IFERROR(INDEX('درخت جدید'!$C:$C,MATCH(S189&amp;"",'درخت جدید'!$B:$B,0)),"—"))</x:f>
      </x:c>
      <x:c r="U189" s="22">
        <x:f>IF(S189="",IF(N189="بله","الزامی — تکمیل نشده",""),IF(AND(O189&lt;&gt;"",LEFT(S189&amp;"",4)&lt;&gt;O189),"زیر کل دیگری است — کل یا معین را اصلاح کنید",IF(COUNTIFS('درخت جدید'!$B:$B,S189&amp;"",'درخت جدید'!$A:$A,"معین")=0,IF(V189="","کد در درخت نیست — نام برای تعریف را بنویسید","OK"),"OK")))</x:f>
      </x:c>
      <x:c r="V189" s="27"/>
      <x:c r="W189" s="28"/>
    </x:row>
    <x:row r="190" spans="1:23">
      <x:c r="A190" s="21" t="s">
        <x:v>64</x:v>
      </x:c>
      <x:c r="B190" s="22" t="s">
        <x:v>209</x:v>
      </x:c>
      <x:c r="C190" s="22" t="s">
        <x:v>65</x:v>
      </x:c>
      <x:c r="D190" s="22" t="s">
        <x:v>478</x:v>
      </x:c>
      <x:c r="E190" s="22" t="s">
        <x:v>195</x:v>
      </x:c>
      <x:c r="F190" s="22" t="s">
        <x:v>195</x:v>
      </x:c>
      <x:c r="G190" s="22" t="s">
        <x:v>201</x:v>
      </x:c>
      <x:c r="H190" s="22">
        <x:v>1</x:v>
      </x:c>
      <x:c r="I190" s="22">
        <x:v>0</x:v>
      </x:c>
      <x:c r="J190" s="22">
        <x:v>0</x:v>
      </x:c>
      <x:c r="K190" s="23">
        <x:v>0</x:v>
      </x:c>
      <x:c r="L190" s="23">
        <x:v>0</x:v>
      </x:c>
      <x:c r="M190" s="23">
        <x:f>K190-L190</x:f>
      </x:c>
      <x:c r="N190" s="22" t="s">
        <x:v>406</x:v>
      </x:c>
      <x:c r="O190" s="24">
        <x:f>IFERROR(INDEX('تطبیق کل'!$J:$J,MATCH(A190&amp;"",'تطبیق کل'!$A:$A,0))&amp;"","")</x:f>
      </x:c>
      <x:c r="P190" s="24"/>
      <x:c r="Q190" s="24" t="s">
        <x:v>198</x:v>
      </x:c>
      <x:c r="R190" s="25"/>
      <x:c r="S190" s="26"/>
      <x:c r="T190" s="22">
        <x:f>IF(S190="","",IFERROR(INDEX('درخت جدید'!$C:$C,MATCH(S190&amp;"",'درخت جدید'!$B:$B,0)),"—"))</x:f>
      </x:c>
      <x:c r="U190" s="22">
        <x:f>IF(S190="",IF(N190="بله","الزامی — تکمیل نشده",""),IF(AND(O190&lt;&gt;"",LEFT(S190&amp;"",4)&lt;&gt;O190),"زیر کل دیگری است — کل یا معین را اصلاح کنید",IF(COUNTIFS('درخت جدید'!$B:$B,S190&amp;"",'درخت جدید'!$A:$A,"معین")=0,IF(V190="","کد در درخت نیست — نام برای تعریف را بنویسید","OK"),"OK")))</x:f>
      </x:c>
      <x:c r="V190" s="27"/>
      <x:c r="W190" s="28"/>
    </x:row>
    <x:row r="191" spans="1:23">
      <x:c r="A191" s="21" t="s">
        <x:v>71</x:v>
      </x:c>
      <x:c r="B191" s="22" t="s">
        <x:v>306</x:v>
      </x:c>
      <x:c r="C191" s="22" t="s">
        <x:v>72</x:v>
      </x:c>
      <x:c r="D191" s="22" t="s">
        <x:v>479</x:v>
      </x:c>
      <x:c r="E191" s="22" t="s">
        <x:v>196</x:v>
      </x:c>
      <x:c r="F191" s="22" t="s">
        <x:v>195</x:v>
      </x:c>
      <x:c r="G191" s="22" t="s">
        <x:v>201</x:v>
      </x:c>
      <x:c r="H191" s="22">
        <x:v>1</x:v>
      </x:c>
      <x:c r="I191" s="22">
        <x:v>0</x:v>
      </x:c>
      <x:c r="J191" s="22">
        <x:v>0</x:v>
      </x:c>
      <x:c r="K191" s="23">
        <x:v>0</x:v>
      </x:c>
      <x:c r="L191" s="23">
        <x:v>0</x:v>
      </x:c>
      <x:c r="M191" s="23">
        <x:f>K191-L191</x:f>
      </x:c>
      <x:c r="N191" s="22" t="s">
        <x:v>406</x:v>
      </x:c>
      <x:c r="O191" s="24">
        <x:f>IFERROR(INDEX('تطبیق کل'!$J:$J,MATCH(A191&amp;"",'تطبیق کل'!$A:$A,0))&amp;"","")</x:f>
      </x:c>
      <x:c r="P191" s="24"/>
      <x:c r="Q191" s="24" t="s">
        <x:v>198</x:v>
      </x:c>
      <x:c r="R191" s="25"/>
      <x:c r="S191" s="26"/>
      <x:c r="T191" s="22">
        <x:f>IF(S191="","",IFERROR(INDEX('درخت جدید'!$C:$C,MATCH(S191&amp;"",'درخت جدید'!$B:$B,0)),"—"))</x:f>
      </x:c>
      <x:c r="U191" s="22">
        <x:f>IF(S191="",IF(N191="بله","الزامی — تکمیل نشده",""),IF(AND(O191&lt;&gt;"",LEFT(S191&amp;"",4)&lt;&gt;O191),"زیر کل دیگری است — کل یا معین را اصلاح کنید",IF(COUNTIFS('درخت جدید'!$B:$B,S191&amp;"",'درخت جدید'!$A:$A,"معین")=0,IF(V191="","کد در درخت نیست — نام برای تعریف را بنویسید","OK"),"OK")))</x:f>
      </x:c>
      <x:c r="V191" s="27"/>
      <x:c r="W191" s="28"/>
    </x:row>
    <x:row r="192" spans="1:23">
      <x:c r="A192" s="21" t="s">
        <x:v>71</x:v>
      </x:c>
      <x:c r="B192" s="22" t="s">
        <x:v>344</x:v>
      </x:c>
      <x:c r="C192" s="22" t="s">
        <x:v>72</x:v>
      </x:c>
      <x:c r="D192" s="22" t="s">
        <x:v>480</x:v>
      </x:c>
      <x:c r="E192" s="22" t="s">
        <x:v>196</x:v>
      </x:c>
      <x:c r="F192" s="22" t="s">
        <x:v>195</x:v>
      </x:c>
      <x:c r="G192" s="22" t="s">
        <x:v>201</x:v>
      </x:c>
      <x:c r="H192" s="22">
        <x:v>2</x:v>
      </x:c>
      <x:c r="I192" s="22">
        <x:v>0</x:v>
      </x:c>
      <x:c r="J192" s="22">
        <x:v>0</x:v>
      </x:c>
      <x:c r="K192" s="23">
        <x:v>0</x:v>
      </x:c>
      <x:c r="L192" s="23">
        <x:v>0</x:v>
      </x:c>
      <x:c r="M192" s="23">
        <x:f>K192-L192</x:f>
      </x:c>
      <x:c r="N192" s="22" t="s">
        <x:v>406</x:v>
      </x:c>
      <x:c r="O192" s="24">
        <x:f>IFERROR(INDEX('تطبیق کل'!$J:$J,MATCH(A192&amp;"",'تطبیق کل'!$A:$A,0))&amp;"","")</x:f>
      </x:c>
      <x:c r="P192" s="24"/>
      <x:c r="Q192" s="24" t="s">
        <x:v>198</x:v>
      </x:c>
      <x:c r="R192" s="25"/>
      <x:c r="S192" s="26"/>
      <x:c r="T192" s="22">
        <x:f>IF(S192="","",IFERROR(INDEX('درخت جدید'!$C:$C,MATCH(S192&amp;"",'درخت جدید'!$B:$B,0)),"—"))</x:f>
      </x:c>
      <x:c r="U192" s="22">
        <x:f>IF(S192="",IF(N192="بله","الزامی — تکمیل نشده",""),IF(AND(O192&lt;&gt;"",LEFT(S192&amp;"",4)&lt;&gt;O192),"زیر کل دیگری است — کل یا معین را اصلاح کنید",IF(COUNTIFS('درخت جدید'!$B:$B,S192&amp;"",'درخت جدید'!$A:$A,"معین")=0,IF(V192="","کد در درخت نیست — نام برای تعریف را بنویسید","OK"),"OK")))</x:f>
      </x:c>
      <x:c r="V192" s="27"/>
      <x:c r="W192" s="28"/>
    </x:row>
    <x:row r="193" spans="1:23">
      <x:c r="A193" s="21" t="s">
        <x:v>71</x:v>
      </x:c>
      <x:c r="B193" s="22" t="s">
        <x:v>308</x:v>
      </x:c>
      <x:c r="C193" s="22" t="s">
        <x:v>72</x:v>
      </x:c>
      <x:c r="D193" s="22" t="s">
        <x:v>481</x:v>
      </x:c>
      <x:c r="E193" s="22" t="s">
        <x:v>196</x:v>
      </x:c>
      <x:c r="F193" s="22" t="s">
        <x:v>195</x:v>
      </x:c>
      <x:c r="G193" s="22" t="s">
        <x:v>201</x:v>
      </x:c>
      <x:c r="H193" s="22">
        <x:v>1</x:v>
      </x:c>
      <x:c r="I193" s="22">
        <x:v>0</x:v>
      </x:c>
      <x:c r="J193" s="22">
        <x:v>0</x:v>
      </x:c>
      <x:c r="K193" s="23">
        <x:v>0</x:v>
      </x:c>
      <x:c r="L193" s="23">
        <x:v>0</x:v>
      </x:c>
      <x:c r="M193" s="23">
        <x:f>K193-L193</x:f>
      </x:c>
      <x:c r="N193" s="22" t="s">
        <x:v>406</x:v>
      </x:c>
      <x:c r="O193" s="24">
        <x:f>IFERROR(INDEX('تطبیق کل'!$J:$J,MATCH(A193&amp;"",'تطبیق کل'!$A:$A,0))&amp;"","")</x:f>
      </x:c>
      <x:c r="P193" s="24" t="s">
        <x:v>257</x:v>
      </x:c>
      <x:c r="Q193" s="24" t="s">
        <x:v>258</x:v>
      </x:c>
      <x:c r="R193" s="25">
        <x:v>0.36</x:v>
      </x:c>
      <x:c r="S193" s="26"/>
      <x:c r="T193" s="22">
        <x:f>IF(S193="","",IFERROR(INDEX('درخت جدید'!$C:$C,MATCH(S193&amp;"",'درخت جدید'!$B:$B,0)),"—"))</x:f>
      </x:c>
      <x:c r="U193" s="22">
        <x:f>IF(S193="",IF(N193="بله","الزامی — تکمیل نشده",""),IF(AND(O193&lt;&gt;"",LEFT(S193&amp;"",4)&lt;&gt;O193),"زیر کل دیگری است — کل یا معین را اصلاح کنید",IF(COUNTIFS('درخت جدید'!$B:$B,S193&amp;"",'درخت جدید'!$A:$A,"معین")=0,IF(V193="","کد در درخت نیست — نام برای تعریف را بنویسید","OK"),"OK")))</x:f>
      </x:c>
      <x:c r="V193" s="27"/>
      <x:c r="W193" s="28"/>
    </x:row>
    <x:row r="194" spans="1:23">
      <x:c r="A194" s="21" t="s">
        <x:v>71</x:v>
      </x:c>
      <x:c r="B194" s="22" t="s">
        <x:v>317</x:v>
      </x:c>
      <x:c r="C194" s="22" t="s">
        <x:v>72</x:v>
      </x:c>
      <x:c r="D194" s="22" t="s">
        <x:v>482</x:v>
      </x:c>
      <x:c r="E194" s="22" t="s">
        <x:v>196</x:v>
      </x:c>
      <x:c r="F194" s="22" t="s">
        <x:v>195</x:v>
      </x:c>
      <x:c r="G194" s="22" t="s">
        <x:v>201</x:v>
      </x:c>
      <x:c r="H194" s="22">
        <x:v>1</x:v>
      </x:c>
      <x:c r="I194" s="22">
        <x:v>0</x:v>
      </x:c>
      <x:c r="J194" s="22">
        <x:v>0</x:v>
      </x:c>
      <x:c r="K194" s="23">
        <x:v>0</x:v>
      </x:c>
      <x:c r="L194" s="23">
        <x:v>0</x:v>
      </x:c>
      <x:c r="M194" s="23">
        <x:f>K194-L194</x:f>
      </x:c>
      <x:c r="N194" s="22" t="s">
        <x:v>406</x:v>
      </x:c>
      <x:c r="O194" s="24">
        <x:f>IFERROR(INDEX('تطبیق کل'!$J:$J,MATCH(A194&amp;"",'تطبیق کل'!$A:$A,0))&amp;"","")</x:f>
      </x:c>
      <x:c r="P194" s="24"/>
      <x:c r="Q194" s="24" t="s">
        <x:v>198</x:v>
      </x:c>
      <x:c r="R194" s="25"/>
      <x:c r="S194" s="26"/>
      <x:c r="T194" s="22">
        <x:f>IF(S194="","",IFERROR(INDEX('درخت جدید'!$C:$C,MATCH(S194&amp;"",'درخت جدید'!$B:$B,0)),"—"))</x:f>
      </x:c>
      <x:c r="U194" s="22">
        <x:f>IF(S194="",IF(N194="بله","الزامی — تکمیل نشده",""),IF(AND(O194&lt;&gt;"",LEFT(S194&amp;"",4)&lt;&gt;O194),"زیر کل دیگری است — کل یا معین را اصلاح کنید",IF(COUNTIFS('درخت جدید'!$B:$B,S194&amp;"",'درخت جدید'!$A:$A,"معین")=0,IF(V194="","کد در درخت نیست — نام برای تعریف را بنویسید","OK"),"OK")))</x:f>
      </x:c>
      <x:c r="V194" s="27"/>
      <x:c r="W194" s="28"/>
    </x:row>
    <x:row r="195" spans="1:23">
      <x:c r="A195" s="21" t="s">
        <x:v>71</x:v>
      </x:c>
      <x:c r="B195" s="22" t="s">
        <x:v>310</x:v>
      </x:c>
      <x:c r="C195" s="22" t="s">
        <x:v>72</x:v>
      </x:c>
      <x:c r="D195" s="22" t="s">
        <x:v>483</x:v>
      </x:c>
      <x:c r="E195" s="22" t="s">
        <x:v>196</x:v>
      </x:c>
      <x:c r="F195" s="22" t="s">
        <x:v>195</x:v>
      </x:c>
      <x:c r="G195" s="22" t="s">
        <x:v>201</x:v>
      </x:c>
      <x:c r="H195" s="22">
        <x:v>78</x:v>
      </x:c>
      <x:c r="I195" s="22">
        <x:v>0</x:v>
      </x:c>
      <x:c r="J195" s="22">
        <x:v>0</x:v>
      </x:c>
      <x:c r="K195" s="23">
        <x:v>0</x:v>
      </x:c>
      <x:c r="L195" s="23">
        <x:v>0</x:v>
      </x:c>
      <x:c r="M195" s="23">
        <x:f>K195-L195</x:f>
      </x:c>
      <x:c r="N195" s="22" t="s">
        <x:v>406</x:v>
      </x:c>
      <x:c r="O195" s="24">
        <x:f>IFERROR(INDEX('تطبیق کل'!$J:$J,MATCH(A195&amp;"",'تطبیق کل'!$A:$A,0))&amp;"","")</x:f>
      </x:c>
      <x:c r="P195" s="24"/>
      <x:c r="Q195" s="24" t="s">
        <x:v>198</x:v>
      </x:c>
      <x:c r="R195" s="25"/>
      <x:c r="S195" s="26"/>
      <x:c r="T195" s="22">
        <x:f>IF(S195="","",IFERROR(INDEX('درخت جدید'!$C:$C,MATCH(S195&amp;"",'درخت جدید'!$B:$B,0)),"—"))</x:f>
      </x:c>
      <x:c r="U195" s="22">
        <x:f>IF(S195="",IF(N195="بله","الزامی — تکمیل نشده",""),IF(AND(O195&lt;&gt;"",LEFT(S195&amp;"",4)&lt;&gt;O195),"زیر کل دیگری است — کل یا معین را اصلاح کنید",IF(COUNTIFS('درخت جدید'!$B:$B,S195&amp;"",'درخت جدید'!$A:$A,"معین")=0,IF(V195="","کد در درخت نیست — نام برای تعریف را بنویسید","OK"),"OK")))</x:f>
      </x:c>
      <x:c r="V195" s="27"/>
      <x:c r="W195" s="28"/>
    </x:row>
    <x:row r="196" spans="1:23">
      <x:c r="A196" s="21" t="s">
        <x:v>71</x:v>
      </x:c>
      <x:c r="B196" s="22" t="s">
        <x:v>351</x:v>
      </x:c>
      <x:c r="C196" s="22" t="s">
        <x:v>72</x:v>
      </x:c>
      <x:c r="D196" s="22" t="s">
        <x:v>484</x:v>
      </x:c>
      <x:c r="E196" s="22" t="s">
        <x:v>196</x:v>
      </x:c>
      <x:c r="F196" s="22" t="s">
        <x:v>195</x:v>
      </x:c>
      <x:c r="G196" s="22" t="s">
        <x:v>201</x:v>
      </x:c>
      <x:c r="H196" s="22">
        <x:v>1</x:v>
      </x:c>
      <x:c r="I196" s="22">
        <x:v>0</x:v>
      </x:c>
      <x:c r="J196" s="22">
        <x:v>0</x:v>
      </x:c>
      <x:c r="K196" s="23">
        <x:v>0</x:v>
      </x:c>
      <x:c r="L196" s="23">
        <x:v>0</x:v>
      </x:c>
      <x:c r="M196" s="23">
        <x:f>K196-L196</x:f>
      </x:c>
      <x:c r="N196" s="22" t="s">
        <x:v>406</x:v>
      </x:c>
      <x:c r="O196" s="24">
        <x:f>IFERROR(INDEX('تطبیق کل'!$J:$J,MATCH(A196&amp;"",'تطبیق کل'!$A:$A,0))&amp;"","")</x:f>
      </x:c>
      <x:c r="P196" s="24"/>
      <x:c r="Q196" s="24" t="s">
        <x:v>198</x:v>
      </x:c>
      <x:c r="R196" s="25"/>
      <x:c r="S196" s="26"/>
      <x:c r="T196" s="22">
        <x:f>IF(S196="","",IFERROR(INDEX('درخت جدید'!$C:$C,MATCH(S196&amp;"",'درخت جدید'!$B:$B,0)),"—"))</x:f>
      </x:c>
      <x:c r="U196" s="22">
        <x:f>IF(S196="",IF(N196="بله","الزامی — تکمیل نشده",""),IF(AND(O196&lt;&gt;"",LEFT(S196&amp;"",4)&lt;&gt;O196),"زیر کل دیگری است — کل یا معین را اصلاح کنید",IF(COUNTIFS('درخت جدید'!$B:$B,S196&amp;"",'درخت جدید'!$A:$A,"معین")=0,IF(V196="","کد در درخت نیست — نام برای تعریف را بنویسید","OK"),"OK")))</x:f>
      </x:c>
      <x:c r="V196" s="27"/>
      <x:c r="W196" s="28"/>
    </x:row>
    <x:row r="197" spans="1:23">
      <x:c r="A197" s="21" t="s">
        <x:v>71</x:v>
      </x:c>
      <x:c r="B197" s="22" t="s">
        <x:v>21</x:v>
      </x:c>
      <x:c r="C197" s="22" t="s">
        <x:v>72</x:v>
      </x:c>
      <x:c r="D197" s="22" t="s">
        <x:v>485</x:v>
      </x:c>
      <x:c r="E197" s="22" t="s">
        <x:v>196</x:v>
      </x:c>
      <x:c r="F197" s="22" t="s">
        <x:v>195</x:v>
      </x:c>
      <x:c r="G197" s="22" t="s">
        <x:v>201</x:v>
      </x:c>
      <x:c r="H197" s="22">
        <x:v>1</x:v>
      </x:c>
      <x:c r="I197" s="22">
        <x:v>0</x:v>
      </x:c>
      <x:c r="J197" s="22">
        <x:v>0</x:v>
      </x:c>
      <x:c r="K197" s="23">
        <x:v>0</x:v>
      </x:c>
      <x:c r="L197" s="23">
        <x:v>0</x:v>
      </x:c>
      <x:c r="M197" s="23">
        <x:f>K197-L197</x:f>
      </x:c>
      <x:c r="N197" s="22" t="s">
        <x:v>406</x:v>
      </x:c>
      <x:c r="O197" s="24">
        <x:f>IFERROR(INDEX('تطبیق کل'!$J:$J,MATCH(A197&amp;"",'تطبیق کل'!$A:$A,0))&amp;"","")</x:f>
      </x:c>
      <x:c r="P197" s="24"/>
      <x:c r="Q197" s="24" t="s">
        <x:v>198</x:v>
      </x:c>
      <x:c r="R197" s="25"/>
      <x:c r="S197" s="26"/>
      <x:c r="T197" s="22">
        <x:f>IF(S197="","",IFERROR(INDEX('درخت جدید'!$C:$C,MATCH(S197&amp;"",'درخت جدید'!$B:$B,0)),"—"))</x:f>
      </x:c>
      <x:c r="U197" s="22">
        <x:f>IF(S197="",IF(N197="بله","الزامی — تکمیل نشده",""),IF(AND(O197&lt;&gt;"",LEFT(S197&amp;"",4)&lt;&gt;O197),"زیر کل دیگری است — کل یا معین را اصلاح کنید",IF(COUNTIFS('درخت جدید'!$B:$B,S197&amp;"",'درخت جدید'!$A:$A,"معین")=0,IF(V197="","کد در درخت نیست — نام برای تعریف را بنویسید","OK"),"OK")))</x:f>
      </x:c>
      <x:c r="V197" s="27"/>
      <x:c r="W197" s="28"/>
    </x:row>
    <x:row r="198" spans="1:23">
      <x:c r="A198" s="21" t="s">
        <x:v>71</x:v>
      </x:c>
      <x:c r="B198" s="22" t="s">
        <x:v>326</x:v>
      </x:c>
      <x:c r="C198" s="22" t="s">
        <x:v>72</x:v>
      </x:c>
      <x:c r="D198" s="22" t="s">
        <x:v>486</x:v>
      </x:c>
      <x:c r="E198" s="22" t="s">
        <x:v>196</x:v>
      </x:c>
      <x:c r="F198" s="22" t="s">
        <x:v>195</x:v>
      </x:c>
      <x:c r="G198" s="22" t="s">
        <x:v>201</x:v>
      </x:c>
      <x:c r="H198" s="22">
        <x:v>1</x:v>
      </x:c>
      <x:c r="I198" s="22">
        <x:v>0</x:v>
      </x:c>
      <x:c r="J198" s="22">
        <x:v>0</x:v>
      </x:c>
      <x:c r="K198" s="23">
        <x:v>0</x:v>
      </x:c>
      <x:c r="L198" s="23">
        <x:v>0</x:v>
      </x:c>
      <x:c r="M198" s="23">
        <x:f>K198-L198</x:f>
      </x:c>
      <x:c r="N198" s="22" t="s">
        <x:v>406</x:v>
      </x:c>
      <x:c r="O198" s="24">
        <x:f>IFERROR(INDEX('تطبیق کل'!$J:$J,MATCH(A198&amp;"",'تطبیق کل'!$A:$A,0))&amp;"","")</x:f>
      </x:c>
      <x:c r="P198" s="24"/>
      <x:c r="Q198" s="24" t="s">
        <x:v>198</x:v>
      </x:c>
      <x:c r="R198" s="25"/>
      <x:c r="S198" s="26"/>
      <x:c r="T198" s="22">
        <x:f>IF(S198="","",IFERROR(INDEX('درخت جدید'!$C:$C,MATCH(S198&amp;"",'درخت جدید'!$B:$B,0)),"—"))</x:f>
      </x:c>
      <x:c r="U198" s="22">
        <x:f>IF(S198="",IF(N198="بله","الزامی — تکمیل نشده",""),IF(AND(O198&lt;&gt;"",LEFT(S198&amp;"",4)&lt;&gt;O198),"زیر کل دیگری است — کل یا معین را اصلاح کنید",IF(COUNTIFS('درخت جدید'!$B:$B,S198&amp;"",'درخت جدید'!$A:$A,"معین")=0,IF(V198="","کد در درخت نیست — نام برای تعریف را بنویسید","OK"),"OK")))</x:f>
      </x:c>
      <x:c r="V198" s="27"/>
      <x:c r="W198" s="28"/>
    </x:row>
    <x:row r="199" spans="1:23">
      <x:c r="A199" s="21" t="s">
        <x:v>71</x:v>
      </x:c>
      <x:c r="B199" s="22" t="s">
        <x:v>199</x:v>
      </x:c>
      <x:c r="C199" s="22" t="s">
        <x:v>72</x:v>
      </x:c>
      <x:c r="D199" s="22" t="s">
        <x:v>487</x:v>
      </x:c>
      <x:c r="E199" s="22" t="s">
        <x:v>196</x:v>
      </x:c>
      <x:c r="F199" s="22" t="s">
        <x:v>195</x:v>
      </x:c>
      <x:c r="G199" s="22" t="s">
        <x:v>201</x:v>
      </x:c>
      <x:c r="H199" s="22">
        <x:v>1</x:v>
      </x:c>
      <x:c r="I199" s="22">
        <x:v>0</x:v>
      </x:c>
      <x:c r="J199" s="22">
        <x:v>0</x:v>
      </x:c>
      <x:c r="K199" s="23">
        <x:v>0</x:v>
      </x:c>
      <x:c r="L199" s="23">
        <x:v>0</x:v>
      </x:c>
      <x:c r="M199" s="23">
        <x:f>K199-L199</x:f>
      </x:c>
      <x:c r="N199" s="22" t="s">
        <x:v>406</x:v>
      </x:c>
      <x:c r="O199" s="24">
        <x:f>IFERROR(INDEX('تطبیق کل'!$J:$J,MATCH(A199&amp;"",'تطبیق کل'!$A:$A,0))&amp;"","")</x:f>
      </x:c>
      <x:c r="P199" s="24"/>
      <x:c r="Q199" s="24" t="s">
        <x:v>198</x:v>
      </x:c>
      <x:c r="R199" s="25"/>
      <x:c r="S199" s="26"/>
      <x:c r="T199" s="22">
        <x:f>IF(S199="","",IFERROR(INDEX('درخت جدید'!$C:$C,MATCH(S199&amp;"",'درخت جدید'!$B:$B,0)),"—"))</x:f>
      </x:c>
      <x:c r="U199" s="22">
        <x:f>IF(S199="",IF(N199="بله","الزامی — تکمیل نشده",""),IF(AND(O199&lt;&gt;"",LEFT(S199&amp;"",4)&lt;&gt;O199),"زیر کل دیگری است — کل یا معین را اصلاح کنید",IF(COUNTIFS('درخت جدید'!$B:$B,S199&amp;"",'درخت جدید'!$A:$A,"معین")=0,IF(V199="","کد در درخت نیست — نام برای تعریف را بنویسید","OK"),"OK")))</x:f>
      </x:c>
      <x:c r="V199" s="27"/>
      <x:c r="W199" s="28"/>
    </x:row>
    <x:row r="200" spans="1:23">
      <x:c r="A200" s="21" t="s">
        <x:v>71</x:v>
      </x:c>
      <x:c r="B200" s="22" t="s">
        <x:v>292</x:v>
      </x:c>
      <x:c r="C200" s="22" t="s">
        <x:v>72</x:v>
      </x:c>
      <x:c r="D200" s="22" t="s">
        <x:v>488</x:v>
      </x:c>
      <x:c r="E200" s="22" t="s">
        <x:v>196</x:v>
      </x:c>
      <x:c r="F200" s="22" t="s">
        <x:v>195</x:v>
      </x:c>
      <x:c r="G200" s="22" t="s">
        <x:v>201</x:v>
      </x:c>
      <x:c r="H200" s="22">
        <x:v>1</x:v>
      </x:c>
      <x:c r="I200" s="22">
        <x:v>0</x:v>
      </x:c>
      <x:c r="J200" s="22">
        <x:v>0</x:v>
      </x:c>
      <x:c r="K200" s="23">
        <x:v>0</x:v>
      </x:c>
      <x:c r="L200" s="23">
        <x:v>0</x:v>
      </x:c>
      <x:c r="M200" s="23">
        <x:f>K200-L200</x:f>
      </x:c>
      <x:c r="N200" s="22" t="s">
        <x:v>406</x:v>
      </x:c>
      <x:c r="O200" s="24">
        <x:f>IFERROR(INDEX('تطبیق کل'!$J:$J,MATCH(A200&amp;"",'تطبیق کل'!$A:$A,0))&amp;"","")</x:f>
      </x:c>
      <x:c r="P200" s="24"/>
      <x:c r="Q200" s="24" t="s">
        <x:v>198</x:v>
      </x:c>
      <x:c r="R200" s="25"/>
      <x:c r="S200" s="26"/>
      <x:c r="T200" s="22">
        <x:f>IF(S200="","",IFERROR(INDEX('درخت جدید'!$C:$C,MATCH(S200&amp;"",'درخت جدید'!$B:$B,0)),"—"))</x:f>
      </x:c>
      <x:c r="U200" s="22">
        <x:f>IF(S200="",IF(N200="بله","الزامی — تکمیل نشده",""),IF(AND(O200&lt;&gt;"",LEFT(S200&amp;"",4)&lt;&gt;O200),"زیر کل دیگری است — کل یا معین را اصلاح کنید",IF(COUNTIFS('درخت جدید'!$B:$B,S200&amp;"",'درخت جدید'!$A:$A,"معین")=0,IF(V200="","کد در درخت نیست — نام برای تعریف را بنویسید","OK"),"OK")))</x:f>
      </x:c>
      <x:c r="V200" s="27"/>
      <x:c r="W200" s="28"/>
    </x:row>
    <x:row r="201" spans="1:23">
      <x:c r="A201" s="21" t="s">
        <x:v>71</x:v>
      </x:c>
      <x:c r="B201" s="22" t="s">
        <x:v>334</x:v>
      </x:c>
      <x:c r="C201" s="22" t="s">
        <x:v>72</x:v>
      </x:c>
      <x:c r="D201" s="22" t="s">
        <x:v>489</x:v>
      </x:c>
      <x:c r="E201" s="22" t="s">
        <x:v>196</x:v>
      </x:c>
      <x:c r="F201" s="22" t="s">
        <x:v>195</x:v>
      </x:c>
      <x:c r="G201" s="22" t="s">
        <x:v>201</x:v>
      </x:c>
      <x:c r="H201" s="22">
        <x:v>2</x:v>
      </x:c>
      <x:c r="I201" s="22">
        <x:v>0</x:v>
      </x:c>
      <x:c r="J201" s="22">
        <x:v>0</x:v>
      </x:c>
      <x:c r="K201" s="23">
        <x:v>0</x:v>
      </x:c>
      <x:c r="L201" s="23">
        <x:v>0</x:v>
      </x:c>
      <x:c r="M201" s="23">
        <x:f>K201-L201</x:f>
      </x:c>
      <x:c r="N201" s="22" t="s">
        <x:v>406</x:v>
      </x:c>
      <x:c r="O201" s="24">
        <x:f>IFERROR(INDEX('تطبیق کل'!$J:$J,MATCH(A201&amp;"",'تطبیق کل'!$A:$A,0))&amp;"","")</x:f>
      </x:c>
      <x:c r="P201" s="24" t="s">
        <x:v>257</x:v>
      </x:c>
      <x:c r="Q201" s="24" t="s">
        <x:v>258</x:v>
      </x:c>
      <x:c r="R201" s="25">
        <x:v>0.47</x:v>
      </x:c>
      <x:c r="S201" s="26"/>
      <x:c r="T201" s="22">
        <x:f>IF(S201="","",IFERROR(INDEX('درخت جدید'!$C:$C,MATCH(S201&amp;"",'درخت جدید'!$B:$B,0)),"—"))</x:f>
      </x:c>
      <x:c r="U201" s="22">
        <x:f>IF(S201="",IF(N201="بله","الزامی — تکمیل نشده",""),IF(AND(O201&lt;&gt;"",LEFT(S201&amp;"",4)&lt;&gt;O201),"زیر کل دیگری است — کل یا معین را اصلاح کنید",IF(COUNTIFS('درخت جدید'!$B:$B,S201&amp;"",'درخت جدید'!$A:$A,"معین")=0,IF(V201="","کد در درخت نیست — نام برای تعریف را بنویسید","OK"),"OK")))</x:f>
      </x:c>
      <x:c r="V201" s="27"/>
      <x:c r="W201" s="28"/>
    </x:row>
    <x:row r="202" spans="1:23">
      <x:c r="A202" s="21" t="s">
        <x:v>71</x:v>
      </x:c>
      <x:c r="B202" s="22" t="s">
        <x:v>369</x:v>
      </x:c>
      <x:c r="C202" s="22" t="s">
        <x:v>72</x:v>
      </x:c>
      <x:c r="D202" s="22" t="s">
        <x:v>490</x:v>
      </x:c>
      <x:c r="E202" s="22" t="s">
        <x:v>196</x:v>
      </x:c>
      <x:c r="F202" s="22" t="s">
        <x:v>195</x:v>
      </x:c>
      <x:c r="G202" s="22" t="s">
        <x:v>201</x:v>
      </x:c>
      <x:c r="H202" s="22">
        <x:v>2</x:v>
      </x:c>
      <x:c r="I202" s="22">
        <x:v>0</x:v>
      </x:c>
      <x:c r="J202" s="22">
        <x:v>0</x:v>
      </x:c>
      <x:c r="K202" s="23">
        <x:v>0</x:v>
      </x:c>
      <x:c r="L202" s="23">
        <x:v>0</x:v>
      </x:c>
      <x:c r="M202" s="23">
        <x:f>K202-L202</x:f>
      </x:c>
      <x:c r="N202" s="22" t="s">
        <x:v>406</x:v>
      </x:c>
      <x:c r="O202" s="24">
        <x:f>IFERROR(INDEX('تطبیق کل'!$J:$J,MATCH(A202&amp;"",'تطبیق کل'!$A:$A,0))&amp;"","")</x:f>
      </x:c>
      <x:c r="P202" s="24"/>
      <x:c r="Q202" s="24" t="s">
        <x:v>198</x:v>
      </x:c>
      <x:c r="R202" s="25"/>
      <x:c r="S202" s="26"/>
      <x:c r="T202" s="22">
        <x:f>IF(S202="","",IFERROR(INDEX('درخت جدید'!$C:$C,MATCH(S202&amp;"",'درخت جدید'!$B:$B,0)),"—"))</x:f>
      </x:c>
      <x:c r="U202" s="22">
        <x:f>IF(S202="",IF(N202="بله","الزامی — تکمیل نشده",""),IF(AND(O202&lt;&gt;"",LEFT(S202&amp;"",4)&lt;&gt;O202),"زیر کل دیگری است — کل یا معین را اصلاح کنید",IF(COUNTIFS('درخت جدید'!$B:$B,S202&amp;"",'درخت جدید'!$A:$A,"معین")=0,IF(V202="","کد در درخت نیست — نام برای تعریف را بنویسید","OK"),"OK")))</x:f>
      </x:c>
      <x:c r="V202" s="27"/>
      <x:c r="W202" s="28"/>
    </x:row>
    <x:row r="203" spans="1:23">
      <x:c r="A203" s="21" t="s">
        <x:v>71</x:v>
      </x:c>
      <x:c r="B203" s="22" t="s">
        <x:v>371</x:v>
      </x:c>
      <x:c r="C203" s="22" t="s">
        <x:v>72</x:v>
      </x:c>
      <x:c r="D203" s="22" t="s">
        <x:v>491</x:v>
      </x:c>
      <x:c r="E203" s="22" t="s">
        <x:v>196</x:v>
      </x:c>
      <x:c r="F203" s="22" t="s">
        <x:v>195</x:v>
      </x:c>
      <x:c r="G203" s="22" t="s">
        <x:v>201</x:v>
      </x:c>
      <x:c r="H203" s="22">
        <x:v>1</x:v>
      </x:c>
      <x:c r="I203" s="22">
        <x:v>0</x:v>
      </x:c>
      <x:c r="J203" s="22">
        <x:v>0</x:v>
      </x:c>
      <x:c r="K203" s="23">
        <x:v>0</x:v>
      </x:c>
      <x:c r="L203" s="23">
        <x:v>0</x:v>
      </x:c>
      <x:c r="M203" s="23">
        <x:f>K203-L203</x:f>
      </x:c>
      <x:c r="N203" s="22" t="s">
        <x:v>406</x:v>
      </x:c>
      <x:c r="O203" s="24">
        <x:f>IFERROR(INDEX('تطبیق کل'!$J:$J,MATCH(A203&amp;"",'تطبیق کل'!$A:$A,0))&amp;"","")</x:f>
      </x:c>
      <x:c r="P203" s="24"/>
      <x:c r="Q203" s="24" t="s">
        <x:v>198</x:v>
      </x:c>
      <x:c r="R203" s="25"/>
      <x:c r="S203" s="26"/>
      <x:c r="T203" s="22">
        <x:f>IF(S203="","",IFERROR(INDEX('درخت جدید'!$C:$C,MATCH(S203&amp;"",'درخت جدید'!$B:$B,0)),"—"))</x:f>
      </x:c>
      <x:c r="U203" s="22">
        <x:f>IF(S203="",IF(N203="بله","الزامی — تکمیل نشده",""),IF(AND(O203&lt;&gt;"",LEFT(S203&amp;"",4)&lt;&gt;O203),"زیر کل دیگری است — کل یا معین را اصلاح کنید",IF(COUNTIFS('درخت جدید'!$B:$B,S203&amp;"",'درخت جدید'!$A:$A,"معین")=0,IF(V203="","کد در درخت نیست — نام برای تعریف را بنویسید","OK"),"OK")))</x:f>
      </x:c>
      <x:c r="V203" s="27"/>
      <x:c r="W203" s="28"/>
    </x:row>
    <x:row r="204" spans="1:23">
      <x:c r="A204" s="21" t="s">
        <x:v>71</x:v>
      </x:c>
      <x:c r="B204" s="22" t="s">
        <x:v>45</x:v>
      </x:c>
      <x:c r="C204" s="22" t="s">
        <x:v>72</x:v>
      </x:c>
      <x:c r="D204" s="22" t="s">
        <x:v>492</x:v>
      </x:c>
      <x:c r="E204" s="22" t="s">
        <x:v>196</x:v>
      </x:c>
      <x:c r="F204" s="22" t="s">
        <x:v>195</x:v>
      </x:c>
      <x:c r="G204" s="22" t="s">
        <x:v>201</x:v>
      </x:c>
      <x:c r="H204" s="22">
        <x:v>4</x:v>
      </x:c>
      <x:c r="I204" s="22">
        <x:v>0</x:v>
      </x:c>
      <x:c r="J204" s="22">
        <x:v>0</x:v>
      </x:c>
      <x:c r="K204" s="23">
        <x:v>0</x:v>
      </x:c>
      <x:c r="L204" s="23">
        <x:v>0</x:v>
      </x:c>
      <x:c r="M204" s="23">
        <x:f>K204-L204</x:f>
      </x:c>
      <x:c r="N204" s="22" t="s">
        <x:v>406</x:v>
      </x:c>
      <x:c r="O204" s="24">
        <x:f>IFERROR(INDEX('تطبیق کل'!$J:$J,MATCH(A204&amp;"",'تطبیق کل'!$A:$A,0))&amp;"","")</x:f>
      </x:c>
      <x:c r="P204" s="24"/>
      <x:c r="Q204" s="24" t="s">
        <x:v>198</x:v>
      </x:c>
      <x:c r="R204" s="25"/>
      <x:c r="S204" s="26"/>
      <x:c r="T204" s="22">
        <x:f>IF(S204="","",IFERROR(INDEX('درخت جدید'!$C:$C,MATCH(S204&amp;"",'درخت جدید'!$B:$B,0)),"—"))</x:f>
      </x:c>
      <x:c r="U204" s="22">
        <x:f>IF(S204="",IF(N204="بله","الزامی — تکمیل نشده",""),IF(AND(O204&lt;&gt;"",LEFT(S204&amp;"",4)&lt;&gt;O204),"زیر کل دیگری است — کل یا معین را اصلاح کنید",IF(COUNTIFS('درخت جدید'!$B:$B,S204&amp;"",'درخت جدید'!$A:$A,"معین")=0,IF(V204="","کد در درخت نیست — نام برای تعریف را بنویسید","OK"),"OK")))</x:f>
      </x:c>
      <x:c r="V204" s="27"/>
      <x:c r="W204" s="28"/>
    </x:row>
    <x:row r="205" spans="1:23">
      <x:c r="A205" s="21" t="s">
        <x:v>71</x:v>
      </x:c>
      <x:c r="B205" s="22" t="s">
        <x:v>456</x:v>
      </x:c>
      <x:c r="C205" s="22" t="s">
        <x:v>72</x:v>
      </x:c>
      <x:c r="D205" s="22" t="s">
        <x:v>457</x:v>
      </x:c>
      <x:c r="E205" s="22" t="s">
        <x:v>196</x:v>
      </x:c>
      <x:c r="F205" s="22" t="s">
        <x:v>195</x:v>
      </x:c>
      <x:c r="G205" s="22" t="s">
        <x:v>196</x:v>
      </x:c>
      <x:c r="H205" s="22">
        <x:v>10</x:v>
      </x:c>
      <x:c r="I205" s="22">
        <x:v>0</x:v>
      </x:c>
      <x:c r="J205" s="22">
        <x:v>0</x:v>
      </x:c>
      <x:c r="K205" s="23">
        <x:v>0</x:v>
      </x:c>
      <x:c r="L205" s="23">
        <x:v>0</x:v>
      </x:c>
      <x:c r="M205" s="23">
        <x:f>K205-L205</x:f>
      </x:c>
      <x:c r="N205" s="22" t="s">
        <x:v>406</x:v>
      </x:c>
      <x:c r="O205" s="24">
        <x:f>IFERROR(INDEX('تطبیق کل'!$J:$J,MATCH(A205&amp;"",'تطبیق کل'!$A:$A,0))&amp;"","")</x:f>
      </x:c>
      <x:c r="P205" s="24"/>
      <x:c r="Q205" s="24" t="s">
        <x:v>198</x:v>
      </x:c>
      <x:c r="R205" s="25"/>
      <x:c r="S205" s="26"/>
      <x:c r="T205" s="22">
        <x:f>IF(S205="","",IFERROR(INDEX('درخت جدید'!$C:$C,MATCH(S205&amp;"",'درخت جدید'!$B:$B,0)),"—"))</x:f>
      </x:c>
      <x:c r="U205" s="22">
        <x:f>IF(S205="",IF(N205="بله","الزامی — تکمیل نشده",""),IF(AND(O205&lt;&gt;"",LEFT(S205&amp;"",4)&lt;&gt;O205),"زیر کل دیگری است — کل یا معین را اصلاح کنید",IF(COUNTIFS('درخت جدید'!$B:$B,S205&amp;"",'درخت جدید'!$A:$A,"معین")=0,IF(V205="","کد در درخت نیست — نام برای تعریف را بنویسید","OK"),"OK")))</x:f>
      </x:c>
      <x:c r="V205" s="27"/>
      <x:c r="W205" s="28"/>
    </x:row>
    <x:row r="206" spans="1:23">
      <x:c r="A206" s="21" t="s">
        <x:v>71</x:v>
      </x:c>
      <x:c r="B206" s="22" t="s">
        <x:v>202</x:v>
      </x:c>
      <x:c r="C206" s="22" t="s">
        <x:v>72</x:v>
      </x:c>
      <x:c r="D206" s="22" t="s">
        <x:v>493</x:v>
      </x:c>
      <x:c r="E206" s="22" t="s">
        <x:v>196</x:v>
      </x:c>
      <x:c r="F206" s="22" t="s">
        <x:v>195</x:v>
      </x:c>
      <x:c r="G206" s="22" t="s">
        <x:v>201</x:v>
      </x:c>
      <x:c r="H206" s="22">
        <x:v>1</x:v>
      </x:c>
      <x:c r="I206" s="22">
        <x:v>0</x:v>
      </x:c>
      <x:c r="J206" s="22">
        <x:v>0</x:v>
      </x:c>
      <x:c r="K206" s="23">
        <x:v>0</x:v>
      </x:c>
      <x:c r="L206" s="23">
        <x:v>0</x:v>
      </x:c>
      <x:c r="M206" s="23">
        <x:f>K206-L206</x:f>
      </x:c>
      <x:c r="N206" s="22" t="s">
        <x:v>406</x:v>
      </x:c>
      <x:c r="O206" s="24">
        <x:f>IFERROR(INDEX('تطبیق کل'!$J:$J,MATCH(A206&amp;"",'تطبیق کل'!$A:$A,0))&amp;"","")</x:f>
      </x:c>
      <x:c r="P206" s="24"/>
      <x:c r="Q206" s="24" t="s">
        <x:v>198</x:v>
      </x:c>
      <x:c r="R206" s="25"/>
      <x:c r="S206" s="26"/>
      <x:c r="T206" s="22">
        <x:f>IF(S206="","",IFERROR(INDEX('درخت جدید'!$C:$C,MATCH(S206&amp;"",'درخت جدید'!$B:$B,0)),"—"))</x:f>
      </x:c>
      <x:c r="U206" s="22">
        <x:f>IF(S206="",IF(N206="بله","الزامی — تکمیل نشده",""),IF(AND(O206&lt;&gt;"",LEFT(S206&amp;"",4)&lt;&gt;O206),"زیر کل دیگری است — کل یا معین را اصلاح کنید",IF(COUNTIFS('درخت جدید'!$B:$B,S206&amp;"",'درخت جدید'!$A:$A,"معین")=0,IF(V206="","کد در درخت نیست — نام برای تعریف را بنویسید","OK"),"OK")))</x:f>
      </x:c>
      <x:c r="V206" s="27"/>
      <x:c r="W206" s="28"/>
    </x:row>
    <x:row r="207" spans="1:23">
      <x:c r="A207" s="21" t="s">
        <x:v>71</x:v>
      </x:c>
      <x:c r="B207" s="22" t="s">
        <x:v>71</x:v>
      </x:c>
      <x:c r="C207" s="22" t="s">
        <x:v>72</x:v>
      </x:c>
      <x:c r="D207" s="22" t="s">
        <x:v>494</x:v>
      </x:c>
      <x:c r="E207" s="22" t="s">
        <x:v>196</x:v>
      </x:c>
      <x:c r="F207" s="22" t="s">
        <x:v>195</x:v>
      </x:c>
      <x:c r="G207" s="22" t="s">
        <x:v>196</x:v>
      </x:c>
      <x:c r="H207" s="22">
        <x:v>2</x:v>
      </x:c>
      <x:c r="I207" s="22">
        <x:v>0</x:v>
      </x:c>
      <x:c r="J207" s="22">
        <x:v>0</x:v>
      </x:c>
      <x:c r="K207" s="23">
        <x:v>0</x:v>
      </x:c>
      <x:c r="L207" s="23">
        <x:v>0</x:v>
      </x:c>
      <x:c r="M207" s="23">
        <x:f>K207-L207</x:f>
      </x:c>
      <x:c r="N207" s="22" t="s">
        <x:v>406</x:v>
      </x:c>
      <x:c r="O207" s="24">
        <x:f>IFERROR(INDEX('تطبیق کل'!$J:$J,MATCH(A207&amp;"",'تطبیق کل'!$A:$A,0))&amp;"","")</x:f>
      </x:c>
      <x:c r="P207" s="24" t="s">
        <x:v>495</x:v>
      </x:c>
      <x:c r="Q207" s="24" t="s">
        <x:v>496</x:v>
      </x:c>
      <x:c r="R207" s="25">
        <x:v>0.44</x:v>
      </x:c>
      <x:c r="S207" s="26"/>
      <x:c r="T207" s="22">
        <x:f>IF(S207="","",IFERROR(INDEX('درخت جدید'!$C:$C,MATCH(S207&amp;"",'درخت جدید'!$B:$B,0)),"—"))</x:f>
      </x:c>
      <x:c r="U207" s="22">
        <x:f>IF(S207="",IF(N207="بله","الزامی — تکمیل نشده",""),IF(AND(O207&lt;&gt;"",LEFT(S207&amp;"",4)&lt;&gt;O207),"زیر کل دیگری است — کل یا معین را اصلاح کنید",IF(COUNTIFS('درخت جدید'!$B:$B,S207&amp;"",'درخت جدید'!$A:$A,"معین")=0,IF(V207="","کد در درخت نیست — نام برای تعریف را بنویسید","OK"),"OK")))</x:f>
      </x:c>
      <x:c r="V207" s="27"/>
      <x:c r="W207" s="28"/>
    </x:row>
    <x:row r="208" spans="1:23">
      <x:c r="A208" s="21" t="s">
        <x:v>71</x:v>
      </x:c>
      <x:c r="B208" s="22" t="s">
        <x:v>74</x:v>
      </x:c>
      <x:c r="C208" s="22" t="s">
        <x:v>72</x:v>
      </x:c>
      <x:c r="D208" s="22" t="s">
        <x:v>497</x:v>
      </x:c>
      <x:c r="E208" s="22" t="s">
        <x:v>196</x:v>
      </x:c>
      <x:c r="F208" s="22" t="s">
        <x:v>195</x:v>
      </x:c>
      <x:c r="G208" s="22" t="s">
        <x:v>196</x:v>
      </x:c>
      <x:c r="H208" s="22">
        <x:v>1</x:v>
      </x:c>
      <x:c r="I208" s="22">
        <x:v>0</x:v>
      </x:c>
      <x:c r="J208" s="22">
        <x:v>0</x:v>
      </x:c>
      <x:c r="K208" s="23">
        <x:v>0</x:v>
      </x:c>
      <x:c r="L208" s="23">
        <x:v>0</x:v>
      </x:c>
      <x:c r="M208" s="23">
        <x:f>K208-L208</x:f>
      </x:c>
      <x:c r="N208" s="22" t="s">
        <x:v>406</x:v>
      </x:c>
      <x:c r="O208" s="24">
        <x:f>IFERROR(INDEX('تطبیق کل'!$J:$J,MATCH(A208&amp;"",'تطبیق کل'!$A:$A,0))&amp;"","")</x:f>
      </x:c>
      <x:c r="P208" s="24"/>
      <x:c r="Q208" s="24" t="s">
        <x:v>198</x:v>
      </x:c>
      <x:c r="R208" s="25"/>
      <x:c r="S208" s="26"/>
      <x:c r="T208" s="22">
        <x:f>IF(S208="","",IFERROR(INDEX('درخت جدید'!$C:$C,MATCH(S208&amp;"",'درخت جدید'!$B:$B,0)),"—"))</x:f>
      </x:c>
      <x:c r="U208" s="22">
        <x:f>IF(S208="",IF(N208="بله","الزامی — تکمیل نشده",""),IF(AND(O208&lt;&gt;"",LEFT(S208&amp;"",4)&lt;&gt;O208),"زیر کل دیگری است — کل یا معین را اصلاح کنید",IF(COUNTIFS('درخت جدید'!$B:$B,S208&amp;"",'درخت جدید'!$A:$A,"معین")=0,IF(V208="","کد در درخت نیست — نام برای تعریف را بنویسید","OK"),"OK")))</x:f>
      </x:c>
      <x:c r="V208" s="27"/>
      <x:c r="W208" s="28"/>
    </x:row>
    <x:row r="209" spans="1:23">
      <x:c r="A209" s="21" t="s">
        <x:v>71</x:v>
      </x:c>
      <x:c r="B209" s="22" t="s">
        <x:v>498</x:v>
      </x:c>
      <x:c r="C209" s="22" t="s">
        <x:v>72</x:v>
      </x:c>
      <x:c r="D209" s="22" t="s">
        <x:v>499</x:v>
      </x:c>
      <x:c r="E209" s="22" t="s">
        <x:v>196</x:v>
      </x:c>
      <x:c r="F209" s="22" t="s">
        <x:v>195</x:v>
      </x:c>
      <x:c r="G209" s="22" t="s">
        <x:v>196</x:v>
      </x:c>
      <x:c r="H209" s="22">
        <x:v>1</x:v>
      </x:c>
      <x:c r="I209" s="22">
        <x:v>0</x:v>
      </x:c>
      <x:c r="J209" s="22">
        <x:v>0</x:v>
      </x:c>
      <x:c r="K209" s="23">
        <x:v>0</x:v>
      </x:c>
      <x:c r="L209" s="23">
        <x:v>0</x:v>
      </x:c>
      <x:c r="M209" s="23">
        <x:f>K209-L209</x:f>
      </x:c>
      <x:c r="N209" s="22" t="s">
        <x:v>406</x:v>
      </x:c>
      <x:c r="O209" s="24">
        <x:f>IFERROR(INDEX('تطبیق کل'!$J:$J,MATCH(A209&amp;"",'تطبیق کل'!$A:$A,0))&amp;"","")</x:f>
      </x:c>
      <x:c r="P209" s="24" t="s">
        <x:v>379</x:v>
      </x:c>
      <x:c r="Q209" s="24" t="s">
        <x:v>288</x:v>
      </x:c>
      <x:c r="R209" s="25">
        <x:v>0.44</x:v>
      </x:c>
      <x:c r="S209" s="26"/>
      <x:c r="T209" s="22">
        <x:f>IF(S209="","",IFERROR(INDEX('درخت جدید'!$C:$C,MATCH(S209&amp;"",'درخت جدید'!$B:$B,0)),"—"))</x:f>
      </x:c>
      <x:c r="U209" s="22">
        <x:f>IF(S209="",IF(N209="بله","الزامی — تکمیل نشده",""),IF(AND(O209&lt;&gt;"",LEFT(S209&amp;"",4)&lt;&gt;O209),"زیر کل دیگری است — کل یا معین را اصلاح کنید",IF(COUNTIFS('درخت جدید'!$B:$B,S209&amp;"",'درخت جدید'!$A:$A,"معین")=0,IF(V209="","کد در درخت نیست — نام برای تعریف را بنویسید","OK"),"OK")))</x:f>
      </x:c>
      <x:c r="V209" s="27"/>
      <x:c r="W209" s="28"/>
    </x:row>
    <x:row r="210" spans="1:23">
      <x:c r="A210" s="21" t="s">
        <x:v>71</x:v>
      </x:c>
      <x:c r="B210" s="22" t="s">
        <x:v>90</x:v>
      </x:c>
      <x:c r="C210" s="22" t="s">
        <x:v>72</x:v>
      </x:c>
      <x:c r="D210" s="22" t="s">
        <x:v>500</x:v>
      </x:c>
      <x:c r="E210" s="22" t="s">
        <x:v>196</x:v>
      </x:c>
      <x:c r="F210" s="22" t="s">
        <x:v>195</x:v>
      </x:c>
      <x:c r="G210" s="22" t="s">
        <x:v>196</x:v>
      </x:c>
      <x:c r="H210" s="22">
        <x:v>4</x:v>
      </x:c>
      <x:c r="I210" s="22">
        <x:v>0</x:v>
      </x:c>
      <x:c r="J210" s="22">
        <x:v>0</x:v>
      </x:c>
      <x:c r="K210" s="23">
        <x:v>0</x:v>
      </x:c>
      <x:c r="L210" s="23">
        <x:v>0</x:v>
      </x:c>
      <x:c r="M210" s="23">
        <x:f>K210-L210</x:f>
      </x:c>
      <x:c r="N210" s="22" t="s">
        <x:v>406</x:v>
      </x:c>
      <x:c r="O210" s="24">
        <x:f>IFERROR(INDEX('تطبیق کل'!$J:$J,MATCH(A210&amp;"",'تطبیق کل'!$A:$A,0))&amp;"","")</x:f>
      </x:c>
      <x:c r="P210" s="24"/>
      <x:c r="Q210" s="24" t="s">
        <x:v>198</x:v>
      </x:c>
      <x:c r="R210" s="25"/>
      <x:c r="S210" s="26"/>
      <x:c r="T210" s="22">
        <x:f>IF(S210="","",IFERROR(INDEX('درخت جدید'!$C:$C,MATCH(S210&amp;"",'درخت جدید'!$B:$B,0)),"—"))</x:f>
      </x:c>
      <x:c r="U210" s="22">
        <x:f>IF(S210="",IF(N210="بله","الزامی — تکمیل نشده",""),IF(AND(O210&lt;&gt;"",LEFT(S210&amp;"",4)&lt;&gt;O210),"زیر کل دیگری است — کل یا معین را اصلاح کنید",IF(COUNTIFS('درخت جدید'!$B:$B,S210&amp;"",'درخت جدید'!$A:$A,"معین")=0,IF(V210="","کد در درخت نیست — نام برای تعریف را بنویسید","OK"),"OK")))</x:f>
      </x:c>
      <x:c r="V210" s="27"/>
      <x:c r="W210" s="28"/>
    </x:row>
    <x:row r="211" spans="1:23">
      <x:c r="A211" s="21" t="s">
        <x:v>71</x:v>
      </x:c>
      <x:c r="B211" s="22" t="s">
        <x:v>116</x:v>
      </x:c>
      <x:c r="C211" s="22" t="s">
        <x:v>72</x:v>
      </x:c>
      <x:c r="D211" s="22" t="s">
        <x:v>501</x:v>
      </x:c>
      <x:c r="E211" s="22" t="s">
        <x:v>196</x:v>
      </x:c>
      <x:c r="F211" s="22" t="s">
        <x:v>195</x:v>
      </x:c>
      <x:c r="G211" s="22" t="s">
        <x:v>201</x:v>
      </x:c>
      <x:c r="H211" s="22">
        <x:v>1</x:v>
      </x:c>
      <x:c r="I211" s="22">
        <x:v>0</x:v>
      </x:c>
      <x:c r="J211" s="22">
        <x:v>0</x:v>
      </x:c>
      <x:c r="K211" s="23">
        <x:v>0</x:v>
      </x:c>
      <x:c r="L211" s="23">
        <x:v>0</x:v>
      </x:c>
      <x:c r="M211" s="23">
        <x:f>K211-L211</x:f>
      </x:c>
      <x:c r="N211" s="22" t="s">
        <x:v>406</x:v>
      </x:c>
      <x:c r="O211" s="24">
        <x:f>IFERROR(INDEX('تطبیق کل'!$J:$J,MATCH(A211&amp;"",'تطبیق کل'!$A:$A,0))&amp;"","")</x:f>
      </x:c>
      <x:c r="P211" s="24"/>
      <x:c r="Q211" s="24" t="s">
        <x:v>198</x:v>
      </x:c>
      <x:c r="R211" s="25"/>
      <x:c r="S211" s="26"/>
      <x:c r="T211" s="22">
        <x:f>IF(S211="","",IFERROR(INDEX('درخت جدید'!$C:$C,MATCH(S211&amp;"",'درخت جدید'!$B:$B,0)),"—"))</x:f>
      </x:c>
      <x:c r="U211" s="22">
        <x:f>IF(S211="",IF(N211="بله","الزامی — تکمیل نشده",""),IF(AND(O211&lt;&gt;"",LEFT(S211&amp;"",4)&lt;&gt;O211),"زیر کل دیگری است — کل یا معین را اصلاح کنید",IF(COUNTIFS('درخت جدید'!$B:$B,S211&amp;"",'درخت جدید'!$A:$A,"معین")=0,IF(V211="","کد در درخت نیست — نام برای تعریف را بنویسید","OK"),"OK")))</x:f>
      </x:c>
      <x:c r="V211" s="27"/>
      <x:c r="W211" s="28"/>
    </x:row>
    <x:row r="212" spans="1:23">
      <x:c r="A212" s="21" t="s">
        <x:v>82</x:v>
      </x:c>
      <x:c r="B212" s="22" t="s">
        <x:v>204</x:v>
      </x:c>
      <x:c r="C212" s="22" t="s">
        <x:v>83</x:v>
      </x:c>
      <x:c r="D212" s="22" t="s">
        <x:v>502</x:v>
      </x:c>
      <x:c r="E212" s="22" t="s">
        <x:v>195</x:v>
      </x:c>
      <x:c r="F212" s="22" t="s">
        <x:v>195</x:v>
      </x:c>
      <x:c r="G212" s="22" t="s">
        <x:v>196</x:v>
      </x:c>
      <x:c r="H212" s="22">
        <x:v>1</x:v>
      </x:c>
      <x:c r="I212" s="22">
        <x:v>0</x:v>
      </x:c>
      <x:c r="J212" s="22">
        <x:v>0</x:v>
      </x:c>
      <x:c r="K212" s="23">
        <x:v>0</x:v>
      </x:c>
      <x:c r="L212" s="23">
        <x:v>0</x:v>
      </x:c>
      <x:c r="M212" s="23">
        <x:f>K212-L212</x:f>
      </x:c>
      <x:c r="N212" s="22" t="s">
        <x:v>406</x:v>
      </x:c>
      <x:c r="O212" s="24">
        <x:f>IFERROR(INDEX('تطبیق کل'!$J:$J,MATCH(A212&amp;"",'تطبیق کل'!$A:$A,0))&amp;"","")</x:f>
      </x:c>
      <x:c r="P212" s="24"/>
      <x:c r="Q212" s="24" t="s">
        <x:v>198</x:v>
      </x:c>
      <x:c r="R212" s="25"/>
      <x:c r="S212" s="26"/>
      <x:c r="T212" s="22">
        <x:f>IF(S212="","",IFERROR(INDEX('درخت جدید'!$C:$C,MATCH(S212&amp;"",'درخت جدید'!$B:$B,0)),"—"))</x:f>
      </x:c>
      <x:c r="U212" s="22">
        <x:f>IF(S212="",IF(N212="بله","الزامی — تکمیل نشده",""),IF(AND(O212&lt;&gt;"",LEFT(S212&amp;"",4)&lt;&gt;O212),"زیر کل دیگری است — کل یا معین را اصلاح کنید",IF(COUNTIFS('درخت جدید'!$B:$B,S212&amp;"",'درخت جدید'!$A:$A,"معین")=0,IF(V212="","کد در درخت نیست — نام برای تعریف را بنویسید","OK"),"OK")))</x:f>
      </x:c>
      <x:c r="V212" s="27"/>
      <x:c r="W212" s="28"/>
    </x:row>
    <x:row r="213" spans="1:23">
      <x:c r="A213" s="21" t="s">
        <x:v>86</x:v>
      </x:c>
      <x:c r="B213" s="22" t="s">
        <x:v>378</x:v>
      </x:c>
      <x:c r="C213" s="22" t="s">
        <x:v>87</x:v>
      </x:c>
      <x:c r="D213" s="22" t="s">
        <x:v>503</x:v>
      </x:c>
      <x:c r="E213" s="22" t="s">
        <x:v>196</x:v>
      </x:c>
      <x:c r="F213" s="22" t="s">
        <x:v>196</x:v>
      </x:c>
      <x:c r="G213" s="22" t="s">
        <x:v>201</x:v>
      </x:c>
      <x:c r="H213" s="22">
        <x:v>3</x:v>
      </x:c>
      <x:c r="I213" s="22">
        <x:v>0</x:v>
      </x:c>
      <x:c r="J213" s="22">
        <x:v>0</x:v>
      </x:c>
      <x:c r="K213" s="23">
        <x:v>0</x:v>
      </x:c>
      <x:c r="L213" s="23">
        <x:v>0</x:v>
      </x:c>
      <x:c r="M213" s="23">
        <x:f>K213-L213</x:f>
      </x:c>
      <x:c r="N213" s="22" t="s">
        <x:v>406</x:v>
      </x:c>
      <x:c r="O213" s="24">
        <x:f>IFERROR(INDEX('تطبیق کل'!$J:$J,MATCH(A213&amp;"",'تطبیق کل'!$A:$A,0))&amp;"","")</x:f>
      </x:c>
      <x:c r="P213" s="24" t="s">
        <x:v>367</x:v>
      </x:c>
      <x:c r="Q213" s="24" t="s">
        <x:v>368</x:v>
      </x:c>
      <x:c r="R213" s="25">
        <x:v>0.39</x:v>
      </x:c>
      <x:c r="S213" s="26"/>
      <x:c r="T213" s="22">
        <x:f>IF(S213="","",IFERROR(INDEX('درخت جدید'!$C:$C,MATCH(S213&amp;"",'درخت جدید'!$B:$B,0)),"—"))</x:f>
      </x:c>
      <x:c r="U213" s="22">
        <x:f>IF(S213="",IF(N213="بله","الزامی — تکمیل نشده",""),IF(AND(O213&lt;&gt;"",LEFT(S213&amp;"",4)&lt;&gt;O213),"زیر کل دیگری است — کل یا معین را اصلاح کنید",IF(COUNTIFS('درخت جدید'!$B:$B,S213&amp;"",'درخت جدید'!$A:$A,"معین")=0,IF(V213="","کد در درخت نیست — نام برای تعریف را بنویسید","OK"),"OK")))</x:f>
      </x:c>
      <x:c r="V213" s="27"/>
      <x:c r="W213" s="28"/>
    </x:row>
    <x:row r="214" spans="1:23">
      <x:c r="A214" s="21" t="s">
        <x:v>86</x:v>
      </x:c>
      <x:c r="B214" s="22" t="s">
        <x:v>175</x:v>
      </x:c>
      <x:c r="C214" s="22" t="s">
        <x:v>87</x:v>
      </x:c>
      <x:c r="D214" s="22" t="s">
        <x:v>504</x:v>
      </x:c>
      <x:c r="E214" s="22" t="s">
        <x:v>196</x:v>
      </x:c>
      <x:c r="F214" s="22" t="s">
        <x:v>196</x:v>
      </x:c>
      <x:c r="G214" s="22" t="s">
        <x:v>201</x:v>
      </x:c>
      <x:c r="H214" s="22">
        <x:v>2</x:v>
      </x:c>
      <x:c r="I214" s="22">
        <x:v>0</x:v>
      </x:c>
      <x:c r="J214" s="22">
        <x:v>0</x:v>
      </x:c>
      <x:c r="K214" s="23">
        <x:v>0</x:v>
      </x:c>
      <x:c r="L214" s="23">
        <x:v>0</x:v>
      </x:c>
      <x:c r="M214" s="23">
        <x:f>K214-L214</x:f>
      </x:c>
      <x:c r="N214" s="22" t="s">
        <x:v>406</x:v>
      </x:c>
      <x:c r="O214" s="24">
        <x:f>IFERROR(INDEX('تطبیق کل'!$J:$J,MATCH(A214&amp;"",'تطبیق کل'!$A:$A,0))&amp;"","")</x:f>
      </x:c>
      <x:c r="P214" s="24" t="s">
        <x:v>281</x:v>
      </x:c>
      <x:c r="Q214" s="24" t="s">
        <x:v>282</x:v>
      </x:c>
      <x:c r="R214" s="25">
        <x:v>0.57</x:v>
      </x:c>
      <x:c r="S214" s="26"/>
      <x:c r="T214" s="22">
        <x:f>IF(S214="","",IFERROR(INDEX('درخت جدید'!$C:$C,MATCH(S214&amp;"",'درخت جدید'!$B:$B,0)),"—"))</x:f>
      </x:c>
      <x:c r="U214" s="22">
        <x:f>IF(S214="",IF(N214="بله","الزامی — تکمیل نشده",""),IF(AND(O214&lt;&gt;"",LEFT(S214&amp;"",4)&lt;&gt;O214),"زیر کل دیگری است — کل یا معین را اصلاح کنید",IF(COUNTIFS('درخت جدید'!$B:$B,S214&amp;"",'درخت جدید'!$A:$A,"معین")=0,IF(V214="","کد در درخت نیست — نام برای تعریف را بنویسید","OK"),"OK")))</x:f>
      </x:c>
      <x:c r="V214" s="27"/>
      <x:c r="W214" s="28"/>
    </x:row>
    <x:row r="215" spans="1:23">
      <x:c r="A215" s="21" t="s">
        <x:v>90</x:v>
      </x:c>
      <x:c r="B215" s="22" t="s">
        <x:v>102</x:v>
      </x:c>
      <x:c r="C215" s="22" t="s">
        <x:v>91</x:v>
      </x:c>
      <x:c r="D215" s="22" t="s">
        <x:v>505</x:v>
      </x:c>
      <x:c r="E215" s="22" t="s">
        <x:v>196</x:v>
      </x:c>
      <x:c r="F215" s="22" t="s">
        <x:v>196</x:v>
      </x:c>
      <x:c r="G215" s="22" t="s">
        <x:v>201</x:v>
      </x:c>
      <x:c r="H215" s="22">
        <x:v>1</x:v>
      </x:c>
      <x:c r="I215" s="22">
        <x:v>0</x:v>
      </x:c>
      <x:c r="J215" s="22">
        <x:v>0</x:v>
      </x:c>
      <x:c r="K215" s="23">
        <x:v>0</x:v>
      </x:c>
      <x:c r="L215" s="23">
        <x:v>0</x:v>
      </x:c>
      <x:c r="M215" s="23">
        <x:f>K215-L215</x:f>
      </x:c>
      <x:c r="N215" s="22" t="s">
        <x:v>406</x:v>
      </x:c>
      <x:c r="O215" s="24">
        <x:f>IFERROR(INDEX('تطبیق کل'!$J:$J,MATCH(A215&amp;"",'تطبیق کل'!$A:$A,0))&amp;"","")</x:f>
      </x:c>
      <x:c r="P215" s="24" t="s">
        <x:v>495</x:v>
      </x:c>
      <x:c r="Q215" s="24" t="s">
        <x:v>496</x:v>
      </x:c>
      <x:c r="R215" s="25">
        <x:v>0.36</x:v>
      </x:c>
      <x:c r="S215" s="26"/>
      <x:c r="T215" s="22">
        <x:f>IF(S215="","",IFERROR(INDEX('درخت جدید'!$C:$C,MATCH(S215&amp;"",'درخت جدید'!$B:$B,0)),"—"))</x:f>
      </x:c>
      <x:c r="U215" s="22">
        <x:f>IF(S215="",IF(N215="بله","الزامی — تکمیل نشده",""),IF(AND(O215&lt;&gt;"",LEFT(S215&amp;"",4)&lt;&gt;O215),"زیر کل دیگری است — کل یا معین را اصلاح کنید",IF(COUNTIFS('درخت جدید'!$B:$B,S215&amp;"",'درخت جدید'!$A:$A,"معین")=0,IF(V215="","کد در درخت نیست — نام برای تعریف را بنویسید","OK"),"OK")))</x:f>
      </x:c>
      <x:c r="V215" s="27"/>
      <x:c r="W215" s="28"/>
    </x:row>
    <x:row r="216" spans="1:23">
      <x:c r="A216" s="21" t="s">
        <x:v>90</x:v>
      </x:c>
      <x:c r="B216" s="22" t="s">
        <x:v>417</x:v>
      </x:c>
      <x:c r="C216" s="22" t="s">
        <x:v>91</x:v>
      </x:c>
      <x:c r="D216" s="22" t="s">
        <x:v>506</x:v>
      </x:c>
      <x:c r="E216" s="22" t="s">
        <x:v>196</x:v>
      </x:c>
      <x:c r="F216" s="22" t="s">
        <x:v>196</x:v>
      </x:c>
      <x:c r="G216" s="22" t="s">
        <x:v>201</x:v>
      </x:c>
      <x:c r="H216" s="22">
        <x:v>1</x:v>
      </x:c>
      <x:c r="I216" s="22">
        <x:v>0</x:v>
      </x:c>
      <x:c r="J216" s="22">
        <x:v>0</x:v>
      </x:c>
      <x:c r="K216" s="23">
        <x:v>0</x:v>
      </x:c>
      <x:c r="L216" s="23">
        <x:v>0</x:v>
      </x:c>
      <x:c r="M216" s="23">
        <x:f>K216-L216</x:f>
      </x:c>
      <x:c r="N216" s="22" t="s">
        <x:v>406</x:v>
      </x:c>
      <x:c r="O216" s="24">
        <x:f>IFERROR(INDEX('تطبیق کل'!$J:$J,MATCH(A216&amp;"",'تطبیق کل'!$A:$A,0))&amp;"","")</x:f>
      </x:c>
      <x:c r="P216" s="24" t="s">
        <x:v>495</x:v>
      </x:c>
      <x:c r="Q216" s="24" t="s">
        <x:v>496</x:v>
      </x:c>
      <x:c r="R216" s="25">
        <x:v>0.43</x:v>
      </x:c>
      <x:c r="S216" s="26"/>
      <x:c r="T216" s="22">
        <x:f>IF(S216="","",IFERROR(INDEX('درخت جدید'!$C:$C,MATCH(S216&amp;"",'درخت جدید'!$B:$B,0)),"—"))</x:f>
      </x:c>
      <x:c r="U216" s="22">
        <x:f>IF(S216="",IF(N216="بله","الزامی — تکمیل نشده",""),IF(AND(O216&lt;&gt;"",LEFT(S216&amp;"",4)&lt;&gt;O216),"زیر کل دیگری است — کل یا معین را اصلاح کنید",IF(COUNTIFS('درخت جدید'!$B:$B,S216&amp;"",'درخت جدید'!$A:$A,"معین")=0,IF(V216="","کد در درخت نیست — نام برای تعریف را بنویسید","OK"),"OK")))</x:f>
      </x:c>
      <x:c r="V216" s="27"/>
      <x:c r="W216" s="28"/>
    </x:row>
    <x:row r="217" spans="1:23">
      <x:c r="A217" s="21" t="s">
        <x:v>90</x:v>
      </x:c>
      <x:c r="B217" s="22" t="s">
        <x:v>419</x:v>
      </x:c>
      <x:c r="C217" s="22" t="s">
        <x:v>91</x:v>
      </x:c>
      <x:c r="D217" s="22" t="s">
        <x:v>507</x:v>
      </x:c>
      <x:c r="E217" s="22" t="s">
        <x:v>196</x:v>
      </x:c>
      <x:c r="F217" s="22" t="s">
        <x:v>196</x:v>
      </x:c>
      <x:c r="G217" s="22" t="s">
        <x:v>201</x:v>
      </x:c>
      <x:c r="H217" s="22">
        <x:v>1</x:v>
      </x:c>
      <x:c r="I217" s="22">
        <x:v>0</x:v>
      </x:c>
      <x:c r="J217" s="22">
        <x:v>0</x:v>
      </x:c>
      <x:c r="K217" s="23">
        <x:v>0</x:v>
      </x:c>
      <x:c r="L217" s="23">
        <x:v>0</x:v>
      </x:c>
      <x:c r="M217" s="23">
        <x:f>K217-L217</x:f>
      </x:c>
      <x:c r="N217" s="22" t="s">
        <x:v>406</x:v>
      </x:c>
      <x:c r="O217" s="24">
        <x:f>IFERROR(INDEX('تطبیق کل'!$J:$J,MATCH(A217&amp;"",'تطبیق کل'!$A:$A,0))&amp;"","")</x:f>
      </x:c>
      <x:c r="P217" s="24"/>
      <x:c r="Q217" s="24" t="s">
        <x:v>198</x:v>
      </x:c>
      <x:c r="R217" s="25"/>
      <x:c r="S217" s="26"/>
      <x:c r="T217" s="22">
        <x:f>IF(S217="","",IFERROR(INDEX('درخت جدید'!$C:$C,MATCH(S217&amp;"",'درخت جدید'!$B:$B,0)),"—"))</x:f>
      </x:c>
      <x:c r="U217" s="22">
        <x:f>IF(S217="",IF(N217="بله","الزامی — تکمیل نشده",""),IF(AND(O217&lt;&gt;"",LEFT(S217&amp;"",4)&lt;&gt;O217),"زیر کل دیگری است — کل یا معین را اصلاح کنید",IF(COUNTIFS('درخت جدید'!$B:$B,S217&amp;"",'درخت جدید'!$A:$A,"معین")=0,IF(V217="","کد در درخت نیست — نام برای تعریف را بنویسید","OK"),"OK")))</x:f>
      </x:c>
      <x:c r="V217" s="27"/>
      <x:c r="W217" s="28"/>
    </x:row>
    <x:row r="218" spans="1:23">
      <x:c r="A218" s="21" t="s">
        <x:v>90</x:v>
      </x:c>
      <x:c r="B218" s="22" t="s">
        <x:v>215</x:v>
      </x:c>
      <x:c r="C218" s="22" t="s">
        <x:v>91</x:v>
      </x:c>
      <x:c r="D218" s="22" t="s">
        <x:v>508</x:v>
      </x:c>
      <x:c r="E218" s="22" t="s">
        <x:v>196</x:v>
      </x:c>
      <x:c r="F218" s="22" t="s">
        <x:v>196</x:v>
      </x:c>
      <x:c r="G218" s="22" t="s">
        <x:v>201</x:v>
      </x:c>
      <x:c r="H218" s="22">
        <x:v>1</x:v>
      </x:c>
      <x:c r="I218" s="22">
        <x:v>0</x:v>
      </x:c>
      <x:c r="J218" s="22">
        <x:v>0</x:v>
      </x:c>
      <x:c r="K218" s="23">
        <x:v>0</x:v>
      </x:c>
      <x:c r="L218" s="23">
        <x:v>0</x:v>
      </x:c>
      <x:c r="M218" s="23">
        <x:f>K218-L218</x:f>
      </x:c>
      <x:c r="N218" s="22" t="s">
        <x:v>406</x:v>
      </x:c>
      <x:c r="O218" s="24">
        <x:f>IFERROR(INDEX('تطبیق کل'!$J:$J,MATCH(A218&amp;"",'تطبیق کل'!$A:$A,0))&amp;"","")</x:f>
      </x:c>
      <x:c r="P218" s="24" t="s">
        <x:v>495</x:v>
      </x:c>
      <x:c r="Q218" s="24" t="s">
        <x:v>496</x:v>
      </x:c>
      <x:c r="R218" s="25">
        <x:v>0.37</x:v>
      </x:c>
      <x:c r="S218" s="26"/>
      <x:c r="T218" s="22">
        <x:f>IF(S218="","",IFERROR(INDEX('درخت جدید'!$C:$C,MATCH(S218&amp;"",'درخت جدید'!$B:$B,0)),"—"))</x:f>
      </x:c>
      <x:c r="U218" s="22">
        <x:f>IF(S218="",IF(N218="بله","الزامی — تکمیل نشده",""),IF(AND(O218&lt;&gt;"",LEFT(S218&amp;"",4)&lt;&gt;O218),"زیر کل دیگری است — کل یا معین را اصلاح کنید",IF(COUNTIFS('درخت جدید'!$B:$B,S218&amp;"",'درخت جدید'!$A:$A,"معین")=0,IF(V218="","کد در درخت نیست — نام برای تعریف را بنویسید","OK"),"OK")))</x:f>
      </x:c>
      <x:c r="V218" s="27"/>
      <x:c r="W218" s="28"/>
    </x:row>
    <x:row r="219" spans="1:23">
      <x:c r="A219" s="21" t="s">
        <x:v>90</x:v>
      </x:c>
      <x:c r="B219" s="22" t="s">
        <x:v>153</x:v>
      </x:c>
      <x:c r="C219" s="22" t="s">
        <x:v>91</x:v>
      </x:c>
      <x:c r="D219" s="22" t="s">
        <x:v>509</x:v>
      </x:c>
      <x:c r="E219" s="22" t="s">
        <x:v>196</x:v>
      </x:c>
      <x:c r="F219" s="22" t="s">
        <x:v>196</x:v>
      </x:c>
      <x:c r="G219" s="22" t="s">
        <x:v>201</x:v>
      </x:c>
      <x:c r="H219" s="22">
        <x:v>1</x:v>
      </x:c>
      <x:c r="I219" s="22">
        <x:v>0</x:v>
      </x:c>
      <x:c r="J219" s="22">
        <x:v>0</x:v>
      </x:c>
      <x:c r="K219" s="23">
        <x:v>0</x:v>
      </x:c>
      <x:c r="L219" s="23">
        <x:v>0</x:v>
      </x:c>
      <x:c r="M219" s="23">
        <x:f>K219-L219</x:f>
      </x:c>
      <x:c r="N219" s="22" t="s">
        <x:v>406</x:v>
      </x:c>
      <x:c r="O219" s="24">
        <x:f>IFERROR(INDEX('تطبیق کل'!$J:$J,MATCH(A219&amp;"",'تطبیق کل'!$A:$A,0))&amp;"","")</x:f>
      </x:c>
      <x:c r="P219" s="24" t="s">
        <x:v>495</x:v>
      </x:c>
      <x:c r="Q219" s="24" t="s">
        <x:v>496</x:v>
      </x:c>
      <x:c r="R219" s="25">
        <x:v>0.48</x:v>
      </x:c>
      <x:c r="S219" s="26"/>
      <x:c r="T219" s="22">
        <x:f>IF(S219="","",IFERROR(INDEX('درخت جدید'!$C:$C,MATCH(S219&amp;"",'درخت جدید'!$B:$B,0)),"—"))</x:f>
      </x:c>
      <x:c r="U219" s="22">
        <x:f>IF(S219="",IF(N219="بله","الزامی — تکمیل نشده",""),IF(AND(O219&lt;&gt;"",LEFT(S219&amp;"",4)&lt;&gt;O219),"زیر کل دیگری است — کل یا معین را اصلاح کنید",IF(COUNTIFS('درخت جدید'!$B:$B,S219&amp;"",'درخت جدید'!$A:$A,"معین")=0,IF(V219="","کد در درخت نیست — نام برای تعریف را بنویسید","OK"),"OK")))</x:f>
      </x:c>
      <x:c r="V219" s="27"/>
      <x:c r="W219" s="28"/>
    </x:row>
    <x:row r="220" spans="1:23">
      <x:c r="A220" s="21" t="s">
        <x:v>94</x:v>
      </x:c>
      <x:c r="B220" s="22" t="s">
        <x:v>265</x:v>
      </x:c>
      <x:c r="C220" s="22" t="s">
        <x:v>95</x:v>
      </x:c>
      <x:c r="D220" s="22" t="s">
        <x:v>510</x:v>
      </x:c>
      <x:c r="E220" s="22" t="s">
        <x:v>196</x:v>
      </x:c>
      <x:c r="F220" s="22" t="s">
        <x:v>196</x:v>
      </x:c>
      <x:c r="G220" s="22" t="s">
        <x:v>201</x:v>
      </x:c>
      <x:c r="H220" s="22">
        <x:v>1</x:v>
      </x:c>
      <x:c r="I220" s="22">
        <x:v>0</x:v>
      </x:c>
      <x:c r="J220" s="22">
        <x:v>0</x:v>
      </x:c>
      <x:c r="K220" s="23">
        <x:v>0</x:v>
      </x:c>
      <x:c r="L220" s="23">
        <x:v>0</x:v>
      </x:c>
      <x:c r="M220" s="23">
        <x:f>K220-L220</x:f>
      </x:c>
      <x:c r="N220" s="22" t="s">
        <x:v>406</x:v>
      </x:c>
      <x:c r="O220" s="24">
        <x:f>IFERROR(INDEX('تطبیق کل'!$J:$J,MATCH(A220&amp;"",'تطبیق کل'!$A:$A,0))&amp;"","")</x:f>
      </x:c>
      <x:c r="P220" s="24" t="s">
        <x:v>511</x:v>
      </x:c>
      <x:c r="Q220" s="24" t="s">
        <x:v>512</x:v>
      </x:c>
      <x:c r="R220" s="25">
        <x:v>0.77</x:v>
      </x:c>
      <x:c r="S220" s="26"/>
      <x:c r="T220" s="22">
        <x:f>IF(S220="","",IFERROR(INDEX('درخت جدید'!$C:$C,MATCH(S220&amp;"",'درخت جدید'!$B:$B,0)),"—"))</x:f>
      </x:c>
      <x:c r="U220" s="22">
        <x:f>IF(S220="",IF(N220="بله","الزامی — تکمیل نشده",""),IF(AND(O220&lt;&gt;"",LEFT(S220&amp;"",4)&lt;&gt;O220),"زیر کل دیگری است — کل یا معین را اصلاح کنید",IF(COUNTIFS('درخت جدید'!$B:$B,S220&amp;"",'درخت جدید'!$A:$A,"معین")=0,IF(V220="","کد در درخت نیست — نام برای تعریف را بنویسید","OK"),"OK")))</x:f>
      </x:c>
      <x:c r="V220" s="27"/>
      <x:c r="W220" s="28"/>
    </x:row>
    <x:row r="221" spans="1:23">
      <x:c r="A221" s="21" t="s">
        <x:v>94</x:v>
      </x:c>
      <x:c r="B221" s="22" t="s">
        <x:v>292</x:v>
      </x:c>
      <x:c r="C221" s="22" t="s">
        <x:v>95</x:v>
      </x:c>
      <x:c r="D221" s="22" t="s">
        <x:v>513</x:v>
      </x:c>
      <x:c r="E221" s="22" t="s">
        <x:v>196</x:v>
      </x:c>
      <x:c r="F221" s="22" t="s">
        <x:v>196</x:v>
      </x:c>
      <x:c r="G221" s="22" t="s">
        <x:v>201</x:v>
      </x:c>
      <x:c r="H221" s="22">
        <x:v>1</x:v>
      </x:c>
      <x:c r="I221" s="22">
        <x:v>0</x:v>
      </x:c>
      <x:c r="J221" s="22">
        <x:v>0</x:v>
      </x:c>
      <x:c r="K221" s="23">
        <x:v>0</x:v>
      </x:c>
      <x:c r="L221" s="23">
        <x:v>0</x:v>
      </x:c>
      <x:c r="M221" s="23">
        <x:f>K221-L221</x:f>
      </x:c>
      <x:c r="N221" s="22" t="s">
        <x:v>406</x:v>
      </x:c>
      <x:c r="O221" s="24">
        <x:f>IFERROR(INDEX('تطبیق کل'!$J:$J,MATCH(A221&amp;"",'تطبیق کل'!$A:$A,0))&amp;"","")</x:f>
      </x:c>
      <x:c r="P221" s="24" t="s">
        <x:v>514</x:v>
      </x:c>
      <x:c r="Q221" s="24" t="s">
        <x:v>515</x:v>
      </x:c>
      <x:c r="R221" s="25">
        <x:v>0.86</x:v>
      </x:c>
      <x:c r="S221" s="26"/>
      <x:c r="T221" s="22">
        <x:f>IF(S221="","",IFERROR(INDEX('درخت جدید'!$C:$C,MATCH(S221&amp;"",'درخت جدید'!$B:$B,0)),"—"))</x:f>
      </x:c>
      <x:c r="U221" s="22">
        <x:f>IF(S221="",IF(N221="بله","الزامی — تکمیل نشده",""),IF(AND(O221&lt;&gt;"",LEFT(S221&amp;"",4)&lt;&gt;O221),"زیر کل دیگری است — کل یا معین را اصلاح کنید",IF(COUNTIFS('درخت جدید'!$B:$B,S221&amp;"",'درخت جدید'!$A:$A,"معین")=0,IF(V221="","کد در درخت نیست — نام برای تعریف را بنویسید","OK"),"OK")))</x:f>
      </x:c>
      <x:c r="V221" s="27"/>
      <x:c r="W221" s="28"/>
    </x:row>
    <x:row r="222" spans="1:23">
      <x:c r="A222" s="21" t="s">
        <x:v>98</x:v>
      </x:c>
      <x:c r="B222" s="22" t="s">
        <x:v>204</x:v>
      </x:c>
      <x:c r="C222" s="22" t="s">
        <x:v>99</x:v>
      </x:c>
      <x:c r="D222" s="22" t="s">
        <x:v>516</x:v>
      </x:c>
      <x:c r="E222" s="22" t="s">
        <x:v>196</x:v>
      </x:c>
      <x:c r="F222" s="22" t="s">
        <x:v>196</x:v>
      </x:c>
      <x:c r="G222" s="22" t="s">
        <x:v>201</x:v>
      </x:c>
      <x:c r="H222" s="22">
        <x:v>2</x:v>
      </x:c>
      <x:c r="I222" s="22">
        <x:v>0</x:v>
      </x:c>
      <x:c r="J222" s="22">
        <x:v>0</x:v>
      </x:c>
      <x:c r="K222" s="23">
        <x:v>0</x:v>
      </x:c>
      <x:c r="L222" s="23">
        <x:v>0</x:v>
      </x:c>
      <x:c r="M222" s="23">
        <x:f>K222-L222</x:f>
      </x:c>
      <x:c r="N222" s="22" t="s">
        <x:v>406</x:v>
      </x:c>
      <x:c r="O222" s="24">
        <x:f>IFERROR(INDEX('تطبیق کل'!$J:$J,MATCH(A222&amp;"",'تطبیق کل'!$A:$A,0))&amp;"","")</x:f>
      </x:c>
      <x:c r="P222" s="24" t="s">
        <x:v>290</x:v>
      </x:c>
      <x:c r="Q222" s="24" t="s">
        <x:v>291</x:v>
      </x:c>
      <x:c r="R222" s="25">
        <x:v>1</x:v>
      </x:c>
      <x:c r="S222" s="26"/>
      <x:c r="T222" s="22">
        <x:f>IF(S222="","",IFERROR(INDEX('درخت جدید'!$C:$C,MATCH(S222&amp;"",'درخت جدید'!$B:$B,0)),"—"))</x:f>
      </x:c>
      <x:c r="U222" s="22">
        <x:f>IF(S222="",IF(N222="بله","الزامی — تکمیل نشده",""),IF(AND(O222&lt;&gt;"",LEFT(S222&amp;"",4)&lt;&gt;O222),"زیر کل دیگری است — کل یا معین را اصلاح کنید",IF(COUNTIFS('درخت جدید'!$B:$B,S222&amp;"",'درخت جدید'!$A:$A,"معین")=0,IF(V222="","کد در درخت نیست — نام برای تعریف را بنویسید","OK"),"OK")))</x:f>
      </x:c>
      <x:c r="V222" s="27"/>
      <x:c r="W222" s="28"/>
    </x:row>
    <x:row r="223" spans="1:23">
      <x:c r="A223" s="21" t="s">
        <x:v>102</x:v>
      </x:c>
      <x:c r="B223" s="22" t="s">
        <x:v>21</x:v>
      </x:c>
      <x:c r="C223" s="22" t="s">
        <x:v>103</x:v>
      </x:c>
      <x:c r="D223" s="22" t="s">
        <x:v>517</x:v>
      </x:c>
      <x:c r="E223" s="22" t="s">
        <x:v>196</x:v>
      </x:c>
      <x:c r="F223" s="22" t="s">
        <x:v>196</x:v>
      </x:c>
      <x:c r="G223" s="22" t="s">
        <x:v>201</x:v>
      </x:c>
      <x:c r="H223" s="22">
        <x:v>1</x:v>
      </x:c>
      <x:c r="I223" s="22">
        <x:v>0</x:v>
      </x:c>
      <x:c r="J223" s="22">
        <x:v>0</x:v>
      </x:c>
      <x:c r="K223" s="23">
        <x:v>0</x:v>
      </x:c>
      <x:c r="L223" s="23">
        <x:v>0</x:v>
      </x:c>
      <x:c r="M223" s="23">
        <x:f>K223-L223</x:f>
      </x:c>
      <x:c r="N223" s="22" t="s">
        <x:v>406</x:v>
      </x:c>
      <x:c r="O223" s="24">
        <x:f>IFERROR(INDEX('تطبیق کل'!$J:$J,MATCH(A223&amp;"",'تطبیق کل'!$A:$A,0))&amp;"","")</x:f>
      </x:c>
      <x:c r="P223" s="24" t="s">
        <x:v>300</x:v>
      </x:c>
      <x:c r="Q223" s="24" t="s">
        <x:v>301</x:v>
      </x:c>
      <x:c r="R223" s="25">
        <x:v>1</x:v>
      </x:c>
      <x:c r="S223" s="26"/>
      <x:c r="T223" s="22">
        <x:f>IF(S223="","",IFERROR(INDEX('درخت جدید'!$C:$C,MATCH(S223&amp;"",'درخت جدید'!$B:$B,0)),"—"))</x:f>
      </x:c>
      <x:c r="U223" s="22">
        <x:f>IF(S223="",IF(N223="بله","الزامی — تکمیل نشده",""),IF(AND(O223&lt;&gt;"",LEFT(S223&amp;"",4)&lt;&gt;O223),"زیر کل دیگری است — کل یا معین را اصلاح کنید",IF(COUNTIFS('درخت جدید'!$B:$B,S223&amp;"",'درخت جدید'!$A:$A,"معین")=0,IF(V223="","کد در درخت نیست — نام برای تعریف را بنویسید","OK"),"OK")))</x:f>
      </x:c>
      <x:c r="V223" s="27"/>
      <x:c r="W223" s="28"/>
    </x:row>
    <x:row r="224" spans="1:23">
      <x:c r="A224" s="21" t="s">
        <x:v>102</x:v>
      </x:c>
      <x:c r="B224" s="22" t="s">
        <x:v>41</x:v>
      </x:c>
      <x:c r="C224" s="22" t="s">
        <x:v>103</x:v>
      </x:c>
      <x:c r="D224" s="22" t="s">
        <x:v>518</x:v>
      </x:c>
      <x:c r="E224" s="22" t="s">
        <x:v>196</x:v>
      </x:c>
      <x:c r="F224" s="22" t="s">
        <x:v>196</x:v>
      </x:c>
      <x:c r="G224" s="22" t="s">
        <x:v>201</x:v>
      </x:c>
      <x:c r="H224" s="22">
        <x:v>1</x:v>
      </x:c>
      <x:c r="I224" s="22">
        <x:v>0</x:v>
      </x:c>
      <x:c r="J224" s="22">
        <x:v>0</x:v>
      </x:c>
      <x:c r="K224" s="23">
        <x:v>0</x:v>
      </x:c>
      <x:c r="L224" s="23">
        <x:v>0</x:v>
      </x:c>
      <x:c r="M224" s="23">
        <x:f>K224-L224</x:f>
      </x:c>
      <x:c r="N224" s="22" t="s">
        <x:v>406</x:v>
      </x:c>
      <x:c r="O224" s="24">
        <x:f>IFERROR(INDEX('تطبیق کل'!$J:$J,MATCH(A224&amp;"",'تطبیق کل'!$A:$A,0))&amp;"","")</x:f>
      </x:c>
      <x:c r="P224" s="24" t="s">
        <x:v>519</x:v>
      </x:c>
      <x:c r="Q224" s="24" t="s">
        <x:v>520</x:v>
      </x:c>
      <x:c r="R224" s="25">
        <x:v>1</x:v>
      </x:c>
      <x:c r="S224" s="26"/>
      <x:c r="T224" s="22">
        <x:f>IF(S224="","",IFERROR(INDEX('درخت جدید'!$C:$C,MATCH(S224&amp;"",'درخت جدید'!$B:$B,0)),"—"))</x:f>
      </x:c>
      <x:c r="U224" s="22">
        <x:f>IF(S224="",IF(N224="بله","الزامی — تکمیل نشده",""),IF(AND(O224&lt;&gt;"",LEFT(S224&amp;"",4)&lt;&gt;O224),"زیر کل دیگری است — کل یا معین را اصلاح کنید",IF(COUNTIFS('درخت جدید'!$B:$B,S224&amp;"",'درخت جدید'!$A:$A,"معین")=0,IF(V224="","کد در درخت نیست — نام برای تعریف را بنویسید","OK"),"OK")))</x:f>
      </x:c>
      <x:c r="V224" s="27"/>
      <x:c r="W224" s="28"/>
    </x:row>
    <x:row r="225" spans="1:23">
      <x:c r="A225" s="21" t="s">
        <x:v>102</x:v>
      </x:c>
      <x:c r="B225" s="22" t="s">
        <x:v>207</x:v>
      </x:c>
      <x:c r="C225" s="22" t="s">
        <x:v>103</x:v>
      </x:c>
      <x:c r="D225" s="22" t="s">
        <x:v>521</x:v>
      </x:c>
      <x:c r="E225" s="22" t="s">
        <x:v>196</x:v>
      </x:c>
      <x:c r="F225" s="22" t="s">
        <x:v>196</x:v>
      </x:c>
      <x:c r="G225" s="22" t="s">
        <x:v>201</x:v>
      </x:c>
      <x:c r="H225" s="22">
        <x:v>1</x:v>
      </x:c>
      <x:c r="I225" s="22">
        <x:v>0</x:v>
      </x:c>
      <x:c r="J225" s="22">
        <x:v>0</x:v>
      </x:c>
      <x:c r="K225" s="23">
        <x:v>0</x:v>
      </x:c>
      <x:c r="L225" s="23">
        <x:v>0</x:v>
      </x:c>
      <x:c r="M225" s="23">
        <x:f>K225-L225</x:f>
      </x:c>
      <x:c r="N225" s="22" t="s">
        <x:v>406</x:v>
      </x:c>
      <x:c r="O225" s="24">
        <x:f>IFERROR(INDEX('تطبیق کل'!$J:$J,MATCH(A225&amp;"",'تطبیق کل'!$A:$A,0))&amp;"","")</x:f>
      </x:c>
      <x:c r="P225" s="24" t="s">
        <x:v>522</x:v>
      </x:c>
      <x:c r="Q225" s="24" t="s">
        <x:v>523</x:v>
      </x:c>
      <x:c r="R225" s="25">
        <x:v>0.41</x:v>
      </x:c>
      <x:c r="S225" s="26"/>
      <x:c r="T225" s="22">
        <x:f>IF(S225="","",IFERROR(INDEX('درخت جدید'!$C:$C,MATCH(S225&amp;"",'درخت جدید'!$B:$B,0)),"—"))</x:f>
      </x:c>
      <x:c r="U225" s="22">
        <x:f>IF(S225="",IF(N225="بله","الزامی — تکمیل نشده",""),IF(AND(O225&lt;&gt;"",LEFT(S225&amp;"",4)&lt;&gt;O225),"زیر کل دیگری است — کل یا معین را اصلاح کنید",IF(COUNTIFS('درخت جدید'!$B:$B,S225&amp;"",'درخت جدید'!$A:$A,"معین")=0,IF(V225="","کد در درخت نیست — نام برای تعریف را بنویسید","OK"),"OK")))</x:f>
      </x:c>
      <x:c r="V225" s="27"/>
      <x:c r="W225" s="28"/>
    </x:row>
    <x:row r="226" spans="1:23">
      <x:c r="A226" s="21" t="s">
        <x:v>102</x:v>
      </x:c>
      <x:c r="B226" s="22" t="s">
        <x:v>45</x:v>
      </x:c>
      <x:c r="C226" s="22" t="s">
        <x:v>103</x:v>
      </x:c>
      <x:c r="D226" s="22" t="s">
        <x:v>524</x:v>
      </x:c>
      <x:c r="E226" s="22" t="s">
        <x:v>196</x:v>
      </x:c>
      <x:c r="F226" s="22" t="s">
        <x:v>196</x:v>
      </x:c>
      <x:c r="G226" s="22" t="s">
        <x:v>201</x:v>
      </x:c>
      <x:c r="H226" s="22">
        <x:v>1</x:v>
      </x:c>
      <x:c r="I226" s="22">
        <x:v>0</x:v>
      </x:c>
      <x:c r="J226" s="22">
        <x:v>0</x:v>
      </x:c>
      <x:c r="K226" s="23">
        <x:v>0</x:v>
      </x:c>
      <x:c r="L226" s="23">
        <x:v>0</x:v>
      </x:c>
      <x:c r="M226" s="23">
        <x:f>K226-L226</x:f>
      </x:c>
      <x:c r="N226" s="22" t="s">
        <x:v>406</x:v>
      </x:c>
      <x:c r="O226" s="24">
        <x:f>IFERROR(INDEX('تطبیق کل'!$J:$J,MATCH(A226&amp;"",'تطبیق کل'!$A:$A,0))&amp;"","")</x:f>
      </x:c>
      <x:c r="P226" s="24" t="s">
        <x:v>519</x:v>
      </x:c>
      <x:c r="Q226" s="24" t="s">
        <x:v>520</x:v>
      </x:c>
      <x:c r="R226" s="25">
        <x:v>0.57</x:v>
      </x:c>
      <x:c r="S226" s="26"/>
      <x:c r="T226" s="22">
        <x:f>IF(S226="","",IFERROR(INDEX('درخت جدید'!$C:$C,MATCH(S226&amp;"",'درخت جدید'!$B:$B,0)),"—"))</x:f>
      </x:c>
      <x:c r="U226" s="22">
        <x:f>IF(S226="",IF(N226="بله","الزامی — تکمیل نشده",""),IF(AND(O226&lt;&gt;"",LEFT(S226&amp;"",4)&lt;&gt;O226),"زیر کل دیگری است — کل یا معین را اصلاح کنید",IF(COUNTIFS('درخت جدید'!$B:$B,S226&amp;"",'درخت جدید'!$A:$A,"معین")=0,IF(V226="","کد در درخت نیست — نام برای تعریف را بنویسید","OK"),"OK")))</x:f>
      </x:c>
      <x:c r="V226" s="27"/>
      <x:c r="W226" s="28"/>
    </x:row>
    <x:row r="227" spans="1:23">
      <x:c r="A227" s="21" t="s">
        <x:v>102</x:v>
      </x:c>
      <x:c r="B227" s="22" t="s">
        <x:v>49</x:v>
      </x:c>
      <x:c r="C227" s="22" t="s">
        <x:v>103</x:v>
      </x:c>
      <x:c r="D227" s="22" t="s">
        <x:v>525</x:v>
      </x:c>
      <x:c r="E227" s="22" t="s">
        <x:v>196</x:v>
      </x:c>
      <x:c r="F227" s="22" t="s">
        <x:v>196</x:v>
      </x:c>
      <x:c r="G227" s="22" t="s">
        <x:v>201</x:v>
      </x:c>
      <x:c r="H227" s="22">
        <x:v>1</x:v>
      </x:c>
      <x:c r="I227" s="22">
        <x:v>0</x:v>
      </x:c>
      <x:c r="J227" s="22">
        <x:v>0</x:v>
      </x:c>
      <x:c r="K227" s="23">
        <x:v>0</x:v>
      </x:c>
      <x:c r="L227" s="23">
        <x:v>0</x:v>
      </x:c>
      <x:c r="M227" s="23">
        <x:f>K227-L227</x:f>
      </x:c>
      <x:c r="N227" s="22" t="s">
        <x:v>406</x:v>
      </x:c>
      <x:c r="O227" s="24">
        <x:f>IFERROR(INDEX('تطبیق کل'!$J:$J,MATCH(A227&amp;"",'تطبیق کل'!$A:$A,0))&amp;"","")</x:f>
      </x:c>
      <x:c r="P227" s="24" t="s">
        <x:v>526</x:v>
      </x:c>
      <x:c r="Q227" s="24" t="s">
        <x:v>527</x:v>
      </x:c>
      <x:c r="R227" s="25">
        <x:v>1</x:v>
      </x:c>
      <x:c r="S227" s="26"/>
      <x:c r="T227" s="22">
        <x:f>IF(S227="","",IFERROR(INDEX('درخت جدید'!$C:$C,MATCH(S227&amp;"",'درخت جدید'!$B:$B,0)),"—"))</x:f>
      </x:c>
      <x:c r="U227" s="22">
        <x:f>IF(S227="",IF(N227="بله","الزامی — تکمیل نشده",""),IF(AND(O227&lt;&gt;"",LEFT(S227&amp;"",4)&lt;&gt;O227),"زیر کل دیگری است — کل یا معین را اصلاح کنید",IF(COUNTIFS('درخت جدید'!$B:$B,S227&amp;"",'درخت جدید'!$A:$A,"معین")=0,IF(V227="","کد در درخت نیست — نام برای تعریف را بنویسید","OK"),"OK")))</x:f>
      </x:c>
      <x:c r="V227" s="27"/>
      <x:c r="W227" s="28"/>
    </x:row>
    <x:row r="228" spans="1:23">
      <x:c r="A228" s="21" t="s">
        <x:v>102</x:v>
      </x:c>
      <x:c r="B228" s="22" t="s">
        <x:v>60</x:v>
      </x:c>
      <x:c r="C228" s="22" t="s">
        <x:v>103</x:v>
      </x:c>
      <x:c r="D228" s="22" t="s">
        <x:v>528</x:v>
      </x:c>
      <x:c r="E228" s="22" t="s">
        <x:v>196</x:v>
      </x:c>
      <x:c r="F228" s="22" t="s">
        <x:v>196</x:v>
      </x:c>
      <x:c r="G228" s="22" t="s">
        <x:v>196</x:v>
      </x:c>
      <x:c r="H228" s="22">
        <x:v>2</x:v>
      </x:c>
      <x:c r="I228" s="22">
        <x:v>0</x:v>
      </x:c>
      <x:c r="J228" s="22">
        <x:v>0</x:v>
      </x:c>
      <x:c r="K228" s="23">
        <x:v>0</x:v>
      </x:c>
      <x:c r="L228" s="23">
        <x:v>0</x:v>
      </x:c>
      <x:c r="M228" s="23">
        <x:f>K228-L228</x:f>
      </x:c>
      <x:c r="N228" s="22" t="s">
        <x:v>406</x:v>
      </x:c>
      <x:c r="O228" s="24">
        <x:f>IFERROR(INDEX('تطبیق کل'!$J:$J,MATCH(A228&amp;"",'تطبیق کل'!$A:$A,0))&amp;"","")</x:f>
      </x:c>
      <x:c r="P228" s="24"/>
      <x:c r="Q228" s="24" t="s">
        <x:v>198</x:v>
      </x:c>
      <x:c r="R228" s="25"/>
      <x:c r="S228" s="26"/>
      <x:c r="T228" s="22">
        <x:f>IF(S228="","",IFERROR(INDEX('درخت جدید'!$C:$C,MATCH(S228&amp;"",'درخت جدید'!$B:$B,0)),"—"))</x:f>
      </x:c>
      <x:c r="U228" s="22">
        <x:f>IF(S228="",IF(N228="بله","الزامی — تکمیل نشده",""),IF(AND(O228&lt;&gt;"",LEFT(S228&amp;"",4)&lt;&gt;O228),"زیر کل دیگری است — کل یا معین را اصلاح کنید",IF(COUNTIFS('درخت جدید'!$B:$B,S228&amp;"",'درخت جدید'!$A:$A,"معین")=0,IF(V228="","کد در درخت نیست — نام برای تعریف را بنویسید","OK"),"OK")))</x:f>
      </x:c>
      <x:c r="V228" s="27"/>
      <x:c r="W228" s="28"/>
    </x:row>
    <x:row r="229" spans="1:23">
      <x:c r="A229" s="21" t="s">
        <x:v>102</x:v>
      </x:c>
      <x:c r="B229" s="22" t="s">
        <x:v>529</x:v>
      </x:c>
      <x:c r="C229" s="22" t="s">
        <x:v>103</x:v>
      </x:c>
      <x:c r="D229" s="22" t="s">
        <x:v>530</x:v>
      </x:c>
      <x:c r="E229" s="22" t="s">
        <x:v>196</x:v>
      </x:c>
      <x:c r="F229" s="22" t="s">
        <x:v>196</x:v>
      </x:c>
      <x:c r="G229" s="22" t="s">
        <x:v>201</x:v>
      </x:c>
      <x:c r="H229" s="22">
        <x:v>10</x:v>
      </x:c>
      <x:c r="I229" s="22">
        <x:v>0</x:v>
      </x:c>
      <x:c r="J229" s="22">
        <x:v>0</x:v>
      </x:c>
      <x:c r="K229" s="23">
        <x:v>0</x:v>
      </x:c>
      <x:c r="L229" s="23">
        <x:v>0</x:v>
      </x:c>
      <x:c r="M229" s="23">
        <x:f>K229-L229</x:f>
      </x:c>
      <x:c r="N229" s="22" t="s">
        <x:v>406</x:v>
      </x:c>
      <x:c r="O229" s="24">
        <x:f>IFERROR(INDEX('تطبیق کل'!$J:$J,MATCH(A229&amp;"",'تطبیق کل'!$A:$A,0))&amp;"","")</x:f>
      </x:c>
      <x:c r="P229" s="24" t="s">
        <x:v>519</x:v>
      </x:c>
      <x:c r="Q229" s="24" t="s">
        <x:v>520</x:v>
      </x:c>
      <x:c r="R229" s="25">
        <x:v>0.52</x:v>
      </x:c>
      <x:c r="S229" s="26"/>
      <x:c r="T229" s="22">
        <x:f>IF(S229="","",IFERROR(INDEX('درخت جدید'!$C:$C,MATCH(S229&amp;"",'درخت جدید'!$B:$B,0)),"—"))</x:f>
      </x:c>
      <x:c r="U229" s="22">
        <x:f>IF(S229="",IF(N229="بله","الزامی — تکمیل نشده",""),IF(AND(O229&lt;&gt;"",LEFT(S229&amp;"",4)&lt;&gt;O229),"زیر کل دیگری است — کل یا معین را اصلاح کنید",IF(COUNTIFS('درخت جدید'!$B:$B,S229&amp;"",'درخت جدید'!$A:$A,"معین")=0,IF(V229="","کد در درخت نیست — نام برای تعریف را بنویسید","OK"),"OK")))</x:f>
      </x:c>
      <x:c r="V229" s="27"/>
      <x:c r="W229" s="28"/>
    </x:row>
    <x:row r="230" spans="1:23">
      <x:c r="A230" s="21" t="s">
        <x:v>102</x:v>
      </x:c>
      <x:c r="B230" s="22" t="s">
        <x:v>90</x:v>
      </x:c>
      <x:c r="C230" s="22" t="s">
        <x:v>103</x:v>
      </x:c>
      <x:c r="D230" s="22" t="s">
        <x:v>531</x:v>
      </x:c>
      <x:c r="E230" s="22" t="s">
        <x:v>196</x:v>
      </x:c>
      <x:c r="F230" s="22" t="s">
        <x:v>196</x:v>
      </x:c>
      <x:c r="G230" s="22" t="s">
        <x:v>196</x:v>
      </x:c>
      <x:c r="H230" s="22">
        <x:v>2</x:v>
      </x:c>
      <x:c r="I230" s="22">
        <x:v>0</x:v>
      </x:c>
      <x:c r="J230" s="22">
        <x:v>0</x:v>
      </x:c>
      <x:c r="K230" s="23">
        <x:v>0</x:v>
      </x:c>
      <x:c r="L230" s="23">
        <x:v>0</x:v>
      </x:c>
      <x:c r="M230" s="23">
        <x:f>K230-L230</x:f>
      </x:c>
      <x:c r="N230" s="22" t="s">
        <x:v>406</x:v>
      </x:c>
      <x:c r="O230" s="24">
        <x:f>IFERROR(INDEX('تطبیق کل'!$J:$J,MATCH(A230&amp;"",'تطبیق کل'!$A:$A,0))&amp;"","")</x:f>
      </x:c>
      <x:c r="P230" s="24" t="s">
        <x:v>294</x:v>
      </x:c>
      <x:c r="Q230" s="24" t="s">
        <x:v>295</x:v>
      </x:c>
      <x:c r="R230" s="25">
        <x:v>0.47</x:v>
      </x:c>
      <x:c r="S230" s="26"/>
      <x:c r="T230" s="22">
        <x:f>IF(S230="","",IFERROR(INDEX('درخت جدید'!$C:$C,MATCH(S230&amp;"",'درخت جدید'!$B:$B,0)),"—"))</x:f>
      </x:c>
      <x:c r="U230" s="22">
        <x:f>IF(S230="",IF(N230="بله","الزامی — تکمیل نشده",""),IF(AND(O230&lt;&gt;"",LEFT(S230&amp;"",4)&lt;&gt;O230),"زیر کل دیگری است — کل یا معین را اصلاح کنید",IF(COUNTIFS('درخت جدید'!$B:$B,S230&amp;"",'درخت جدید'!$A:$A,"معین")=0,IF(V230="","کد در درخت نیست — نام برای تعریف را بنویسید","OK"),"OK")))</x:f>
      </x:c>
      <x:c r="V230" s="27"/>
      <x:c r="W230" s="28"/>
    </x:row>
    <x:row r="231" spans="1:23">
      <x:c r="A231" s="21" t="s">
        <x:v>102</x:v>
      </x:c>
      <x:c r="B231" s="22" t="s">
        <x:v>105</x:v>
      </x:c>
      <x:c r="C231" s="22" t="s">
        <x:v>103</x:v>
      </x:c>
      <x:c r="D231" s="22" t="s">
        <x:v>532</x:v>
      </x:c>
      <x:c r="E231" s="22" t="s">
        <x:v>196</x:v>
      </x:c>
      <x:c r="F231" s="22" t="s">
        <x:v>196</x:v>
      </x:c>
      <x:c r="G231" s="22" t="s">
        <x:v>201</x:v>
      </x:c>
      <x:c r="H231" s="22">
        <x:v>1</x:v>
      </x:c>
      <x:c r="I231" s="22">
        <x:v>0</x:v>
      </x:c>
      <x:c r="J231" s="22">
        <x:v>0</x:v>
      </x:c>
      <x:c r="K231" s="23">
        <x:v>0</x:v>
      </x:c>
      <x:c r="L231" s="23">
        <x:v>0</x:v>
      </x:c>
      <x:c r="M231" s="23">
        <x:f>K231-L231</x:f>
      </x:c>
      <x:c r="N231" s="22" t="s">
        <x:v>406</x:v>
      </x:c>
      <x:c r="O231" s="24">
        <x:f>IFERROR(INDEX('تطبیق کل'!$J:$J,MATCH(A231&amp;"",'تطبیق کل'!$A:$A,0))&amp;"","")</x:f>
      </x:c>
      <x:c r="P231" s="24" t="s">
        <x:v>300</x:v>
      </x:c>
      <x:c r="Q231" s="24" t="s">
        <x:v>301</x:v>
      </x:c>
      <x:c r="R231" s="25">
        <x:v>0.37</x:v>
      </x:c>
      <x:c r="S231" s="26"/>
      <x:c r="T231" s="22">
        <x:f>IF(S231="","",IFERROR(INDEX('درخت جدید'!$C:$C,MATCH(S231&amp;"",'درخت جدید'!$B:$B,0)),"—"))</x:f>
      </x:c>
      <x:c r="U231" s="22">
        <x:f>IF(S231="",IF(N231="بله","الزامی — تکمیل نشده",""),IF(AND(O231&lt;&gt;"",LEFT(S231&amp;"",4)&lt;&gt;O231),"زیر کل دیگری است — کل یا معین را اصلاح کنید",IF(COUNTIFS('درخت جدید'!$B:$B,S231&amp;"",'درخت جدید'!$A:$A,"معین")=0,IF(V231="","کد در درخت نیست — نام برای تعریف را بنویسید","OK"),"OK")))</x:f>
      </x:c>
      <x:c r="V231" s="27"/>
      <x:c r="W231" s="28"/>
    </x:row>
    <x:row r="232" spans="1:23">
      <x:c r="A232" s="21" t="s">
        <x:v>102</x:v>
      </x:c>
      <x:c r="B232" s="22" t="s">
        <x:v>417</x:v>
      </x:c>
      <x:c r="C232" s="22" t="s">
        <x:v>103</x:v>
      </x:c>
      <x:c r="D232" s="22" t="s">
        <x:v>533</x:v>
      </x:c>
      <x:c r="E232" s="22" t="s">
        <x:v>196</x:v>
      </x:c>
      <x:c r="F232" s="22" t="s">
        <x:v>196</x:v>
      </x:c>
      <x:c r="G232" s="22" t="s">
        <x:v>201</x:v>
      </x:c>
      <x:c r="H232" s="22">
        <x:v>1</x:v>
      </x:c>
      <x:c r="I232" s="22">
        <x:v>0</x:v>
      </x:c>
      <x:c r="J232" s="22">
        <x:v>0</x:v>
      </x:c>
      <x:c r="K232" s="23">
        <x:v>0</x:v>
      </x:c>
      <x:c r="L232" s="23">
        <x:v>0</x:v>
      </x:c>
      <x:c r="M232" s="23">
        <x:f>K232-L232</x:f>
      </x:c>
      <x:c r="N232" s="22" t="s">
        <x:v>406</x:v>
      </x:c>
      <x:c r="O232" s="24">
        <x:f>IFERROR(INDEX('تطبیق کل'!$J:$J,MATCH(A232&amp;"",'تطبیق کل'!$A:$A,0))&amp;"","")</x:f>
      </x:c>
      <x:c r="P232" s="24" t="s">
        <x:v>519</x:v>
      </x:c>
      <x:c r="Q232" s="24" t="s">
        <x:v>520</x:v>
      </x:c>
      <x:c r="R232" s="25">
        <x:v>0.45</x:v>
      </x:c>
      <x:c r="S232" s="26"/>
      <x:c r="T232" s="22">
        <x:f>IF(S232="","",IFERROR(INDEX('درخت جدید'!$C:$C,MATCH(S232&amp;"",'درخت جدید'!$B:$B,0)),"—"))</x:f>
      </x:c>
      <x:c r="U232" s="22">
        <x:f>IF(S232="",IF(N232="بله","الزامی — تکمیل نشده",""),IF(AND(O232&lt;&gt;"",LEFT(S232&amp;"",4)&lt;&gt;O232),"زیر کل دیگری است — کل یا معین را اصلاح کنید",IF(COUNTIFS('درخت جدید'!$B:$B,S232&amp;"",'درخت جدید'!$A:$A,"معین")=0,IF(V232="","کد در درخت نیست — نام برای تعریف را بنویسید","OK"),"OK")))</x:f>
      </x:c>
      <x:c r="V232" s="27"/>
      <x:c r="W232" s="28"/>
    </x:row>
    <x:row r="233" spans="1:23">
      <x:c r="A233" s="21" t="s">
        <x:v>102</x:v>
      </x:c>
      <x:c r="B233" s="22" t="s">
        <x:v>215</x:v>
      </x:c>
      <x:c r="C233" s="22" t="s">
        <x:v>103</x:v>
      </x:c>
      <x:c r="D233" s="22" t="s">
        <x:v>534</x:v>
      </x:c>
      <x:c r="E233" s="22" t="s">
        <x:v>196</x:v>
      </x:c>
      <x:c r="F233" s="22" t="s">
        <x:v>196</x:v>
      </x:c>
      <x:c r="G233" s="22" t="s">
        <x:v>201</x:v>
      </x:c>
      <x:c r="H233" s="22">
        <x:v>1</x:v>
      </x:c>
      <x:c r="I233" s="22">
        <x:v>0</x:v>
      </x:c>
      <x:c r="J233" s="22">
        <x:v>0</x:v>
      </x:c>
      <x:c r="K233" s="23">
        <x:v>0</x:v>
      </x:c>
      <x:c r="L233" s="23">
        <x:v>0</x:v>
      </x:c>
      <x:c r="M233" s="23">
        <x:f>K233-L233</x:f>
      </x:c>
      <x:c r="N233" s="22" t="s">
        <x:v>406</x:v>
      </x:c>
      <x:c r="O233" s="24">
        <x:f>IFERROR(INDEX('تطبیق کل'!$J:$J,MATCH(A233&amp;"",'تطبیق کل'!$A:$A,0))&amp;"","")</x:f>
      </x:c>
      <x:c r="P233" s="24" t="s">
        <x:v>300</x:v>
      </x:c>
      <x:c r="Q233" s="24" t="s">
        <x:v>301</x:v>
      </x:c>
      <x:c r="R233" s="25">
        <x:v>0.58</x:v>
      </x:c>
      <x:c r="S233" s="26"/>
      <x:c r="T233" s="22">
        <x:f>IF(S233="","",IFERROR(INDEX('درخت جدید'!$C:$C,MATCH(S233&amp;"",'درخت جدید'!$B:$B,0)),"—"))</x:f>
      </x:c>
      <x:c r="U233" s="22">
        <x:f>IF(S233="",IF(N233="بله","الزامی — تکمیل نشده",""),IF(AND(O233&lt;&gt;"",LEFT(S233&amp;"",4)&lt;&gt;O233),"زیر کل دیگری است — کل یا معین را اصلاح کنید",IF(COUNTIFS('درخت جدید'!$B:$B,S233&amp;"",'درخت جدید'!$A:$A,"معین")=0,IF(V233="","کد در درخت نیست — نام برای تعریف را بنویسید","OK"),"OK")))</x:f>
      </x:c>
      <x:c r="V233" s="27"/>
      <x:c r="W233" s="28"/>
    </x:row>
    <x:row r="234" spans="1:23">
      <x:c r="A234" s="21" t="s">
        <x:v>102</x:v>
      </x:c>
      <x:c r="B234" s="22" t="s">
        <x:v>153</x:v>
      </x:c>
      <x:c r="C234" s="22" t="s">
        <x:v>103</x:v>
      </x:c>
      <x:c r="D234" s="22" t="s">
        <x:v>535</x:v>
      </x:c>
      <x:c r="E234" s="22" t="s">
        <x:v>196</x:v>
      </x:c>
      <x:c r="F234" s="22" t="s">
        <x:v>196</x:v>
      </x:c>
      <x:c r="G234" s="22" t="s">
        <x:v>201</x:v>
      </x:c>
      <x:c r="H234" s="22">
        <x:v>1</x:v>
      </x:c>
      <x:c r="I234" s="22">
        <x:v>0</x:v>
      </x:c>
      <x:c r="J234" s="22">
        <x:v>0</x:v>
      </x:c>
      <x:c r="K234" s="23">
        <x:v>0</x:v>
      </x:c>
      <x:c r="L234" s="23">
        <x:v>0</x:v>
      </x:c>
      <x:c r="M234" s="23">
        <x:f>K234-L234</x:f>
      </x:c>
      <x:c r="N234" s="22" t="s">
        <x:v>406</x:v>
      </x:c>
      <x:c r="O234" s="24">
        <x:f>IFERROR(INDEX('تطبیق کل'!$J:$J,MATCH(A234&amp;"",'تطبیق کل'!$A:$A,0))&amp;"","")</x:f>
      </x:c>
      <x:c r="P234" s="24" t="s">
        <x:v>300</x:v>
      </x:c>
      <x:c r="Q234" s="24" t="s">
        <x:v>301</x:v>
      </x:c>
      <x:c r="R234" s="25">
        <x:v>0.47</x:v>
      </x:c>
      <x:c r="S234" s="26"/>
      <x:c r="T234" s="22">
        <x:f>IF(S234="","",IFERROR(INDEX('درخت جدید'!$C:$C,MATCH(S234&amp;"",'درخت جدید'!$B:$B,0)),"—"))</x:f>
      </x:c>
      <x:c r="U234" s="22">
        <x:f>IF(S234="",IF(N234="بله","الزامی — تکمیل نشده",""),IF(AND(O234&lt;&gt;"",LEFT(S234&amp;"",4)&lt;&gt;O234),"زیر کل دیگری است — کل یا معین را اصلاح کنید",IF(COUNTIFS('درخت جدید'!$B:$B,S234&amp;"",'درخت جدید'!$A:$A,"معین")=0,IF(V234="","کد در درخت نیست — نام برای تعریف را بنویسید","OK"),"OK")))</x:f>
      </x:c>
      <x:c r="V234" s="27"/>
      <x:c r="W234" s="28"/>
    </x:row>
    <x:row r="235" spans="1:23">
      <x:c r="A235" s="21" t="s">
        <x:v>102</x:v>
      </x:c>
      <x:c r="B235" s="22" t="s">
        <x:v>175</x:v>
      </x:c>
      <x:c r="C235" s="22" t="s">
        <x:v>103</x:v>
      </x:c>
      <x:c r="D235" s="22" t="s">
        <x:v>536</x:v>
      </x:c>
      <x:c r="E235" s="22" t="s">
        <x:v>196</x:v>
      </x:c>
      <x:c r="F235" s="22" t="s">
        <x:v>196</x:v>
      </x:c>
      <x:c r="G235" s="22" t="s">
        <x:v>201</x:v>
      </x:c>
      <x:c r="H235" s="22">
        <x:v>8</x:v>
      </x:c>
      <x:c r="I235" s="22">
        <x:v>0</x:v>
      </x:c>
      <x:c r="J235" s="22">
        <x:v>0</x:v>
      </x:c>
      <x:c r="K235" s="23">
        <x:v>0</x:v>
      </x:c>
      <x:c r="L235" s="23">
        <x:v>0</x:v>
      </x:c>
      <x:c r="M235" s="23">
        <x:f>K235-L235</x:f>
      </x:c>
      <x:c r="N235" s="22" t="s">
        <x:v>406</x:v>
      </x:c>
      <x:c r="O235" s="24">
        <x:f>IFERROR(INDEX('تطبیق کل'!$J:$J,MATCH(A235&amp;"",'تطبیق کل'!$A:$A,0))&amp;"","")</x:f>
      </x:c>
      <x:c r="P235" s="24"/>
      <x:c r="Q235" s="24" t="s">
        <x:v>198</x:v>
      </x:c>
      <x:c r="R235" s="25"/>
      <x:c r="S235" s="26"/>
      <x:c r="T235" s="22">
        <x:f>IF(S235="","",IFERROR(INDEX('درخت جدید'!$C:$C,MATCH(S235&amp;"",'درخت جدید'!$B:$B,0)),"—"))</x:f>
      </x:c>
      <x:c r="U235" s="22">
        <x:f>IF(S235="",IF(N235="بله","الزامی — تکمیل نشده",""),IF(AND(O235&lt;&gt;"",LEFT(S235&amp;"",4)&lt;&gt;O235),"زیر کل دیگری است — کل یا معین را اصلاح کنید",IF(COUNTIFS('درخت جدید'!$B:$B,S235&amp;"",'درخت جدید'!$A:$A,"معین")=0,IF(V235="","کد در درخت نیست — نام برای تعریف را بنویسید","OK"),"OK")))</x:f>
      </x:c>
      <x:c r="V235" s="27"/>
      <x:c r="W235" s="28"/>
    </x:row>
    <x:row r="236" spans="1:23">
      <x:c r="A236" s="21" t="s">
        <x:v>105</x:v>
      </x:c>
      <x:c r="B236" s="22" t="s">
        <x:v>334</x:v>
      </x:c>
      <x:c r="C236" s="22" t="s">
        <x:v>106</x:v>
      </x:c>
      <x:c r="D236" s="22" t="s">
        <x:v>106</x:v>
      </x:c>
      <x:c r="E236" s="22" t="s">
        <x:v>195</x:v>
      </x:c>
      <x:c r="F236" s="22" t="s">
        <x:v>195</x:v>
      </x:c>
      <x:c r="G236" s="22" t="s">
        <x:v>196</x:v>
      </x:c>
      <x:c r="H236" s="22">
        <x:v>1</x:v>
      </x:c>
      <x:c r="I236" s="22">
        <x:v>0</x:v>
      </x:c>
      <x:c r="J236" s="22">
        <x:v>0</x:v>
      </x:c>
      <x:c r="K236" s="23">
        <x:v>0</x:v>
      </x:c>
      <x:c r="L236" s="23">
        <x:v>0</x:v>
      </x:c>
      <x:c r="M236" s="23">
        <x:f>K236-L236</x:f>
      </x:c>
      <x:c r="N236" s="22" t="s">
        <x:v>406</x:v>
      </x:c>
      <x:c r="O236" s="24">
        <x:f>IFERROR(INDEX('تطبیق کل'!$J:$J,MATCH(A236&amp;"",'تطبیق کل'!$A:$A,0))&amp;"","")</x:f>
      </x:c>
      <x:c r="P236" s="24" t="s">
        <x:v>303</x:v>
      </x:c>
      <x:c r="Q236" s="24" t="s">
        <x:v>304</x:v>
      </x:c>
      <x:c r="R236" s="25">
        <x:v>0.47</x:v>
      </x:c>
      <x:c r="S236" s="26"/>
      <x:c r="T236" s="22">
        <x:f>IF(S236="","",IFERROR(INDEX('درخت جدید'!$C:$C,MATCH(S236&amp;"",'درخت جدید'!$B:$B,0)),"—"))</x:f>
      </x:c>
      <x:c r="U236" s="22">
        <x:f>IF(S236="",IF(N236="بله","الزامی — تکمیل نشده",""),IF(AND(O236&lt;&gt;"",LEFT(S236&amp;"",4)&lt;&gt;O236),"زیر کل دیگری است — کل یا معین را اصلاح کنید",IF(COUNTIFS('درخت جدید'!$B:$B,S236&amp;"",'درخت جدید'!$A:$A,"معین")=0,IF(V236="","کد در درخت نیست — نام برای تعریف را بنویسید","OK"),"OK")))</x:f>
      </x:c>
      <x:c r="V236" s="27"/>
      <x:c r="W236" s="28"/>
    </x:row>
    <x:row r="237" spans="1:23">
      <x:c r="A237" s="21" t="s">
        <x:v>112</x:v>
      </x:c>
      <x:c r="B237" s="22" t="s">
        <x:v>202</x:v>
      </x:c>
      <x:c r="C237" s="22" t="s">
        <x:v>113</x:v>
      </x:c>
      <x:c r="D237" s="22" t="s">
        <x:v>115</x:v>
      </x:c>
      <x:c r="E237" s="22" t="s">
        <x:v>195</x:v>
      </x:c>
      <x:c r="F237" s="22" t="s">
        <x:v>196</x:v>
      </x:c>
      <x:c r="G237" s="22" t="s">
        <x:v>196</x:v>
      </x:c>
      <x:c r="H237" s="22">
        <x:v>2</x:v>
      </x:c>
      <x:c r="I237" s="22">
        <x:v>0</x:v>
      </x:c>
      <x:c r="J237" s="22">
        <x:v>0</x:v>
      </x:c>
      <x:c r="K237" s="23">
        <x:v>0</x:v>
      </x:c>
      <x:c r="L237" s="23">
        <x:v>0</x:v>
      </x:c>
      <x:c r="M237" s="23">
        <x:f>K237-L237</x:f>
      </x:c>
      <x:c r="N237" s="22" t="s">
        <x:v>406</x:v>
      </x:c>
      <x:c r="O237" s="24">
        <x:f>IFERROR(INDEX('تطبیق کل'!$J:$J,MATCH(A237&amp;"",'تطبیق کل'!$A:$A,0))&amp;"","")</x:f>
      </x:c>
      <x:c r="P237" s="24" t="s">
        <x:v>537</x:v>
      </x:c>
      <x:c r="Q237" s="24" t="s">
        <x:v>115</x:v>
      </x:c>
      <x:c r="R237" s="25">
        <x:v>1</x:v>
      </x:c>
      <x:c r="S237" s="26"/>
      <x:c r="T237" s="22">
        <x:f>IF(S237="","",IFERROR(INDEX('درخت جدید'!$C:$C,MATCH(S237&amp;"",'درخت جدید'!$B:$B,0)),"—"))</x:f>
      </x:c>
      <x:c r="U237" s="22">
        <x:f>IF(S237="",IF(N237="بله","الزامی — تکمیل نشده",""),IF(AND(O237&lt;&gt;"",LEFT(S237&amp;"",4)&lt;&gt;O237),"زیر کل دیگری است — کل یا معین را اصلاح کنید",IF(COUNTIFS('درخت جدید'!$B:$B,S237&amp;"",'درخت جدید'!$A:$A,"معین")=0,IF(V237="","کد در درخت نیست — نام برای تعریف را بنویسید","OK"),"OK")))</x:f>
      </x:c>
      <x:c r="V237" s="27"/>
      <x:c r="W237" s="28"/>
    </x:row>
    <x:row r="238" spans="1:23">
      <x:c r="A238" s="21" t="s">
        <x:v>116</x:v>
      </x:c>
      <x:c r="B238" s="22" t="s">
        <x:v>204</x:v>
      </x:c>
      <x:c r="C238" s="22" t="s">
        <x:v>117</x:v>
      </x:c>
      <x:c r="D238" s="22" t="s">
        <x:v>538</x:v>
      </x:c>
      <x:c r="E238" s="22" t="s">
        <x:v>195</x:v>
      </x:c>
      <x:c r="F238" s="22" t="s">
        <x:v>196</x:v>
      </x:c>
      <x:c r="G238" s="22" t="s">
        <x:v>201</x:v>
      </x:c>
      <x:c r="H238" s="22">
        <x:v>5</x:v>
      </x:c>
      <x:c r="I238" s="22">
        <x:v>0</x:v>
      </x:c>
      <x:c r="J238" s="22">
        <x:v>0</x:v>
      </x:c>
      <x:c r="K238" s="23">
        <x:v>0</x:v>
      </x:c>
      <x:c r="L238" s="23">
        <x:v>0</x:v>
      </x:c>
      <x:c r="M238" s="23">
        <x:f>K238-L238</x:f>
      </x:c>
      <x:c r="N238" s="22" t="s">
        <x:v>406</x:v>
      </x:c>
      <x:c r="O238" s="24">
        <x:f>IFERROR(INDEX('تطبیق کل'!$J:$J,MATCH(A238&amp;"",'تطبیق کل'!$A:$A,0))&amp;"","")</x:f>
      </x:c>
      <x:c r="P238" s="24" t="s">
        <x:v>257</x:v>
      </x:c>
      <x:c r="Q238" s="24" t="s">
        <x:v>258</x:v>
      </x:c>
      <x:c r="R238" s="25">
        <x:v>0.7</x:v>
      </x:c>
      <x:c r="S238" s="26"/>
      <x:c r="T238" s="22">
        <x:f>IF(S238="","",IFERROR(INDEX('درخت جدید'!$C:$C,MATCH(S238&amp;"",'درخت جدید'!$B:$B,0)),"—"))</x:f>
      </x:c>
      <x:c r="U238" s="22">
        <x:f>IF(S238="",IF(N238="بله","الزامی — تکمیل نشده",""),IF(AND(O238&lt;&gt;"",LEFT(S238&amp;"",4)&lt;&gt;O238),"زیر کل دیگری است — کل یا معین را اصلاح کنید",IF(COUNTIFS('درخت جدید'!$B:$B,S238&amp;"",'درخت جدید'!$A:$A,"معین")=0,IF(V238="","کد در درخت نیست — نام برای تعریف را بنویسید","OK"),"OK")))</x:f>
      </x:c>
      <x:c r="V238" s="27"/>
      <x:c r="W238" s="28"/>
    </x:row>
    <x:row r="239" spans="1:23">
      <x:c r="A239" s="21" t="s">
        <x:v>116</x:v>
      </x:c>
      <x:c r="B239" s="22" t="s">
        <x:v>361</x:v>
      </x:c>
      <x:c r="C239" s="22" t="s">
        <x:v>117</x:v>
      </x:c>
      <x:c r="D239" s="22" t="s">
        <x:v>539</x:v>
      </x:c>
      <x:c r="E239" s="22" t="s">
        <x:v>195</x:v>
      </x:c>
      <x:c r="F239" s="22" t="s">
        <x:v>196</x:v>
      </x:c>
      <x:c r="G239" s="22" t="s">
        <x:v>201</x:v>
      </x:c>
      <x:c r="H239" s="22">
        <x:v>2</x:v>
      </x:c>
      <x:c r="I239" s="22">
        <x:v>0</x:v>
      </x:c>
      <x:c r="J239" s="22">
        <x:v>0</x:v>
      </x:c>
      <x:c r="K239" s="23">
        <x:v>0</x:v>
      </x:c>
      <x:c r="L239" s="23">
        <x:v>0</x:v>
      </x:c>
      <x:c r="M239" s="23">
        <x:f>K239-L239</x:f>
      </x:c>
      <x:c r="N239" s="22" t="s">
        <x:v>406</x:v>
      </x:c>
      <x:c r="O239" s="24">
        <x:f>IFERROR(INDEX('تطبیق کل'!$J:$J,MATCH(A239&amp;"",'تطبیق کل'!$A:$A,0))&amp;"","")</x:f>
      </x:c>
      <x:c r="P239" s="24" t="s">
        <x:v>257</x:v>
      </x:c>
      <x:c r="Q239" s="24" t="s">
        <x:v>258</x:v>
      </x:c>
      <x:c r="R239" s="25">
        <x:v>0.37</x:v>
      </x:c>
      <x:c r="S239" s="26"/>
      <x:c r="T239" s="22">
        <x:f>IF(S239="","",IFERROR(INDEX('درخت جدید'!$C:$C,MATCH(S239&amp;"",'درخت جدید'!$B:$B,0)),"—"))</x:f>
      </x:c>
      <x:c r="U239" s="22">
        <x:f>IF(S239="",IF(N239="بله","الزامی — تکمیل نشده",""),IF(AND(O239&lt;&gt;"",LEFT(S239&amp;"",4)&lt;&gt;O239),"زیر کل دیگری است — کل یا معین را اصلاح کنید",IF(COUNTIFS('درخت جدید'!$B:$B,S239&amp;"",'درخت جدید'!$A:$A,"معین")=0,IF(V239="","کد در درخت نیست — نام برای تعریف را بنویسید","OK"),"OK")))</x:f>
      </x:c>
      <x:c r="V239" s="27"/>
      <x:c r="W239" s="28"/>
    </x:row>
    <x:row r="240" spans="1:23">
      <x:c r="A240" s="21" t="s">
        <x:v>116</x:v>
      </x:c>
      <x:c r="B240" s="22" t="s">
        <x:v>171</x:v>
      </x:c>
      <x:c r="C240" s="22" t="s">
        <x:v>117</x:v>
      </x:c>
      <x:c r="D240" s="22" t="s">
        <x:v>540</x:v>
      </x:c>
      <x:c r="E240" s="22" t="s">
        <x:v>195</x:v>
      </x:c>
      <x:c r="F240" s="22" t="s">
        <x:v>196</x:v>
      </x:c>
      <x:c r="G240" s="22" t="s">
        <x:v>201</x:v>
      </x:c>
      <x:c r="H240" s="22">
        <x:v>6</x:v>
      </x:c>
      <x:c r="I240" s="22">
        <x:v>0</x:v>
      </x:c>
      <x:c r="J240" s="22">
        <x:v>0</x:v>
      </x:c>
      <x:c r="K240" s="23">
        <x:v>0</x:v>
      </x:c>
      <x:c r="L240" s="23">
        <x:v>0</x:v>
      </x:c>
      <x:c r="M240" s="23">
        <x:f>K240-L240</x:f>
      </x:c>
      <x:c r="N240" s="22" t="s">
        <x:v>406</x:v>
      </x:c>
      <x:c r="O240" s="24">
        <x:f>IFERROR(INDEX('تطبیق کل'!$J:$J,MATCH(A240&amp;"",'تطبیق کل'!$A:$A,0))&amp;"","")</x:f>
      </x:c>
      <x:c r="P240" s="24" t="s">
        <x:v>303</x:v>
      </x:c>
      <x:c r="Q240" s="24" t="s">
        <x:v>304</x:v>
      </x:c>
      <x:c r="R240" s="25">
        <x:v>0.4</x:v>
      </x:c>
      <x:c r="S240" s="26"/>
      <x:c r="T240" s="22">
        <x:f>IF(S240="","",IFERROR(INDEX('درخت جدید'!$C:$C,MATCH(S240&amp;"",'درخت جدید'!$B:$B,0)),"—"))</x:f>
      </x:c>
      <x:c r="U240" s="22">
        <x:f>IF(S240="",IF(N240="بله","الزامی — تکمیل نشده",""),IF(AND(O240&lt;&gt;"",LEFT(S240&amp;"",4)&lt;&gt;O240),"زیر کل دیگری است — کل یا معین را اصلاح کنید",IF(COUNTIFS('درخت جدید'!$B:$B,S240&amp;"",'درخت جدید'!$A:$A,"معین")=0,IF(V240="","کد در درخت نیست — نام برای تعریف را بنویسید","OK"),"OK")))</x:f>
      </x:c>
      <x:c r="V240" s="27"/>
      <x:c r="W240" s="28"/>
    </x:row>
    <x:row r="241" spans="1:23">
      <x:c r="A241" s="21" t="s">
        <x:v>116</x:v>
      </x:c>
      <x:c r="B241" s="22" t="s">
        <x:v>175</x:v>
      </x:c>
      <x:c r="C241" s="22" t="s">
        <x:v>117</x:v>
      </x:c>
      <x:c r="D241" s="22" t="s">
        <x:v>536</x:v>
      </x:c>
      <x:c r="E241" s="22" t="s">
        <x:v>195</x:v>
      </x:c>
      <x:c r="F241" s="22" t="s">
        <x:v>196</x:v>
      </x:c>
      <x:c r="G241" s="22" t="s">
        <x:v>201</x:v>
      </x:c>
      <x:c r="H241" s="22">
        <x:v>6</x:v>
      </x:c>
      <x:c r="I241" s="22">
        <x:v>0</x:v>
      </x:c>
      <x:c r="J241" s="22">
        <x:v>0</x:v>
      </x:c>
      <x:c r="K241" s="23">
        <x:v>0</x:v>
      </x:c>
      <x:c r="L241" s="23">
        <x:v>0</x:v>
      </x:c>
      <x:c r="M241" s="23">
        <x:f>K241-L241</x:f>
      </x:c>
      <x:c r="N241" s="22" t="s">
        <x:v>406</x:v>
      </x:c>
      <x:c r="O241" s="24">
        <x:f>IFERROR(INDEX('تطبیق کل'!$J:$J,MATCH(A241&amp;"",'تطبیق کل'!$A:$A,0))&amp;"","")</x:f>
      </x:c>
      <x:c r="P241" s="24"/>
      <x:c r="Q241" s="24" t="s">
        <x:v>198</x:v>
      </x:c>
      <x:c r="R241" s="25"/>
      <x:c r="S241" s="26"/>
      <x:c r="T241" s="22">
        <x:f>IF(S241="","",IFERROR(INDEX('درخت جدید'!$C:$C,MATCH(S241&amp;"",'درخت جدید'!$B:$B,0)),"—"))</x:f>
      </x:c>
      <x:c r="U241" s="22">
        <x:f>IF(S241="",IF(N241="بله","الزامی — تکمیل نشده",""),IF(AND(O241&lt;&gt;"",LEFT(S241&amp;"",4)&lt;&gt;O241),"زیر کل دیگری است — کل یا معین را اصلاح کنید",IF(COUNTIFS('درخت جدید'!$B:$B,S241&amp;"",'درخت جدید'!$A:$A,"معین")=0,IF(V241="","کد در درخت نیست — نام برای تعریف را بنویسید","OK"),"OK")))</x:f>
      </x:c>
      <x:c r="V241" s="27"/>
      <x:c r="W241" s="28"/>
    </x:row>
    <x:row r="242" spans="1:23">
      <x:c r="A242" s="21" t="s">
        <x:v>128</x:v>
      </x:c>
      <x:c r="B242" s="22" t="s">
        <x:v>317</x:v>
      </x:c>
      <x:c r="C242" s="22" t="s">
        <x:v>129</x:v>
      </x:c>
      <x:c r="D242" s="22" t="s">
        <x:v>541</x:v>
      </x:c>
      <x:c r="E242" s="22" t="s">
        <x:v>195</x:v>
      </x:c>
      <x:c r="F242" s="22" t="s">
        <x:v>196</x:v>
      </x:c>
      <x:c r="G242" s="22" t="s">
        <x:v>201</x:v>
      </x:c>
      <x:c r="H242" s="22">
        <x:v>7</x:v>
      </x:c>
      <x:c r="I242" s="22">
        <x:v>0</x:v>
      </x:c>
      <x:c r="J242" s="22">
        <x:v>0</x:v>
      </x:c>
      <x:c r="K242" s="23">
        <x:v>0</x:v>
      </x:c>
      <x:c r="L242" s="23">
        <x:v>0</x:v>
      </x:c>
      <x:c r="M242" s="23">
        <x:f>K242-L242</x:f>
      </x:c>
      <x:c r="N242" s="22" t="s">
        <x:v>406</x:v>
      </x:c>
      <x:c r="O242" s="24">
        <x:f>IFERROR(INDEX('تطبیق کل'!$J:$J,MATCH(A242&amp;"",'تطبیق کل'!$A:$A,0))&amp;"","")</x:f>
      </x:c>
      <x:c r="P242" s="24"/>
      <x:c r="Q242" s="24" t="s">
        <x:v>198</x:v>
      </x:c>
      <x:c r="R242" s="25"/>
      <x:c r="S242" s="26"/>
      <x:c r="T242" s="22">
        <x:f>IF(S242="","",IFERROR(INDEX('درخت جدید'!$C:$C,MATCH(S242&amp;"",'درخت جدید'!$B:$B,0)),"—"))</x:f>
      </x:c>
      <x:c r="U242" s="22">
        <x:f>IF(S242="",IF(N242="بله","الزامی — تکمیل نشده",""),IF(AND(O242&lt;&gt;"",LEFT(S242&amp;"",4)&lt;&gt;O242),"زیر کل دیگری است — کل یا معین را اصلاح کنید",IF(COUNTIFS('درخت جدید'!$B:$B,S242&amp;"",'درخت جدید'!$A:$A,"معین")=0,IF(V242="","کد در درخت نیست — نام برای تعریف را بنویسید","OK"),"OK")))</x:f>
      </x:c>
      <x:c r="V242" s="27"/>
      <x:c r="W242" s="28"/>
    </x:row>
    <x:row r="243" spans="1:23">
      <x:c r="A243" s="21" t="s">
        <x:v>128</x:v>
      </x:c>
      <x:c r="B243" s="22" t="s">
        <x:v>193</x:v>
      </x:c>
      <x:c r="C243" s="22" t="s">
        <x:v>129</x:v>
      </x:c>
      <x:c r="D243" s="22" t="s">
        <x:v>542</x:v>
      </x:c>
      <x:c r="E243" s="22" t="s">
        <x:v>195</x:v>
      </x:c>
      <x:c r="F243" s="22" t="s">
        <x:v>196</x:v>
      </x:c>
      <x:c r="G243" s="22" t="s">
        <x:v>201</x:v>
      </x:c>
      <x:c r="H243" s="22">
        <x:v>2</x:v>
      </x:c>
      <x:c r="I243" s="22">
        <x:v>0</x:v>
      </x:c>
      <x:c r="J243" s="22">
        <x:v>0</x:v>
      </x:c>
      <x:c r="K243" s="23">
        <x:v>0</x:v>
      </x:c>
      <x:c r="L243" s="23">
        <x:v>0</x:v>
      </x:c>
      <x:c r="M243" s="23">
        <x:f>K243-L243</x:f>
      </x:c>
      <x:c r="N243" s="22" t="s">
        <x:v>406</x:v>
      </x:c>
      <x:c r="O243" s="24">
        <x:f>IFERROR(INDEX('تطبیق کل'!$J:$J,MATCH(A243&amp;"",'تطبیق کل'!$A:$A,0))&amp;"","")</x:f>
      </x:c>
      <x:c r="P243" s="24" t="s">
        <x:v>278</x:v>
      </x:c>
      <x:c r="Q243" s="24" t="s">
        <x:v>279</x:v>
      </x:c>
      <x:c r="R243" s="25">
        <x:v>0.52</x:v>
      </x:c>
      <x:c r="S243" s="26"/>
      <x:c r="T243" s="22">
        <x:f>IF(S243="","",IFERROR(INDEX('درخت جدید'!$C:$C,MATCH(S243&amp;"",'درخت جدید'!$B:$B,0)),"—"))</x:f>
      </x:c>
      <x:c r="U243" s="22">
        <x:f>IF(S243="",IF(N243="بله","الزامی — تکمیل نشده",""),IF(AND(O243&lt;&gt;"",LEFT(S243&amp;"",4)&lt;&gt;O243),"زیر کل دیگری است — کل یا معین را اصلاح کنید",IF(COUNTIFS('درخت جدید'!$B:$B,S243&amp;"",'درخت جدید'!$A:$A,"معین")=0,IF(V243="","کد در درخت نیست — نام برای تعریف را بنویسید","OK"),"OK")))</x:f>
      </x:c>
      <x:c r="V243" s="27"/>
      <x:c r="W243" s="28"/>
    </x:row>
    <x:row r="244" spans="1:23">
      <x:c r="A244" s="21" t="s">
        <x:v>128</x:v>
      </x:c>
      <x:c r="B244" s="22" t="s">
        <x:v>175</x:v>
      </x:c>
      <x:c r="C244" s="22" t="s">
        <x:v>129</x:v>
      </x:c>
      <x:c r="D244" s="22" t="s">
        <x:v>536</x:v>
      </x:c>
      <x:c r="E244" s="22" t="s">
        <x:v>195</x:v>
      </x:c>
      <x:c r="F244" s="22" t="s">
        <x:v>196</x:v>
      </x:c>
      <x:c r="G244" s="22" t="s">
        <x:v>201</x:v>
      </x:c>
      <x:c r="H244" s="22">
        <x:v>12</x:v>
      </x:c>
      <x:c r="I244" s="22">
        <x:v>0</x:v>
      </x:c>
      <x:c r="J244" s="22">
        <x:v>0</x:v>
      </x:c>
      <x:c r="K244" s="23">
        <x:v>0</x:v>
      </x:c>
      <x:c r="L244" s="23">
        <x:v>0</x:v>
      </x:c>
      <x:c r="M244" s="23">
        <x:f>K244-L244</x:f>
      </x:c>
      <x:c r="N244" s="22" t="s">
        <x:v>406</x:v>
      </x:c>
      <x:c r="O244" s="24">
        <x:f>IFERROR(INDEX('تطبیق کل'!$J:$J,MATCH(A244&amp;"",'تطبیق کل'!$A:$A,0))&amp;"","")</x:f>
      </x:c>
      <x:c r="P244" s="24"/>
      <x:c r="Q244" s="24" t="s">
        <x:v>198</x:v>
      </x:c>
      <x:c r="R244" s="25"/>
      <x:c r="S244" s="26"/>
      <x:c r="T244" s="22">
        <x:f>IF(S244="","",IFERROR(INDEX('درخت جدید'!$C:$C,MATCH(S244&amp;"",'درخت جدید'!$B:$B,0)),"—"))</x:f>
      </x:c>
      <x:c r="U244" s="22">
        <x:f>IF(S244="",IF(N244="بله","الزامی — تکمیل نشده",""),IF(AND(O244&lt;&gt;"",LEFT(S244&amp;"",4)&lt;&gt;O244),"زیر کل دیگری است — کل یا معین را اصلاح کنید",IF(COUNTIFS('درخت جدید'!$B:$B,S244&amp;"",'درخت جدید'!$A:$A,"معین")=0,IF(V244="","کد در درخت نیست — نام برای تعریف را بنویسید","OK"),"OK")))</x:f>
      </x:c>
      <x:c r="V244" s="27"/>
      <x:c r="W244" s="28"/>
    </x:row>
    <x:row r="245" spans="1:23">
      <x:c r="A245" s="21" t="s">
        <x:v>132</x:v>
      </x:c>
      <x:c r="B245" s="22" t="s">
        <x:v>251</x:v>
      </x:c>
      <x:c r="C245" s="22" t="s">
        <x:v>133</x:v>
      </x:c>
      <x:c r="D245" s="22" t="s">
        <x:v>133</x:v>
      </x:c>
      <x:c r="E245" s="22" t="s">
        <x:v>195</x:v>
      </x:c>
      <x:c r="F245" s="22" t="s">
        <x:v>195</x:v>
      </x:c>
      <x:c r="G245" s="22" t="s">
        <x:v>196</x:v>
      </x:c>
      <x:c r="H245" s="22">
        <x:v>5</x:v>
      </x:c>
      <x:c r="I245" s="22">
        <x:v>0</x:v>
      </x:c>
      <x:c r="J245" s="22">
        <x:v>0</x:v>
      </x:c>
      <x:c r="K245" s="23">
        <x:v>0</x:v>
      </x:c>
      <x:c r="L245" s="23">
        <x:v>0</x:v>
      </x:c>
      <x:c r="M245" s="23">
        <x:f>K245-L245</x:f>
      </x:c>
      <x:c r="N245" s="22" t="s">
        <x:v>406</x:v>
      </x:c>
      <x:c r="O245" s="24">
        <x:f>IFERROR(INDEX('تطبیق کل'!$J:$J,MATCH(A245&amp;"",'تطبیق کل'!$A:$A,0))&amp;"","")</x:f>
      </x:c>
      <x:c r="P245" s="24"/>
      <x:c r="Q245" s="24" t="s">
        <x:v>198</x:v>
      </x:c>
      <x:c r="R245" s="25"/>
      <x:c r="S245" s="26"/>
      <x:c r="T245" s="22">
        <x:f>IF(S245="","",IFERROR(INDEX('درخت جدید'!$C:$C,MATCH(S245&amp;"",'درخت جدید'!$B:$B,0)),"—"))</x:f>
      </x:c>
      <x:c r="U245" s="22">
        <x:f>IF(S245="",IF(N245="بله","الزامی — تکمیل نشده",""),IF(AND(O245&lt;&gt;"",LEFT(S245&amp;"",4)&lt;&gt;O245),"زیر کل دیگری است — کل یا معین را اصلاح کنید",IF(COUNTIFS('درخت جدید'!$B:$B,S245&amp;"",'درخت جدید'!$A:$A,"معین")=0,IF(V245="","کد در درخت نیست — نام برای تعریف را بنویسید","OK"),"OK")))</x:f>
      </x:c>
      <x:c r="V245" s="27"/>
      <x:c r="W245" s="28"/>
    </x:row>
    <x:row r="246" spans="1:23">
      <x:c r="A246" s="21" t="s">
        <x:v>132</x:v>
      </x:c>
      <x:c r="B246" s="22" t="s">
        <x:v>306</x:v>
      </x:c>
      <x:c r="C246" s="22" t="s">
        <x:v>133</x:v>
      </x:c>
      <x:c r="D246" s="22" t="s">
        <x:v>543</x:v>
      </x:c>
      <x:c r="E246" s="22" t="s">
        <x:v>195</x:v>
      </x:c>
      <x:c r="F246" s="22" t="s">
        <x:v>195</x:v>
      </x:c>
      <x:c r="G246" s="22" t="s">
        <x:v>196</x:v>
      </x:c>
      <x:c r="H246" s="22">
        <x:v>5</x:v>
      </x:c>
      <x:c r="I246" s="22">
        <x:v>0</x:v>
      </x:c>
      <x:c r="J246" s="22">
        <x:v>0</x:v>
      </x:c>
      <x:c r="K246" s="23">
        <x:v>0</x:v>
      </x:c>
      <x:c r="L246" s="23">
        <x:v>0</x:v>
      </x:c>
      <x:c r="M246" s="23">
        <x:f>K246-L246</x:f>
      </x:c>
      <x:c r="N246" s="22" t="s">
        <x:v>406</x:v>
      </x:c>
      <x:c r="O246" s="24">
        <x:f>IFERROR(INDEX('تطبیق کل'!$J:$J,MATCH(A246&amp;"",'تطبیق کل'!$A:$A,0))&amp;"","")</x:f>
      </x:c>
      <x:c r="P246" s="24"/>
      <x:c r="Q246" s="24" t="s">
        <x:v>198</x:v>
      </x:c>
      <x:c r="R246" s="25"/>
      <x:c r="S246" s="26"/>
      <x:c r="T246" s="22">
        <x:f>IF(S246="","",IFERROR(INDEX('درخت جدید'!$C:$C,MATCH(S246&amp;"",'درخت جدید'!$B:$B,0)),"—"))</x:f>
      </x:c>
      <x:c r="U246" s="22">
        <x:f>IF(S246="",IF(N246="بله","الزامی — تکمیل نشده",""),IF(AND(O246&lt;&gt;"",LEFT(S246&amp;"",4)&lt;&gt;O246),"زیر کل دیگری است — کل یا معین را اصلاح کنید",IF(COUNTIFS('درخت جدید'!$B:$B,S246&amp;"",'درخت جدید'!$A:$A,"معین")=0,IF(V246="","کد در درخت نیست — نام برای تعریف را بنویسید","OK"),"OK")))</x:f>
      </x:c>
      <x:c r="V246" s="27"/>
      <x:c r="W246" s="28"/>
    </x:row>
    <x:row r="247" spans="1:23">
      <x:c r="A247" s="21" t="s">
        <x:v>132</x:v>
      </x:c>
      <x:c r="B247" s="22" t="s">
        <x:v>344</x:v>
      </x:c>
      <x:c r="C247" s="22" t="s">
        <x:v>133</x:v>
      </x:c>
      <x:c r="D247" s="22" t="s">
        <x:v>544</x:v>
      </x:c>
      <x:c r="E247" s="22" t="s">
        <x:v>195</x:v>
      </x:c>
      <x:c r="F247" s="22" t="s">
        <x:v>195</x:v>
      </x:c>
      <x:c r="G247" s="22" t="s">
        <x:v>196</x:v>
      </x:c>
      <x:c r="H247" s="22">
        <x:v>3</x:v>
      </x:c>
      <x:c r="I247" s="22">
        <x:v>0</x:v>
      </x:c>
      <x:c r="J247" s="22">
        <x:v>0</x:v>
      </x:c>
      <x:c r="K247" s="23">
        <x:v>0</x:v>
      </x:c>
      <x:c r="L247" s="23">
        <x:v>0</x:v>
      </x:c>
      <x:c r="M247" s="23">
        <x:f>K247-L247</x:f>
      </x:c>
      <x:c r="N247" s="22" t="s">
        <x:v>406</x:v>
      </x:c>
      <x:c r="O247" s="24">
        <x:f>IFERROR(INDEX('تطبیق کل'!$J:$J,MATCH(A247&amp;"",'تطبیق کل'!$A:$A,0))&amp;"","")</x:f>
      </x:c>
      <x:c r="P247" s="24"/>
      <x:c r="Q247" s="24" t="s">
        <x:v>198</x:v>
      </x:c>
      <x:c r="R247" s="25"/>
      <x:c r="S247" s="26"/>
      <x:c r="T247" s="22">
        <x:f>IF(S247="","",IFERROR(INDEX('درخت جدید'!$C:$C,MATCH(S247&amp;"",'درخت جدید'!$B:$B,0)),"—"))</x:f>
      </x:c>
      <x:c r="U247" s="22">
        <x:f>IF(S247="",IF(N247="بله","الزامی — تکمیل نشده",""),IF(AND(O247&lt;&gt;"",LEFT(S247&amp;"",4)&lt;&gt;O247),"زیر کل دیگری است — کل یا معین را اصلاح کنید",IF(COUNTIFS('درخت جدید'!$B:$B,S247&amp;"",'درخت جدید'!$A:$A,"معین")=0,IF(V247="","کد در درخت نیست — نام برای تعریف را بنویسید","OK"),"OK")))</x:f>
      </x:c>
      <x:c r="V247" s="27"/>
      <x:c r="W247" s="28"/>
    </x:row>
    <x:row r="248" spans="1:23">
      <x:c r="A248" s="21" t="s">
        <x:v>132</x:v>
      </x:c>
      <x:c r="B248" s="22" t="s">
        <x:v>255</x:v>
      </x:c>
      <x:c r="C248" s="22" t="s">
        <x:v>133</x:v>
      </x:c>
      <x:c r="D248" s="22" t="s">
        <x:v>545</x:v>
      </x:c>
      <x:c r="E248" s="22" t="s">
        <x:v>195</x:v>
      </x:c>
      <x:c r="F248" s="22" t="s">
        <x:v>195</x:v>
      </x:c>
      <x:c r="G248" s="22" t="s">
        <x:v>196</x:v>
      </x:c>
      <x:c r="H248" s="22">
        <x:v>3</x:v>
      </x:c>
      <x:c r="I248" s="22">
        <x:v>0</x:v>
      </x:c>
      <x:c r="J248" s="22">
        <x:v>0</x:v>
      </x:c>
      <x:c r="K248" s="23">
        <x:v>0</x:v>
      </x:c>
      <x:c r="L248" s="23">
        <x:v>0</x:v>
      </x:c>
      <x:c r="M248" s="23">
        <x:f>K248-L248</x:f>
      </x:c>
      <x:c r="N248" s="22" t="s">
        <x:v>406</x:v>
      </x:c>
      <x:c r="O248" s="24">
        <x:f>IFERROR(INDEX('تطبیق کل'!$J:$J,MATCH(A248&amp;"",'تطبیق کل'!$A:$A,0))&amp;"","")</x:f>
      </x:c>
      <x:c r="P248" s="24"/>
      <x:c r="Q248" s="24" t="s">
        <x:v>198</x:v>
      </x:c>
      <x:c r="R248" s="25"/>
      <x:c r="S248" s="26"/>
      <x:c r="T248" s="22">
        <x:f>IF(S248="","",IFERROR(INDEX('درخت جدید'!$C:$C,MATCH(S248&amp;"",'درخت جدید'!$B:$B,0)),"—"))</x:f>
      </x:c>
      <x:c r="U248" s="22">
        <x:f>IF(S248="",IF(N248="بله","الزامی — تکمیل نشده",""),IF(AND(O248&lt;&gt;"",LEFT(S248&amp;"",4)&lt;&gt;O248),"زیر کل دیگری است — کل یا معین را اصلاح کنید",IF(COUNTIFS('درخت جدید'!$B:$B,S248&amp;"",'درخت جدید'!$A:$A,"معین")=0,IF(V248="","کد در درخت نیست — نام برای تعریف را بنویسید","OK"),"OK")))</x:f>
      </x:c>
      <x:c r="V248" s="27"/>
      <x:c r="W248" s="28"/>
    </x:row>
    <x:row r="249" spans="1:23">
      <x:c r="A249" s="21" t="s">
        <x:v>132</x:v>
      </x:c>
      <x:c r="B249" s="22" t="s">
        <x:v>308</x:v>
      </x:c>
      <x:c r="C249" s="22" t="s">
        <x:v>133</x:v>
      </x:c>
      <x:c r="D249" s="22" t="s">
        <x:v>546</x:v>
      </x:c>
      <x:c r="E249" s="22" t="s">
        <x:v>195</x:v>
      </x:c>
      <x:c r="F249" s="22" t="s">
        <x:v>195</x:v>
      </x:c>
      <x:c r="G249" s="22" t="s">
        <x:v>196</x:v>
      </x:c>
      <x:c r="H249" s="22">
        <x:v>1</x:v>
      </x:c>
      <x:c r="I249" s="22">
        <x:v>0</x:v>
      </x:c>
      <x:c r="J249" s="22">
        <x:v>0</x:v>
      </x:c>
      <x:c r="K249" s="23">
        <x:v>0</x:v>
      </x:c>
      <x:c r="L249" s="23">
        <x:v>0</x:v>
      </x:c>
      <x:c r="M249" s="23">
        <x:f>K249-L249</x:f>
      </x:c>
      <x:c r="N249" s="22" t="s">
        <x:v>406</x:v>
      </x:c>
      <x:c r="O249" s="24">
        <x:f>IFERROR(INDEX('تطبیق کل'!$J:$J,MATCH(A249&amp;"",'تطبیق کل'!$A:$A,0))&amp;"","")</x:f>
      </x:c>
      <x:c r="P249" s="24"/>
      <x:c r="Q249" s="24" t="s">
        <x:v>198</x:v>
      </x:c>
      <x:c r="R249" s="25"/>
      <x:c r="S249" s="26"/>
      <x:c r="T249" s="22">
        <x:f>IF(S249="","",IFERROR(INDEX('درخت جدید'!$C:$C,MATCH(S249&amp;"",'درخت جدید'!$B:$B,0)),"—"))</x:f>
      </x:c>
      <x:c r="U249" s="22">
        <x:f>IF(S249="",IF(N249="بله","الزامی — تکمیل نشده",""),IF(AND(O249&lt;&gt;"",LEFT(S249&amp;"",4)&lt;&gt;O249),"زیر کل دیگری است — کل یا معین را اصلاح کنید",IF(COUNTIFS('درخت جدید'!$B:$B,S249&amp;"",'درخت جدید'!$A:$A,"معین")=0,IF(V249="","کد در درخت نیست — نام برای تعریف را بنویسید","OK"),"OK")))</x:f>
      </x:c>
      <x:c r="V249" s="27"/>
      <x:c r="W249" s="28"/>
    </x:row>
    <x:row r="250" spans="1:23">
      <x:c r="A250" s="21" t="s">
        <x:v>136</x:v>
      </x:c>
      <x:c r="B250" s="22" t="s">
        <x:v>344</x:v>
      </x:c>
      <x:c r="C250" s="22" t="s">
        <x:v>137</x:v>
      </x:c>
      <x:c r="D250" s="22" t="s">
        <x:v>547</x:v>
      </x:c>
      <x:c r="E250" s="22" t="s">
        <x:v>195</x:v>
      </x:c>
      <x:c r="F250" s="22" t="s">
        <x:v>196</x:v>
      </x:c>
      <x:c r="G250" s="22" t="s">
        <x:v>201</x:v>
      </x:c>
      <x:c r="H250" s="22">
        <x:v>11</x:v>
      </x:c>
      <x:c r="I250" s="22">
        <x:v>0</x:v>
      </x:c>
      <x:c r="J250" s="22">
        <x:v>0</x:v>
      </x:c>
      <x:c r="K250" s="23">
        <x:v>0</x:v>
      </x:c>
      <x:c r="L250" s="23">
        <x:v>0</x:v>
      </x:c>
      <x:c r="M250" s="23">
        <x:f>K250-L250</x:f>
      </x:c>
      <x:c r="N250" s="22" t="s">
        <x:v>406</x:v>
      </x:c>
      <x:c r="O250" s="24">
        <x:f>IFERROR(INDEX('تطبیق کل'!$J:$J,MATCH(A250&amp;"",'تطبیق کل'!$A:$A,0))&amp;"","")</x:f>
      </x:c>
      <x:c r="P250" s="24"/>
      <x:c r="Q250" s="24" t="s">
        <x:v>198</x:v>
      </x:c>
      <x:c r="R250" s="25"/>
      <x:c r="S250" s="26"/>
      <x:c r="T250" s="22">
        <x:f>IF(S250="","",IFERROR(INDEX('درخت جدید'!$C:$C,MATCH(S250&amp;"",'درخت جدید'!$B:$B,0)),"—"))</x:f>
      </x:c>
      <x:c r="U250" s="22">
        <x:f>IF(S250="",IF(N250="بله","الزامی — تکمیل نشده",""),IF(AND(O250&lt;&gt;"",LEFT(S250&amp;"",4)&lt;&gt;O250),"زیر کل دیگری است — کل یا معین را اصلاح کنید",IF(COUNTIFS('درخت جدید'!$B:$B,S250&amp;"",'درخت جدید'!$A:$A,"معین")=0,IF(V250="","کد در درخت نیست — نام برای تعریف را بنویسید","OK"),"OK")))</x:f>
      </x:c>
      <x:c r="V250" s="27"/>
      <x:c r="W250" s="28"/>
    </x:row>
    <x:row r="251" spans="1:23">
      <x:c r="A251" s="21" t="s">
        <x:v>136</x:v>
      </x:c>
      <x:c r="B251" s="22" t="s">
        <x:v>175</x:v>
      </x:c>
      <x:c r="C251" s="22" t="s">
        <x:v>137</x:v>
      </x:c>
      <x:c r="D251" s="22" t="s">
        <x:v>536</x:v>
      </x:c>
      <x:c r="E251" s="22" t="s">
        <x:v>195</x:v>
      </x:c>
      <x:c r="F251" s="22" t="s">
        <x:v>196</x:v>
      </x:c>
      <x:c r="G251" s="22" t="s">
        <x:v>201</x:v>
      </x:c>
      <x:c r="H251" s="22">
        <x:v>13</x:v>
      </x:c>
      <x:c r="I251" s="22">
        <x:v>0</x:v>
      </x:c>
      <x:c r="J251" s="22">
        <x:v>0</x:v>
      </x:c>
      <x:c r="K251" s="23">
        <x:v>0</x:v>
      </x:c>
      <x:c r="L251" s="23">
        <x:v>0</x:v>
      </x:c>
      <x:c r="M251" s="23">
        <x:f>K251-L251</x:f>
      </x:c>
      <x:c r="N251" s="22" t="s">
        <x:v>406</x:v>
      </x:c>
      <x:c r="O251" s="24">
        <x:f>IFERROR(INDEX('تطبیق کل'!$J:$J,MATCH(A251&amp;"",'تطبیق کل'!$A:$A,0))&amp;"","")</x:f>
      </x:c>
      <x:c r="P251" s="24"/>
      <x:c r="Q251" s="24" t="s">
        <x:v>198</x:v>
      </x:c>
      <x:c r="R251" s="25"/>
      <x:c r="S251" s="26"/>
      <x:c r="T251" s="22">
        <x:f>IF(S251="","",IFERROR(INDEX('درخت جدید'!$C:$C,MATCH(S251&amp;"",'درخت جدید'!$B:$B,0)),"—"))</x:f>
      </x:c>
      <x:c r="U251" s="22">
        <x:f>IF(S251="",IF(N251="بله","الزامی — تکمیل نشده",""),IF(AND(O251&lt;&gt;"",LEFT(S251&amp;"",4)&lt;&gt;O251),"زیر کل دیگری است — کل یا معین را اصلاح کنید",IF(COUNTIFS('درخت جدید'!$B:$B,S251&amp;"",'درخت جدید'!$A:$A,"معین")=0,IF(V251="","کد در درخت نیست — نام برای تعریف را بنویسید","OK"),"OK")))</x:f>
      </x:c>
      <x:c r="V251" s="27"/>
      <x:c r="W251" s="28"/>
    </x:row>
    <x:row r="252" spans="1:23">
      <x:c r="A252" s="21" t="s">
        <x:v>139</x:v>
      </x:c>
      <x:c r="B252" s="22" t="s">
        <x:v>306</x:v>
      </x:c>
      <x:c r="C252" s="22" t="s">
        <x:v>140</x:v>
      </x:c>
      <x:c r="D252" s="22" t="s">
        <x:v>548</x:v>
      </x:c>
      <x:c r="E252" s="22" t="s">
        <x:v>195</x:v>
      </x:c>
      <x:c r="F252" s="22" t="s">
        <x:v>196</x:v>
      </x:c>
      <x:c r="G252" s="22" t="s">
        <x:v>201</x:v>
      </x:c>
      <x:c r="H252" s="22">
        <x:v>1</x:v>
      </x:c>
      <x:c r="I252" s="22">
        <x:v>0</x:v>
      </x:c>
      <x:c r="J252" s="22">
        <x:v>0</x:v>
      </x:c>
      <x:c r="K252" s="23">
        <x:v>0</x:v>
      </x:c>
      <x:c r="L252" s="23">
        <x:v>0</x:v>
      </x:c>
      <x:c r="M252" s="23">
        <x:f>K252-L252</x:f>
      </x:c>
      <x:c r="N252" s="22" t="s">
        <x:v>406</x:v>
      </x:c>
      <x:c r="O252" s="24">
        <x:f>IFERROR(INDEX('تطبیق کل'!$J:$J,MATCH(A252&amp;"",'تطبیق کل'!$A:$A,0))&amp;"","")</x:f>
      </x:c>
      <x:c r="P252" s="24"/>
      <x:c r="Q252" s="24" t="s">
        <x:v>198</x:v>
      </x:c>
      <x:c r="R252" s="25"/>
      <x:c r="S252" s="26"/>
      <x:c r="T252" s="22">
        <x:f>IF(S252="","",IFERROR(INDEX('درخت جدید'!$C:$C,MATCH(S252&amp;"",'درخت جدید'!$B:$B,0)),"—"))</x:f>
      </x:c>
      <x:c r="U252" s="22">
        <x:f>IF(S252="",IF(N252="بله","الزامی — تکمیل نشده",""),IF(AND(O252&lt;&gt;"",LEFT(S252&amp;"",4)&lt;&gt;O252),"زیر کل دیگری است — کل یا معین را اصلاح کنید",IF(COUNTIFS('درخت جدید'!$B:$B,S252&amp;"",'درخت جدید'!$A:$A,"معین")=0,IF(V252="","کد در درخت نیست — نام برای تعریف را بنویسید","OK"),"OK")))</x:f>
      </x:c>
      <x:c r="V252" s="27"/>
      <x:c r="W252" s="28"/>
    </x:row>
    <x:row r="253" spans="1:23">
      <x:c r="A253" s="21" t="s">
        <x:v>139</x:v>
      </x:c>
      <x:c r="B253" s="22" t="s">
        <x:v>344</x:v>
      </x:c>
      <x:c r="C253" s="22" t="s">
        <x:v>140</x:v>
      </x:c>
      <x:c r="D253" s="22" t="s">
        <x:v>549</x:v>
      </x:c>
      <x:c r="E253" s="22" t="s">
        <x:v>195</x:v>
      </x:c>
      <x:c r="F253" s="22" t="s">
        <x:v>196</x:v>
      </x:c>
      <x:c r="G253" s="22" t="s">
        <x:v>201</x:v>
      </x:c>
      <x:c r="H253" s="22">
        <x:v>18</x:v>
      </x:c>
      <x:c r="I253" s="22">
        <x:v>0</x:v>
      </x:c>
      <x:c r="J253" s="22">
        <x:v>0</x:v>
      </x:c>
      <x:c r="K253" s="23">
        <x:v>0</x:v>
      </x:c>
      <x:c r="L253" s="23">
        <x:v>0</x:v>
      </x:c>
      <x:c r="M253" s="23">
        <x:f>K253-L253</x:f>
      </x:c>
      <x:c r="N253" s="22" t="s">
        <x:v>406</x:v>
      </x:c>
      <x:c r="O253" s="24">
        <x:f>IFERROR(INDEX('تطبیق کل'!$J:$J,MATCH(A253&amp;"",'تطبیق کل'!$A:$A,0))&amp;"","")</x:f>
      </x:c>
      <x:c r="P253" s="24"/>
      <x:c r="Q253" s="24" t="s">
        <x:v>198</x:v>
      </x:c>
      <x:c r="R253" s="25"/>
      <x:c r="S253" s="26"/>
      <x:c r="T253" s="22">
        <x:f>IF(S253="","",IFERROR(INDEX('درخت جدید'!$C:$C,MATCH(S253&amp;"",'درخت جدید'!$B:$B,0)),"—"))</x:f>
      </x:c>
      <x:c r="U253" s="22">
        <x:f>IF(S253="",IF(N253="بله","الزامی — تکمیل نشده",""),IF(AND(O253&lt;&gt;"",LEFT(S253&amp;"",4)&lt;&gt;O253),"زیر کل دیگری است — کل یا معین را اصلاح کنید",IF(COUNTIFS('درخت جدید'!$B:$B,S253&amp;"",'درخت جدید'!$A:$A,"معین")=0,IF(V253="","کد در درخت نیست — نام برای تعریف را بنویسید","OK"),"OK")))</x:f>
      </x:c>
      <x:c r="V253" s="27"/>
      <x:c r="W253" s="28"/>
    </x:row>
    <x:row r="254" spans="1:23">
      <x:c r="A254" s="21" t="s">
        <x:v>139</x:v>
      </x:c>
      <x:c r="B254" s="22" t="s">
        <x:v>310</x:v>
      </x:c>
      <x:c r="C254" s="22" t="s">
        <x:v>140</x:v>
      </x:c>
      <x:c r="D254" s="22" t="s">
        <x:v>550</x:v>
      </x:c>
      <x:c r="E254" s="22" t="s">
        <x:v>195</x:v>
      </x:c>
      <x:c r="F254" s="22" t="s">
        <x:v>196</x:v>
      </x:c>
      <x:c r="G254" s="22" t="s">
        <x:v>201</x:v>
      </x:c>
      <x:c r="H254" s="22">
        <x:v>1</x:v>
      </x:c>
      <x:c r="I254" s="22">
        <x:v>0</x:v>
      </x:c>
      <x:c r="J254" s="22">
        <x:v>0</x:v>
      </x:c>
      <x:c r="K254" s="23">
        <x:v>0</x:v>
      </x:c>
      <x:c r="L254" s="23">
        <x:v>0</x:v>
      </x:c>
      <x:c r="M254" s="23">
        <x:f>K254-L254</x:f>
      </x:c>
      <x:c r="N254" s="22" t="s">
        <x:v>406</x:v>
      </x:c>
      <x:c r="O254" s="24">
        <x:f>IFERROR(INDEX('تطبیق کل'!$J:$J,MATCH(A254&amp;"",'تطبیق کل'!$A:$A,0))&amp;"","")</x:f>
      </x:c>
      <x:c r="P254" s="24"/>
      <x:c r="Q254" s="24" t="s">
        <x:v>198</x:v>
      </x:c>
      <x:c r="R254" s="25"/>
      <x:c r="S254" s="26"/>
      <x:c r="T254" s="22">
        <x:f>IF(S254="","",IFERROR(INDEX('درخت جدید'!$C:$C,MATCH(S254&amp;"",'درخت جدید'!$B:$B,0)),"—"))</x:f>
      </x:c>
      <x:c r="U254" s="22">
        <x:f>IF(S254="",IF(N254="بله","الزامی — تکمیل نشده",""),IF(AND(O254&lt;&gt;"",LEFT(S254&amp;"",4)&lt;&gt;O254),"زیر کل دیگری است — کل یا معین را اصلاح کنید",IF(COUNTIFS('درخت جدید'!$B:$B,S254&amp;"",'درخت جدید'!$A:$A,"معین")=0,IF(V254="","کد در درخت نیست — نام برای تعریف را بنویسید","OK"),"OK")))</x:f>
      </x:c>
      <x:c r="V254" s="27"/>
      <x:c r="W254" s="28"/>
    </x:row>
    <x:row r="255" spans="1:23">
      <x:c r="A255" s="21" t="s">
        <x:v>139</x:v>
      </x:c>
      <x:c r="B255" s="22" t="s">
        <x:v>351</x:v>
      </x:c>
      <x:c r="C255" s="22" t="s">
        <x:v>140</x:v>
      </x:c>
      <x:c r="D255" s="22" t="s">
        <x:v>551</x:v>
      </x:c>
      <x:c r="E255" s="22" t="s">
        <x:v>195</x:v>
      </x:c>
      <x:c r="F255" s="22" t="s">
        <x:v>196</x:v>
      </x:c>
      <x:c r="G255" s="22" t="s">
        <x:v>201</x:v>
      </x:c>
      <x:c r="H255" s="22">
        <x:v>3</x:v>
      </x:c>
      <x:c r="I255" s="22">
        <x:v>0</x:v>
      </x:c>
      <x:c r="J255" s="22">
        <x:v>0</x:v>
      </x:c>
      <x:c r="K255" s="23">
        <x:v>0</x:v>
      </x:c>
      <x:c r="L255" s="23">
        <x:v>0</x:v>
      </x:c>
      <x:c r="M255" s="23">
        <x:f>K255-L255</x:f>
      </x:c>
      <x:c r="N255" s="22" t="s">
        <x:v>406</x:v>
      </x:c>
      <x:c r="O255" s="24">
        <x:f>IFERROR(INDEX('تطبیق کل'!$J:$J,MATCH(A255&amp;"",'تطبیق کل'!$A:$A,0))&amp;"","")</x:f>
      </x:c>
      <x:c r="P255" s="24"/>
      <x:c r="Q255" s="24" t="s">
        <x:v>198</x:v>
      </x:c>
      <x:c r="R255" s="25"/>
      <x:c r="S255" s="26"/>
      <x:c r="T255" s="22">
        <x:f>IF(S255="","",IFERROR(INDEX('درخت جدید'!$C:$C,MATCH(S255&amp;"",'درخت جدید'!$B:$B,0)),"—"))</x:f>
      </x:c>
      <x:c r="U255" s="22">
        <x:f>IF(S255="",IF(N255="بله","الزامی — تکمیل نشده",""),IF(AND(O255&lt;&gt;"",LEFT(S255&amp;"",4)&lt;&gt;O255),"زیر کل دیگری است — کل یا معین را اصلاح کنید",IF(COUNTIFS('درخت جدید'!$B:$B,S255&amp;"",'درخت جدید'!$A:$A,"معین")=0,IF(V255="","کد در درخت نیست — نام برای تعریف را بنویسید","OK"),"OK")))</x:f>
      </x:c>
      <x:c r="V255" s="27"/>
      <x:c r="W255" s="28"/>
    </x:row>
    <x:row r="256" spans="1:23">
      <x:c r="A256" s="21" t="s">
        <x:v>139</x:v>
      </x:c>
      <x:c r="B256" s="22" t="s">
        <x:v>204</x:v>
      </x:c>
      <x:c r="C256" s="22" t="s">
        <x:v>140</x:v>
      </x:c>
      <x:c r="D256" s="22" t="s">
        <x:v>552</x:v>
      </x:c>
      <x:c r="E256" s="22" t="s">
        <x:v>195</x:v>
      </x:c>
      <x:c r="F256" s="22" t="s">
        <x:v>196</x:v>
      </x:c>
      <x:c r="G256" s="22" t="s">
        <x:v>201</x:v>
      </x:c>
      <x:c r="H256" s="22">
        <x:v>4</x:v>
      </x:c>
      <x:c r="I256" s="22">
        <x:v>0</x:v>
      </x:c>
      <x:c r="J256" s="22">
        <x:v>0</x:v>
      </x:c>
      <x:c r="K256" s="23">
        <x:v>0</x:v>
      </x:c>
      <x:c r="L256" s="23">
        <x:v>0</x:v>
      </x:c>
      <x:c r="M256" s="23">
        <x:f>K256-L256</x:f>
      </x:c>
      <x:c r="N256" s="22" t="s">
        <x:v>406</x:v>
      </x:c>
      <x:c r="O256" s="24">
        <x:f>IFERROR(INDEX('تطبیق کل'!$J:$J,MATCH(A256&amp;"",'تطبیق کل'!$A:$A,0))&amp;"","")</x:f>
      </x:c>
      <x:c r="P256" s="24" t="s">
        <x:v>257</x:v>
      </x:c>
      <x:c r="Q256" s="24" t="s">
        <x:v>258</x:v>
      </x:c>
      <x:c r="R256" s="25">
        <x:v>0.48</x:v>
      </x:c>
      <x:c r="S256" s="26"/>
      <x:c r="T256" s="22">
        <x:f>IF(S256="","",IFERROR(INDEX('درخت جدید'!$C:$C,MATCH(S256&amp;"",'درخت جدید'!$B:$B,0)),"—"))</x:f>
      </x:c>
      <x:c r="U256" s="22">
        <x:f>IF(S256="",IF(N256="بله","الزامی — تکمیل نشده",""),IF(AND(O256&lt;&gt;"",LEFT(S256&amp;"",4)&lt;&gt;O256),"زیر کل دیگری است — کل یا معین را اصلاح کنید",IF(COUNTIFS('درخت جدید'!$B:$B,S256&amp;"",'درخت جدید'!$A:$A,"معین")=0,IF(V256="","کد در درخت نیست — نام برای تعریف را بنویسید","OK"),"OK")))</x:f>
      </x:c>
      <x:c r="V256" s="27"/>
      <x:c r="W256" s="28"/>
    </x:row>
    <x:row r="257" spans="1:23">
      <x:c r="A257" s="21" t="s">
        <x:v>139</x:v>
      </x:c>
      <x:c r="B257" s="22" t="s">
        <x:v>27</x:v>
      </x:c>
      <x:c r="C257" s="22" t="s">
        <x:v>140</x:v>
      </x:c>
      <x:c r="D257" s="22" t="s">
        <x:v>553</x:v>
      </x:c>
      <x:c r="E257" s="22" t="s">
        <x:v>195</x:v>
      </x:c>
      <x:c r="F257" s="22" t="s">
        <x:v>196</x:v>
      </x:c>
      <x:c r="G257" s="22" t="s">
        <x:v>201</x:v>
      </x:c>
      <x:c r="H257" s="22">
        <x:v>3</x:v>
      </x:c>
      <x:c r="I257" s="22">
        <x:v>0</x:v>
      </x:c>
      <x:c r="J257" s="22">
        <x:v>0</x:v>
      </x:c>
      <x:c r="K257" s="23">
        <x:v>0</x:v>
      </x:c>
      <x:c r="L257" s="23">
        <x:v>0</x:v>
      </x:c>
      <x:c r="M257" s="23">
        <x:f>K257-L257</x:f>
      </x:c>
      <x:c r="N257" s="22" t="s">
        <x:v>406</x:v>
      </x:c>
      <x:c r="O257" s="24">
        <x:f>IFERROR(INDEX('تطبیق کل'!$J:$J,MATCH(A257&amp;"",'تطبیق کل'!$A:$A,0))&amp;"","")</x:f>
      </x:c>
      <x:c r="P257" s="24"/>
      <x:c r="Q257" s="24" t="s">
        <x:v>198</x:v>
      </x:c>
      <x:c r="R257" s="25"/>
      <x:c r="S257" s="26"/>
      <x:c r="T257" s="22">
        <x:f>IF(S257="","",IFERROR(INDEX('درخت جدید'!$C:$C,MATCH(S257&amp;"",'درخت جدید'!$B:$B,0)),"—"))</x:f>
      </x:c>
      <x:c r="U257" s="22">
        <x:f>IF(S257="",IF(N257="بله","الزامی — تکمیل نشده",""),IF(AND(O257&lt;&gt;"",LEFT(S257&amp;"",4)&lt;&gt;O257),"زیر کل دیگری است — کل یا معین را اصلاح کنید",IF(COUNTIFS('درخت جدید'!$B:$B,S257&amp;"",'درخت جدید'!$A:$A,"معین")=0,IF(V257="","کد در درخت نیست — نام برای تعریف را بنویسید","OK"),"OK")))</x:f>
      </x:c>
      <x:c r="V257" s="27"/>
      <x:c r="W257" s="28"/>
    </x:row>
    <x:row r="258" spans="1:23">
      <x:c r="A258" s="21" t="s">
        <x:v>139</x:v>
      </x:c>
      <x:c r="B258" s="22" t="s">
        <x:v>361</x:v>
      </x:c>
      <x:c r="C258" s="22" t="s">
        <x:v>140</x:v>
      </x:c>
      <x:c r="D258" s="22" t="s">
        <x:v>554</x:v>
      </x:c>
      <x:c r="E258" s="22" t="s">
        <x:v>195</x:v>
      </x:c>
      <x:c r="F258" s="22" t="s">
        <x:v>196</x:v>
      </x:c>
      <x:c r="G258" s="22" t="s">
        <x:v>201</x:v>
      </x:c>
      <x:c r="H258" s="22">
        <x:v>4</x:v>
      </x:c>
      <x:c r="I258" s="22">
        <x:v>0</x:v>
      </x:c>
      <x:c r="J258" s="22">
        <x:v>0</x:v>
      </x:c>
      <x:c r="K258" s="23">
        <x:v>0</x:v>
      </x:c>
      <x:c r="L258" s="23">
        <x:v>0</x:v>
      </x:c>
      <x:c r="M258" s="23">
        <x:f>K258-L258</x:f>
      </x:c>
      <x:c r="N258" s="22" t="s">
        <x:v>406</x:v>
      </x:c>
      <x:c r="O258" s="24">
        <x:f>IFERROR(INDEX('تطبیق کل'!$J:$J,MATCH(A258&amp;"",'تطبیق کل'!$A:$A,0))&amp;"","")</x:f>
      </x:c>
      <x:c r="P258" s="24" t="s">
        <x:v>257</x:v>
      </x:c>
      <x:c r="Q258" s="24" t="s">
        <x:v>258</x:v>
      </x:c>
      <x:c r="R258" s="25">
        <x:v>0.5</x:v>
      </x:c>
      <x:c r="S258" s="26"/>
      <x:c r="T258" s="22">
        <x:f>IF(S258="","",IFERROR(INDEX('درخت جدید'!$C:$C,MATCH(S258&amp;"",'درخت جدید'!$B:$B,0)),"—"))</x:f>
      </x:c>
      <x:c r="U258" s="22">
        <x:f>IF(S258="",IF(N258="بله","الزامی — تکمیل نشده",""),IF(AND(O258&lt;&gt;"",LEFT(S258&amp;"",4)&lt;&gt;O258),"زیر کل دیگری است — کل یا معین را اصلاح کنید",IF(COUNTIFS('درخت جدید'!$B:$B,S258&amp;"",'درخت جدید'!$A:$A,"معین")=0,IF(V258="","کد در درخت نیست — نام برای تعریف را بنویسید","OK"),"OK")))</x:f>
      </x:c>
      <x:c r="V258" s="27"/>
      <x:c r="W258" s="28"/>
    </x:row>
    <x:row r="259" spans="1:23">
      <x:c r="A259" s="21" t="s">
        <x:v>139</x:v>
      </x:c>
      <x:c r="B259" s="22" t="s">
        <x:v>269</x:v>
      </x:c>
      <x:c r="C259" s="22" t="s">
        <x:v>140</x:v>
      </x:c>
      <x:c r="D259" s="22" t="s">
        <x:v>555</x:v>
      </x:c>
      <x:c r="E259" s="22" t="s">
        <x:v>195</x:v>
      </x:c>
      <x:c r="F259" s="22" t="s">
        <x:v>196</x:v>
      </x:c>
      <x:c r="G259" s="22" t="s">
        <x:v>201</x:v>
      </x:c>
      <x:c r="H259" s="22">
        <x:v>1</x:v>
      </x:c>
      <x:c r="I259" s="22">
        <x:v>0</x:v>
      </x:c>
      <x:c r="J259" s="22">
        <x:v>0</x:v>
      </x:c>
      <x:c r="K259" s="23">
        <x:v>0</x:v>
      </x:c>
      <x:c r="L259" s="23">
        <x:v>0</x:v>
      </x:c>
      <x:c r="M259" s="23">
        <x:f>K259-L259</x:f>
      </x:c>
      <x:c r="N259" s="22" t="s">
        <x:v>406</x:v>
      </x:c>
      <x:c r="O259" s="24">
        <x:f>IFERROR(INDEX('تطبیق کل'!$J:$J,MATCH(A259&amp;"",'تطبیق کل'!$A:$A,0))&amp;"","")</x:f>
      </x:c>
      <x:c r="P259" s="24"/>
      <x:c r="Q259" s="24" t="s">
        <x:v>198</x:v>
      </x:c>
      <x:c r="R259" s="25"/>
      <x:c r="S259" s="26"/>
      <x:c r="T259" s="22">
        <x:f>IF(S259="","",IFERROR(INDEX('درخت جدید'!$C:$C,MATCH(S259&amp;"",'درخت جدید'!$B:$B,0)),"—"))</x:f>
      </x:c>
      <x:c r="U259" s="22">
        <x:f>IF(S259="",IF(N259="بله","الزامی — تکمیل نشده",""),IF(AND(O259&lt;&gt;"",LEFT(S259&amp;"",4)&lt;&gt;O259),"زیر کل دیگری است — کل یا معین را اصلاح کنید",IF(COUNTIFS('درخت جدید'!$B:$B,S259&amp;"",'درخت جدید'!$A:$A,"معین")=0,IF(V259="","کد در درخت نیست — نام برای تعریف را بنویسید","OK"),"OK")))</x:f>
      </x:c>
      <x:c r="V259" s="27"/>
      <x:c r="W259" s="28"/>
    </x:row>
    <x:row r="260" spans="1:23">
      <x:c r="A260" s="21" t="s">
        <x:v>139</x:v>
      </x:c>
      <x:c r="B260" s="22" t="s">
        <x:v>199</x:v>
      </x:c>
      <x:c r="C260" s="22" t="s">
        <x:v>140</x:v>
      </x:c>
      <x:c r="D260" s="22" t="s">
        <x:v>556</x:v>
      </x:c>
      <x:c r="E260" s="22" t="s">
        <x:v>195</x:v>
      </x:c>
      <x:c r="F260" s="22" t="s">
        <x:v>196</x:v>
      </x:c>
      <x:c r="G260" s="22" t="s">
        <x:v>201</x:v>
      </x:c>
      <x:c r="H260" s="22">
        <x:v>3</x:v>
      </x:c>
      <x:c r="I260" s="22">
        <x:v>0</x:v>
      </x:c>
      <x:c r="J260" s="22">
        <x:v>0</x:v>
      </x:c>
      <x:c r="K260" s="23">
        <x:v>0</x:v>
      </x:c>
      <x:c r="L260" s="23">
        <x:v>0</x:v>
      </x:c>
      <x:c r="M260" s="23">
        <x:f>K260-L260</x:f>
      </x:c>
      <x:c r="N260" s="22" t="s">
        <x:v>406</x:v>
      </x:c>
      <x:c r="O260" s="24">
        <x:f>IFERROR(INDEX('تطبیق کل'!$J:$J,MATCH(A260&amp;"",'تطبیق کل'!$A:$A,0))&amp;"","")</x:f>
      </x:c>
      <x:c r="P260" s="24"/>
      <x:c r="Q260" s="24" t="s">
        <x:v>198</x:v>
      </x:c>
      <x:c r="R260" s="25"/>
      <x:c r="S260" s="26"/>
      <x:c r="T260" s="22">
        <x:f>IF(S260="","",IFERROR(INDEX('درخت جدید'!$C:$C,MATCH(S260&amp;"",'درخت جدید'!$B:$B,0)),"—"))</x:f>
      </x:c>
      <x:c r="U260" s="22">
        <x:f>IF(S260="",IF(N260="بله","الزامی — تکمیل نشده",""),IF(AND(O260&lt;&gt;"",LEFT(S260&amp;"",4)&lt;&gt;O260),"زیر کل دیگری است — کل یا معین را اصلاح کنید",IF(COUNTIFS('درخت جدید'!$B:$B,S260&amp;"",'درخت جدید'!$A:$A,"معین")=0,IF(V260="","کد در درخت نیست — نام برای تعریف را بنویسید","OK"),"OK")))</x:f>
      </x:c>
      <x:c r="V260" s="27"/>
      <x:c r="W260" s="28"/>
    </x:row>
    <x:row r="261" spans="1:23">
      <x:c r="A261" s="21" t="s">
        <x:v>139</x:v>
      </x:c>
      <x:c r="B261" s="22" t="s">
        <x:v>38</x:v>
      </x:c>
      <x:c r="C261" s="22" t="s">
        <x:v>140</x:v>
      </x:c>
      <x:c r="D261" s="22" t="s">
        <x:v>557</x:v>
      </x:c>
      <x:c r="E261" s="22" t="s">
        <x:v>195</x:v>
      </x:c>
      <x:c r="F261" s="22" t="s">
        <x:v>196</x:v>
      </x:c>
      <x:c r="G261" s="22" t="s">
        <x:v>201</x:v>
      </x:c>
      <x:c r="H261" s="22">
        <x:v>2</x:v>
      </x:c>
      <x:c r="I261" s="22">
        <x:v>0</x:v>
      </x:c>
      <x:c r="J261" s="22">
        <x:v>0</x:v>
      </x:c>
      <x:c r="K261" s="23">
        <x:v>0</x:v>
      </x:c>
      <x:c r="L261" s="23">
        <x:v>0</x:v>
      </x:c>
      <x:c r="M261" s="23">
        <x:f>K261-L261</x:f>
      </x:c>
      <x:c r="N261" s="22" t="s">
        <x:v>406</x:v>
      </x:c>
      <x:c r="O261" s="24">
        <x:f>IFERROR(INDEX('تطبیق کل'!$J:$J,MATCH(A261&amp;"",'تطبیق کل'!$A:$A,0))&amp;"","")</x:f>
      </x:c>
      <x:c r="P261" s="24"/>
      <x:c r="Q261" s="24" t="s">
        <x:v>198</x:v>
      </x:c>
      <x:c r="R261" s="25"/>
      <x:c r="S261" s="26"/>
      <x:c r="T261" s="22">
        <x:f>IF(S261="","",IFERROR(INDEX('درخت جدید'!$C:$C,MATCH(S261&amp;"",'درخت جدید'!$B:$B,0)),"—"))</x:f>
      </x:c>
      <x:c r="U261" s="22">
        <x:f>IF(S261="",IF(N261="بله","الزامی — تکمیل نشده",""),IF(AND(O261&lt;&gt;"",LEFT(S261&amp;"",4)&lt;&gt;O261),"زیر کل دیگری است — کل یا معین را اصلاح کنید",IF(COUNTIFS('درخت جدید'!$B:$B,S261&amp;"",'درخت جدید'!$A:$A,"معین")=0,IF(V261="","کد در درخت نیست — نام برای تعریف را بنویسید","OK"),"OK")))</x:f>
      </x:c>
      <x:c r="V261" s="27"/>
      <x:c r="W261" s="28"/>
    </x:row>
    <x:row r="262" spans="1:23">
      <x:c r="A262" s="21" t="s">
        <x:v>139</x:v>
      </x:c>
      <x:c r="B262" s="22" t="s">
        <x:v>292</x:v>
      </x:c>
      <x:c r="C262" s="22" t="s">
        <x:v>140</x:v>
      </x:c>
      <x:c r="D262" s="22" t="s">
        <x:v>558</x:v>
      </x:c>
      <x:c r="E262" s="22" t="s">
        <x:v>195</x:v>
      </x:c>
      <x:c r="F262" s="22" t="s">
        <x:v>196</x:v>
      </x:c>
      <x:c r="G262" s="22" t="s">
        <x:v>201</x:v>
      </x:c>
      <x:c r="H262" s="22">
        <x:v>1</x:v>
      </x:c>
      <x:c r="I262" s="22">
        <x:v>0</x:v>
      </x:c>
      <x:c r="J262" s="22">
        <x:v>0</x:v>
      </x:c>
      <x:c r="K262" s="23">
        <x:v>0</x:v>
      </x:c>
      <x:c r="L262" s="23">
        <x:v>0</x:v>
      </x:c>
      <x:c r="M262" s="23">
        <x:f>K262-L262</x:f>
      </x:c>
      <x:c r="N262" s="22" t="s">
        <x:v>406</x:v>
      </x:c>
      <x:c r="O262" s="24">
        <x:f>IFERROR(INDEX('تطبیق کل'!$J:$J,MATCH(A262&amp;"",'تطبیق کل'!$A:$A,0))&amp;"","")</x:f>
      </x:c>
      <x:c r="P262" s="24" t="s">
        <x:v>559</x:v>
      </x:c>
      <x:c r="Q262" s="24" t="s">
        <x:v>560</x:v>
      </x:c>
      <x:c r="R262" s="25">
        <x:v>0.38</x:v>
      </x:c>
      <x:c r="S262" s="26"/>
      <x:c r="T262" s="22">
        <x:f>IF(S262="","",IFERROR(INDEX('درخت جدید'!$C:$C,MATCH(S262&amp;"",'درخت جدید'!$B:$B,0)),"—"))</x:f>
      </x:c>
      <x:c r="U262" s="22">
        <x:f>IF(S262="",IF(N262="بله","الزامی — تکمیل نشده",""),IF(AND(O262&lt;&gt;"",LEFT(S262&amp;"",4)&lt;&gt;O262),"زیر کل دیگری است — کل یا معین را اصلاح کنید",IF(COUNTIFS('درخت جدید'!$B:$B,S262&amp;"",'درخت جدید'!$A:$A,"معین")=0,IF(V262="","کد در درخت نیست — نام برای تعریف را بنویسید","OK"),"OK")))</x:f>
      </x:c>
      <x:c r="V262" s="27"/>
      <x:c r="W262" s="28"/>
    </x:row>
    <x:row r="263" spans="1:23">
      <x:c r="A263" s="21" t="s">
        <x:v>139</x:v>
      </x:c>
      <x:c r="B263" s="22" t="s">
        <x:v>369</x:v>
      </x:c>
      <x:c r="C263" s="22" t="s">
        <x:v>140</x:v>
      </x:c>
      <x:c r="D263" s="22" t="s">
        <x:v>561</x:v>
      </x:c>
      <x:c r="E263" s="22" t="s">
        <x:v>195</x:v>
      </x:c>
      <x:c r="F263" s="22" t="s">
        <x:v>196</x:v>
      </x:c>
      <x:c r="G263" s="22" t="s">
        <x:v>201</x:v>
      </x:c>
      <x:c r="H263" s="22">
        <x:v>3</x:v>
      </x:c>
      <x:c r="I263" s="22">
        <x:v>0</x:v>
      </x:c>
      <x:c r="J263" s="22">
        <x:v>0</x:v>
      </x:c>
      <x:c r="K263" s="23">
        <x:v>0</x:v>
      </x:c>
      <x:c r="L263" s="23">
        <x:v>0</x:v>
      </x:c>
      <x:c r="M263" s="23">
        <x:f>K263-L263</x:f>
      </x:c>
      <x:c r="N263" s="22" t="s">
        <x:v>406</x:v>
      </x:c>
      <x:c r="O263" s="24">
        <x:f>IFERROR(INDEX('تطبیق کل'!$J:$J,MATCH(A263&amp;"",'تطبیق کل'!$A:$A,0))&amp;"","")</x:f>
      </x:c>
      <x:c r="P263" s="24"/>
      <x:c r="Q263" s="24" t="s">
        <x:v>198</x:v>
      </x:c>
      <x:c r="R263" s="25"/>
      <x:c r="S263" s="26"/>
      <x:c r="T263" s="22">
        <x:f>IF(S263="","",IFERROR(INDEX('درخت جدید'!$C:$C,MATCH(S263&amp;"",'درخت جدید'!$B:$B,0)),"—"))</x:f>
      </x:c>
      <x:c r="U263" s="22">
        <x:f>IF(S263="",IF(N263="بله","الزامی — تکمیل نشده",""),IF(AND(O263&lt;&gt;"",LEFT(S263&amp;"",4)&lt;&gt;O263),"زیر کل دیگری است — کل یا معین را اصلاح کنید",IF(COUNTIFS('درخت جدید'!$B:$B,S263&amp;"",'درخت جدید'!$A:$A,"معین")=0,IF(V263="","کد در درخت نیست — نام برای تعریف را بنویسید","OK"),"OK")))</x:f>
      </x:c>
      <x:c r="V263" s="27"/>
      <x:c r="W263" s="28"/>
    </x:row>
    <x:row r="264" spans="1:23">
      <x:c r="A264" s="21" t="s">
        <x:v>139</x:v>
      </x:c>
      <x:c r="B264" s="22" t="s">
        <x:v>371</x:v>
      </x:c>
      <x:c r="C264" s="22" t="s">
        <x:v>140</x:v>
      </x:c>
      <x:c r="D264" s="22" t="s">
        <x:v>562</x:v>
      </x:c>
      <x:c r="E264" s="22" t="s">
        <x:v>195</x:v>
      </x:c>
      <x:c r="F264" s="22" t="s">
        <x:v>196</x:v>
      </x:c>
      <x:c r="G264" s="22" t="s">
        <x:v>201</x:v>
      </x:c>
      <x:c r="H264" s="22">
        <x:v>4</x:v>
      </x:c>
      <x:c r="I264" s="22">
        <x:v>0</x:v>
      </x:c>
      <x:c r="J264" s="22">
        <x:v>0</x:v>
      </x:c>
      <x:c r="K264" s="23">
        <x:v>0</x:v>
      </x:c>
      <x:c r="L264" s="23">
        <x:v>0</x:v>
      </x:c>
      <x:c r="M264" s="23">
        <x:f>K264-L264</x:f>
      </x:c>
      <x:c r="N264" s="22" t="s">
        <x:v>406</x:v>
      </x:c>
      <x:c r="O264" s="24">
        <x:f>IFERROR(INDEX('تطبیق کل'!$J:$J,MATCH(A264&amp;"",'تطبیق کل'!$A:$A,0))&amp;"","")</x:f>
      </x:c>
      <x:c r="P264" s="24"/>
      <x:c r="Q264" s="24" t="s">
        <x:v>198</x:v>
      </x:c>
      <x:c r="R264" s="25"/>
      <x:c r="S264" s="26"/>
      <x:c r="T264" s="22">
        <x:f>IF(S264="","",IFERROR(INDEX('درخت جدید'!$C:$C,MATCH(S264&amp;"",'درخت جدید'!$B:$B,0)),"—"))</x:f>
      </x:c>
      <x:c r="U264" s="22">
        <x:f>IF(S264="",IF(N264="بله","الزامی — تکمیل نشده",""),IF(AND(O264&lt;&gt;"",LEFT(S264&amp;"",4)&lt;&gt;O264),"زیر کل دیگری است — کل یا معین را اصلاح کنید",IF(COUNTIFS('درخت جدید'!$B:$B,S264&amp;"",'درخت جدید'!$A:$A,"معین")=0,IF(V264="","کد در درخت نیست — نام برای تعریف را بنویسید","OK"),"OK")))</x:f>
      </x:c>
      <x:c r="V264" s="27"/>
      <x:c r="W264" s="28"/>
    </x:row>
    <x:row r="265" spans="1:23">
      <x:c r="A265" s="21" t="s">
        <x:v>139</x:v>
      </x:c>
      <x:c r="B265" s="22" t="s">
        <x:v>207</x:v>
      </x:c>
      <x:c r="C265" s="22" t="s">
        <x:v>140</x:v>
      </x:c>
      <x:c r="D265" s="22" t="s">
        <x:v>563</x:v>
      </x:c>
      <x:c r="E265" s="22" t="s">
        <x:v>195</x:v>
      </x:c>
      <x:c r="F265" s="22" t="s">
        <x:v>196</x:v>
      </x:c>
      <x:c r="G265" s="22" t="s">
        <x:v>201</x:v>
      </x:c>
      <x:c r="H265" s="22">
        <x:v>4</x:v>
      </x:c>
      <x:c r="I265" s="22">
        <x:v>0</x:v>
      </x:c>
      <x:c r="J265" s="22">
        <x:v>0</x:v>
      </x:c>
      <x:c r="K265" s="23">
        <x:v>0</x:v>
      </x:c>
      <x:c r="L265" s="23">
        <x:v>0</x:v>
      </x:c>
      <x:c r="M265" s="23">
        <x:f>K265-L265</x:f>
      </x:c>
      <x:c r="N265" s="22" t="s">
        <x:v>406</x:v>
      </x:c>
      <x:c r="O265" s="24">
        <x:f>IFERROR(INDEX('تطبیق کل'!$J:$J,MATCH(A265&amp;"",'تطبیق کل'!$A:$A,0))&amp;"","")</x:f>
      </x:c>
      <x:c r="P265" s="24" t="s">
        <x:v>257</x:v>
      </x:c>
      <x:c r="Q265" s="24" t="s">
        <x:v>258</x:v>
      </x:c>
      <x:c r="R265" s="25">
        <x:v>0.38</x:v>
      </x:c>
      <x:c r="S265" s="26"/>
      <x:c r="T265" s="22">
        <x:f>IF(S265="","",IFERROR(INDEX('درخت جدید'!$C:$C,MATCH(S265&amp;"",'درخت جدید'!$B:$B,0)),"—"))</x:f>
      </x:c>
      <x:c r="U265" s="22">
        <x:f>IF(S265="",IF(N265="بله","الزامی — تکمیل نشده",""),IF(AND(O265&lt;&gt;"",LEFT(S265&amp;"",4)&lt;&gt;O265),"زیر کل دیگری است — کل یا معین را اصلاح کنید",IF(COUNTIFS('درخت جدید'!$B:$B,S265&amp;"",'درخت جدید'!$A:$A,"معین")=0,IF(V265="","کد در درخت نیست — نام برای تعریف را بنویسید","OK"),"OK")))</x:f>
      </x:c>
      <x:c r="V265" s="27"/>
      <x:c r="W265" s="28"/>
    </x:row>
    <x:row r="266" spans="1:23">
      <x:c r="A266" s="21" t="s">
        <x:v>139</x:v>
      </x:c>
      <x:c r="B266" s="22" t="s">
        <x:v>45</x:v>
      </x:c>
      <x:c r="C266" s="22" t="s">
        <x:v>140</x:v>
      </x:c>
      <x:c r="D266" s="22" t="s">
        <x:v>491</x:v>
      </x:c>
      <x:c r="E266" s="22" t="s">
        <x:v>195</x:v>
      </x:c>
      <x:c r="F266" s="22" t="s">
        <x:v>196</x:v>
      </x:c>
      <x:c r="G266" s="22" t="s">
        <x:v>201</x:v>
      </x:c>
      <x:c r="H266" s="22">
        <x:v>1</x:v>
      </x:c>
      <x:c r="I266" s="22">
        <x:v>0</x:v>
      </x:c>
      <x:c r="J266" s="22">
        <x:v>0</x:v>
      </x:c>
      <x:c r="K266" s="23">
        <x:v>0</x:v>
      </x:c>
      <x:c r="L266" s="23">
        <x:v>0</x:v>
      </x:c>
      <x:c r="M266" s="23">
        <x:f>K266-L266</x:f>
      </x:c>
      <x:c r="N266" s="22" t="s">
        <x:v>406</x:v>
      </x:c>
      <x:c r="O266" s="24">
        <x:f>IFERROR(INDEX('تطبیق کل'!$J:$J,MATCH(A266&amp;"",'تطبیق کل'!$A:$A,0))&amp;"","")</x:f>
      </x:c>
      <x:c r="P266" s="24"/>
      <x:c r="Q266" s="24" t="s">
        <x:v>198</x:v>
      </x:c>
      <x:c r="R266" s="25"/>
      <x:c r="S266" s="26"/>
      <x:c r="T266" s="22">
        <x:f>IF(S266="","",IFERROR(INDEX('درخت جدید'!$C:$C,MATCH(S266&amp;"",'درخت جدید'!$B:$B,0)),"—"))</x:f>
      </x:c>
      <x:c r="U266" s="22">
        <x:f>IF(S266="",IF(N266="بله","الزامی — تکمیل نشده",""),IF(AND(O266&lt;&gt;"",LEFT(S266&amp;"",4)&lt;&gt;O266),"زیر کل دیگری است — کل یا معین را اصلاح کنید",IF(COUNTIFS('درخت جدید'!$B:$B,S266&amp;"",'درخت جدید'!$A:$A,"معین")=0,IF(V266="","کد در درخت نیست — نام برای تعریف را بنویسید","OK"),"OK")))</x:f>
      </x:c>
      <x:c r="V266" s="27"/>
      <x:c r="W266" s="28"/>
    </x:row>
    <x:row r="267" spans="1:23">
      <x:c r="A267" s="21" t="s">
        <x:v>139</x:v>
      </x:c>
      <x:c r="B267" s="22" t="s">
        <x:v>49</x:v>
      </x:c>
      <x:c r="C267" s="22" t="s">
        <x:v>140</x:v>
      </x:c>
      <x:c r="D267" s="22" t="s">
        <x:v>564</x:v>
      </x:c>
      <x:c r="E267" s="22" t="s">
        <x:v>195</x:v>
      </x:c>
      <x:c r="F267" s="22" t="s">
        <x:v>196</x:v>
      </x:c>
      <x:c r="G267" s="22" t="s">
        <x:v>201</x:v>
      </x:c>
      <x:c r="H267" s="22">
        <x:v>2</x:v>
      </x:c>
      <x:c r="I267" s="22">
        <x:v>0</x:v>
      </x:c>
      <x:c r="J267" s="22">
        <x:v>0</x:v>
      </x:c>
      <x:c r="K267" s="23">
        <x:v>0</x:v>
      </x:c>
      <x:c r="L267" s="23">
        <x:v>0</x:v>
      </x:c>
      <x:c r="M267" s="23">
        <x:f>K267-L267</x:f>
      </x:c>
      <x:c r="N267" s="22" t="s">
        <x:v>406</x:v>
      </x:c>
      <x:c r="O267" s="24">
        <x:f>IFERROR(INDEX('تطبیق کل'!$J:$J,MATCH(A267&amp;"",'تطبیق کل'!$A:$A,0))&amp;"","")</x:f>
      </x:c>
      <x:c r="P267" s="24"/>
      <x:c r="Q267" s="24" t="s">
        <x:v>198</x:v>
      </x:c>
      <x:c r="R267" s="25"/>
      <x:c r="S267" s="26"/>
      <x:c r="T267" s="22">
        <x:f>IF(S267="","",IFERROR(INDEX('درخت جدید'!$C:$C,MATCH(S267&amp;"",'درخت جدید'!$B:$B,0)),"—"))</x:f>
      </x:c>
      <x:c r="U267" s="22">
        <x:f>IF(S267="",IF(N267="بله","الزامی — تکمیل نشده",""),IF(AND(O267&lt;&gt;"",LEFT(S267&amp;"",4)&lt;&gt;O267),"زیر کل دیگری است — کل یا معین را اصلاح کنید",IF(COUNTIFS('درخت جدید'!$B:$B,S267&amp;"",'درخت جدید'!$A:$A,"معین")=0,IF(V267="","کد در درخت نیست — نام برای تعریف را بنویسید","OK"),"OK")))</x:f>
      </x:c>
      <x:c r="V267" s="27"/>
      <x:c r="W267" s="28"/>
    </x:row>
    <x:row r="268" spans="1:23">
      <x:c r="A268" s="21" t="s">
        <x:v>139</x:v>
      </x:c>
      <x:c r="B268" s="22" t="s">
        <x:v>53</x:v>
      </x:c>
      <x:c r="C268" s="22" t="s">
        <x:v>140</x:v>
      </x:c>
      <x:c r="D268" s="22" t="s">
        <x:v>565</x:v>
      </x:c>
      <x:c r="E268" s="22" t="s">
        <x:v>195</x:v>
      </x:c>
      <x:c r="F268" s="22" t="s">
        <x:v>196</x:v>
      </x:c>
      <x:c r="G268" s="22" t="s">
        <x:v>201</x:v>
      </x:c>
      <x:c r="H268" s="22">
        <x:v>1</x:v>
      </x:c>
      <x:c r="I268" s="22">
        <x:v>0</x:v>
      </x:c>
      <x:c r="J268" s="22">
        <x:v>0</x:v>
      </x:c>
      <x:c r="K268" s="23">
        <x:v>0</x:v>
      </x:c>
      <x:c r="L268" s="23">
        <x:v>0</x:v>
      </x:c>
      <x:c r="M268" s="23">
        <x:f>K268-L268</x:f>
      </x:c>
      <x:c r="N268" s="22" t="s">
        <x:v>406</x:v>
      </x:c>
      <x:c r="O268" s="24">
        <x:f>IFERROR(INDEX('تطبیق کل'!$J:$J,MATCH(A268&amp;"",'تطبیق کل'!$A:$A,0))&amp;"","")</x:f>
      </x:c>
      <x:c r="P268" s="24"/>
      <x:c r="Q268" s="24" t="s">
        <x:v>198</x:v>
      </x:c>
      <x:c r="R268" s="25"/>
      <x:c r="S268" s="26"/>
      <x:c r="T268" s="22">
        <x:f>IF(S268="","",IFERROR(INDEX('درخت جدید'!$C:$C,MATCH(S268&amp;"",'درخت جدید'!$B:$B,0)),"—"))</x:f>
      </x:c>
      <x:c r="U268" s="22">
        <x:f>IF(S268="",IF(N268="بله","الزامی — تکمیل نشده",""),IF(AND(O268&lt;&gt;"",LEFT(S268&amp;"",4)&lt;&gt;O268),"زیر کل دیگری است — کل یا معین را اصلاح کنید",IF(COUNTIFS('درخت جدید'!$B:$B,S268&amp;"",'درخت جدید'!$A:$A,"معین")=0,IF(V268="","کد در درخت نیست — نام برای تعریف را بنویسید","OK"),"OK")))</x:f>
      </x:c>
      <x:c r="V268" s="27"/>
      <x:c r="W268" s="28"/>
    </x:row>
    <x:row r="269" spans="1:23">
      <x:c r="A269" s="21" t="s">
        <x:v>139</x:v>
      </x:c>
      <x:c r="B269" s="22" t="s">
        <x:v>56</x:v>
      </x:c>
      <x:c r="C269" s="22" t="s">
        <x:v>140</x:v>
      </x:c>
      <x:c r="D269" s="22" t="s">
        <x:v>566</x:v>
      </x:c>
      <x:c r="E269" s="22" t="s">
        <x:v>195</x:v>
      </x:c>
      <x:c r="F269" s="22" t="s">
        <x:v>196</x:v>
      </x:c>
      <x:c r="G269" s="22" t="s">
        <x:v>201</x:v>
      </x:c>
      <x:c r="H269" s="22">
        <x:v>1</x:v>
      </x:c>
      <x:c r="I269" s="22">
        <x:v>0</x:v>
      </x:c>
      <x:c r="J269" s="22">
        <x:v>0</x:v>
      </x:c>
      <x:c r="K269" s="23">
        <x:v>0</x:v>
      </x:c>
      <x:c r="L269" s="23">
        <x:v>0</x:v>
      </x:c>
      <x:c r="M269" s="23">
        <x:f>K269-L269</x:f>
      </x:c>
      <x:c r="N269" s="22" t="s">
        <x:v>406</x:v>
      </x:c>
      <x:c r="O269" s="24">
        <x:f>IFERROR(INDEX('تطبیق کل'!$J:$J,MATCH(A269&amp;"",'تطبیق کل'!$A:$A,0))&amp;"","")</x:f>
      </x:c>
      <x:c r="P269" s="24"/>
      <x:c r="Q269" s="24" t="s">
        <x:v>198</x:v>
      </x:c>
      <x:c r="R269" s="25"/>
      <x:c r="S269" s="26"/>
      <x:c r="T269" s="22">
        <x:f>IF(S269="","",IFERROR(INDEX('درخت جدید'!$C:$C,MATCH(S269&amp;"",'درخت جدید'!$B:$B,0)),"—"))</x:f>
      </x:c>
      <x:c r="U269" s="22">
        <x:f>IF(S269="",IF(N269="بله","الزامی — تکمیل نشده",""),IF(AND(O269&lt;&gt;"",LEFT(S269&amp;"",4)&lt;&gt;O269),"زیر کل دیگری است — کل یا معین را اصلاح کنید",IF(COUNTIFS('درخت جدید'!$B:$B,S269&amp;"",'درخت جدید'!$A:$A,"معین")=0,IF(V269="","کد در درخت نیست — نام برای تعریف را بنویسید","OK"),"OK")))</x:f>
      </x:c>
      <x:c r="V269" s="27"/>
      <x:c r="W269" s="28"/>
    </x:row>
    <x:row r="270" spans="1:23">
      <x:c r="A270" s="21" t="s">
        <x:v>139</x:v>
      </x:c>
      <x:c r="B270" s="22" t="s">
        <x:v>60</x:v>
      </x:c>
      <x:c r="C270" s="22" t="s">
        <x:v>140</x:v>
      </x:c>
      <x:c r="D270" s="22" t="s">
        <x:v>567</x:v>
      </x:c>
      <x:c r="E270" s="22" t="s">
        <x:v>195</x:v>
      </x:c>
      <x:c r="F270" s="22" t="s">
        <x:v>196</x:v>
      </x:c>
      <x:c r="G270" s="22" t="s">
        <x:v>196</x:v>
      </x:c>
      <x:c r="H270" s="22">
        <x:v>5</x:v>
      </x:c>
      <x:c r="I270" s="22">
        <x:v>0</x:v>
      </x:c>
      <x:c r="J270" s="22">
        <x:v>0</x:v>
      </x:c>
      <x:c r="K270" s="23">
        <x:v>0</x:v>
      </x:c>
      <x:c r="L270" s="23">
        <x:v>0</x:v>
      </x:c>
      <x:c r="M270" s="23">
        <x:f>K270-L270</x:f>
      </x:c>
      <x:c r="N270" s="22" t="s">
        <x:v>406</x:v>
      </x:c>
      <x:c r="O270" s="24">
        <x:f>IFERROR(INDEX('تطبیق کل'!$J:$J,MATCH(A270&amp;"",'تطبیق کل'!$A:$A,0))&amp;"","")</x:f>
      </x:c>
      <x:c r="P270" s="24"/>
      <x:c r="Q270" s="24" t="s">
        <x:v>198</x:v>
      </x:c>
      <x:c r="R270" s="25"/>
      <x:c r="S270" s="26"/>
      <x:c r="T270" s="22">
        <x:f>IF(S270="","",IFERROR(INDEX('درخت جدید'!$C:$C,MATCH(S270&amp;"",'درخت جدید'!$B:$B,0)),"—"))</x:f>
      </x:c>
      <x:c r="U270" s="22">
        <x:f>IF(S270="",IF(N270="بله","الزامی — تکمیل نشده",""),IF(AND(O270&lt;&gt;"",LEFT(S270&amp;"",4)&lt;&gt;O270),"زیر کل دیگری است — کل یا معین را اصلاح کنید",IF(COUNTIFS('درخت جدید'!$B:$B,S270&amp;"",'درخت جدید'!$A:$A,"معین")=0,IF(V270="","کد در درخت نیست — نام برای تعریف را بنویسید","OK"),"OK")))</x:f>
      </x:c>
      <x:c r="V270" s="27"/>
      <x:c r="W270" s="28"/>
    </x:row>
    <x:row r="271" spans="1:23">
      <x:c r="A271" s="21" t="s">
        <x:v>139</x:v>
      </x:c>
      <x:c r="B271" s="22" t="s">
        <x:v>456</x:v>
      </x:c>
      <x:c r="C271" s="22" t="s">
        <x:v>140</x:v>
      </x:c>
      <x:c r="D271" s="22" t="s">
        <x:v>568</x:v>
      </x:c>
      <x:c r="E271" s="22" t="s">
        <x:v>195</x:v>
      </x:c>
      <x:c r="F271" s="22" t="s">
        <x:v>196</x:v>
      </x:c>
      <x:c r="G271" s="22" t="s">
        <x:v>201</x:v>
      </x:c>
      <x:c r="H271" s="22">
        <x:v>6</x:v>
      </x:c>
      <x:c r="I271" s="22">
        <x:v>0</x:v>
      </x:c>
      <x:c r="J271" s="22">
        <x:v>0</x:v>
      </x:c>
      <x:c r="K271" s="23">
        <x:v>0</x:v>
      </x:c>
      <x:c r="L271" s="23">
        <x:v>0</x:v>
      </x:c>
      <x:c r="M271" s="23">
        <x:f>K271-L271</x:f>
      </x:c>
      <x:c r="N271" s="22" t="s">
        <x:v>406</x:v>
      </x:c>
      <x:c r="O271" s="24">
        <x:f>IFERROR(INDEX('تطبیق کل'!$J:$J,MATCH(A271&amp;"",'تطبیق کل'!$A:$A,0))&amp;"","")</x:f>
      </x:c>
      <x:c r="P271" s="24"/>
      <x:c r="Q271" s="24" t="s">
        <x:v>198</x:v>
      </x:c>
      <x:c r="R271" s="25"/>
      <x:c r="S271" s="26"/>
      <x:c r="T271" s="22">
        <x:f>IF(S271="","",IFERROR(INDEX('درخت جدید'!$C:$C,MATCH(S271&amp;"",'درخت جدید'!$B:$B,0)),"—"))</x:f>
      </x:c>
      <x:c r="U271" s="22">
        <x:f>IF(S271="",IF(N271="بله","الزامی — تکمیل نشده",""),IF(AND(O271&lt;&gt;"",LEFT(S271&amp;"",4)&lt;&gt;O271),"زیر کل دیگری است — کل یا معین را اصلاح کنید",IF(COUNTIFS('درخت جدید'!$B:$B,S271&amp;"",'درخت جدید'!$A:$A,"معین")=0,IF(V271="","کد در درخت نیست — نام برای تعریف را بنویسید","OK"),"OK")))</x:f>
      </x:c>
      <x:c r="V271" s="27"/>
      <x:c r="W271" s="28"/>
    </x:row>
    <x:row r="272" spans="1:23">
      <x:c r="A272" s="21" t="s">
        <x:v>139</x:v>
      </x:c>
      <x:c r="B272" s="22" t="s">
        <x:v>375</x:v>
      </x:c>
      <x:c r="C272" s="22" t="s">
        <x:v>140</x:v>
      </x:c>
      <x:c r="D272" s="22" t="s">
        <x:v>569</x:v>
      </x:c>
      <x:c r="E272" s="22" t="s">
        <x:v>195</x:v>
      </x:c>
      <x:c r="F272" s="22" t="s">
        <x:v>196</x:v>
      </x:c>
      <x:c r="G272" s="22" t="s">
        <x:v>196</x:v>
      </x:c>
      <x:c r="H272" s="22">
        <x:v>3</x:v>
      </x:c>
      <x:c r="I272" s="22">
        <x:v>0</x:v>
      </x:c>
      <x:c r="J272" s="22">
        <x:v>0</x:v>
      </x:c>
      <x:c r="K272" s="23">
        <x:v>0</x:v>
      </x:c>
      <x:c r="L272" s="23">
        <x:v>0</x:v>
      </x:c>
      <x:c r="M272" s="23">
        <x:f>K272-L272</x:f>
      </x:c>
      <x:c r="N272" s="22" t="s">
        <x:v>406</x:v>
      </x:c>
      <x:c r="O272" s="24">
        <x:f>IFERROR(INDEX('تطبیق کل'!$J:$J,MATCH(A272&amp;"",'تطبیق کل'!$A:$A,0))&amp;"","")</x:f>
      </x:c>
      <x:c r="P272" s="24"/>
      <x:c r="Q272" s="24" t="s">
        <x:v>198</x:v>
      </x:c>
      <x:c r="R272" s="25"/>
      <x:c r="S272" s="26"/>
      <x:c r="T272" s="22">
        <x:f>IF(S272="","",IFERROR(INDEX('درخت جدید'!$C:$C,MATCH(S272&amp;"",'درخت جدید'!$B:$B,0)),"—"))</x:f>
      </x:c>
      <x:c r="U272" s="22">
        <x:f>IF(S272="",IF(N272="بله","الزامی — تکمیل نشده",""),IF(AND(O272&lt;&gt;"",LEFT(S272&amp;"",4)&lt;&gt;O272),"زیر کل دیگری است — کل یا معین را اصلاح کنید",IF(COUNTIFS('درخت جدید'!$B:$B,S272&amp;"",'درخت جدید'!$A:$A,"معین")=0,IF(V272="","کد در درخت نیست — نام برای تعریف را بنویسید","OK"),"OK")))</x:f>
      </x:c>
      <x:c r="V272" s="27"/>
      <x:c r="W272" s="28"/>
    </x:row>
    <x:row r="273" spans="1:23">
      <x:c r="A273" s="21" t="s">
        <x:v>139</x:v>
      </x:c>
      <x:c r="B273" s="22" t="s">
        <x:v>202</x:v>
      </x:c>
      <x:c r="C273" s="22" t="s">
        <x:v>140</x:v>
      </x:c>
      <x:c r="D273" s="22" t="s">
        <x:v>570</x:v>
      </x:c>
      <x:c r="E273" s="22" t="s">
        <x:v>195</x:v>
      </x:c>
      <x:c r="F273" s="22" t="s">
        <x:v>196</x:v>
      </x:c>
      <x:c r="G273" s="22" t="s">
        <x:v>196</x:v>
      </x:c>
      <x:c r="H273" s="22">
        <x:v>3</x:v>
      </x:c>
      <x:c r="I273" s="22">
        <x:v>0</x:v>
      </x:c>
      <x:c r="J273" s="22">
        <x:v>0</x:v>
      </x:c>
      <x:c r="K273" s="23">
        <x:v>0</x:v>
      </x:c>
      <x:c r="L273" s="23">
        <x:v>0</x:v>
      </x:c>
      <x:c r="M273" s="23">
        <x:f>K273-L273</x:f>
      </x:c>
      <x:c r="N273" s="22" t="s">
        <x:v>406</x:v>
      </x:c>
      <x:c r="O273" s="24">
        <x:f>IFERROR(INDEX('تطبیق کل'!$J:$J,MATCH(A273&amp;"",'تطبیق کل'!$A:$A,0))&amp;"","")</x:f>
      </x:c>
      <x:c r="P273" s="24"/>
      <x:c r="Q273" s="24" t="s">
        <x:v>198</x:v>
      </x:c>
      <x:c r="R273" s="25"/>
      <x:c r="S273" s="26"/>
      <x:c r="T273" s="22">
        <x:f>IF(S273="","",IFERROR(INDEX('درخت جدید'!$C:$C,MATCH(S273&amp;"",'درخت جدید'!$B:$B,0)),"—"))</x:f>
      </x:c>
      <x:c r="U273" s="22">
        <x:f>IF(S273="",IF(N273="بله","الزامی — تکمیل نشده",""),IF(AND(O273&lt;&gt;"",LEFT(S273&amp;"",4)&lt;&gt;O273),"زیر کل دیگری است — کل یا معین را اصلاح کنید",IF(COUNTIFS('درخت جدید'!$B:$B,S273&amp;"",'درخت جدید'!$A:$A,"معین")=0,IF(V273="","کد در درخت نیست — نام برای تعریف را بنویسید","OK"),"OK")))</x:f>
      </x:c>
      <x:c r="V273" s="27"/>
      <x:c r="W273" s="28"/>
    </x:row>
    <x:row r="274" spans="1:23">
      <x:c r="A274" s="21" t="s">
        <x:v>139</x:v>
      </x:c>
      <x:c r="B274" s="22" t="s">
        <x:v>74</x:v>
      </x:c>
      <x:c r="C274" s="22" t="s">
        <x:v>140</x:v>
      </x:c>
      <x:c r="D274" s="22" t="s">
        <x:v>571</x:v>
      </x:c>
      <x:c r="E274" s="22" t="s">
        <x:v>195</x:v>
      </x:c>
      <x:c r="F274" s="22" t="s">
        <x:v>196</x:v>
      </x:c>
      <x:c r="G274" s="22" t="s">
        <x:v>196</x:v>
      </x:c>
      <x:c r="H274" s="22">
        <x:v>2</x:v>
      </x:c>
      <x:c r="I274" s="22">
        <x:v>0</x:v>
      </x:c>
      <x:c r="J274" s="22">
        <x:v>0</x:v>
      </x:c>
      <x:c r="K274" s="23">
        <x:v>0</x:v>
      </x:c>
      <x:c r="L274" s="23">
        <x:v>0</x:v>
      </x:c>
      <x:c r="M274" s="23">
        <x:f>K274-L274</x:f>
      </x:c>
      <x:c r="N274" s="22" t="s">
        <x:v>406</x:v>
      </x:c>
      <x:c r="O274" s="24">
        <x:f>IFERROR(INDEX('تطبیق کل'!$J:$J,MATCH(A274&amp;"",'تطبیق کل'!$A:$A,0))&amp;"","")</x:f>
      </x:c>
      <x:c r="P274" s="24"/>
      <x:c r="Q274" s="24" t="s">
        <x:v>198</x:v>
      </x:c>
      <x:c r="R274" s="25"/>
      <x:c r="S274" s="26"/>
      <x:c r="T274" s="22">
        <x:f>IF(S274="","",IFERROR(INDEX('درخت جدید'!$C:$C,MATCH(S274&amp;"",'درخت جدید'!$B:$B,0)),"—"))</x:f>
      </x:c>
      <x:c r="U274" s="22">
        <x:f>IF(S274="",IF(N274="بله","الزامی — تکمیل نشده",""),IF(AND(O274&lt;&gt;"",LEFT(S274&amp;"",4)&lt;&gt;O274),"زیر کل دیگری است — کل یا معین را اصلاح کنید",IF(COUNTIFS('درخت جدید'!$B:$B,S274&amp;"",'درخت جدید'!$A:$A,"معین")=0,IF(V274="","کد در درخت نیست — نام برای تعریف را بنویسید","OK"),"OK")))</x:f>
      </x:c>
      <x:c r="V274" s="27"/>
      <x:c r="W274" s="28"/>
    </x:row>
    <x:row r="275" spans="1:23">
      <x:c r="A275" s="21" t="s">
        <x:v>139</x:v>
      </x:c>
      <x:c r="B275" s="22" t="s">
        <x:v>78</x:v>
      </x:c>
      <x:c r="C275" s="22" t="s">
        <x:v>140</x:v>
      </x:c>
      <x:c r="D275" s="22" t="s">
        <x:v>572</x:v>
      </x:c>
      <x:c r="E275" s="22" t="s">
        <x:v>195</x:v>
      </x:c>
      <x:c r="F275" s="22" t="s">
        <x:v>196</x:v>
      </x:c>
      <x:c r="G275" s="22" t="s">
        <x:v>196</x:v>
      </x:c>
      <x:c r="H275" s="22">
        <x:v>3</x:v>
      </x:c>
      <x:c r="I275" s="22">
        <x:v>0</x:v>
      </x:c>
      <x:c r="J275" s="22">
        <x:v>0</x:v>
      </x:c>
      <x:c r="K275" s="23">
        <x:v>0</x:v>
      </x:c>
      <x:c r="L275" s="23">
        <x:v>0</x:v>
      </x:c>
      <x:c r="M275" s="23">
        <x:f>K275-L275</x:f>
      </x:c>
      <x:c r="N275" s="22" t="s">
        <x:v>406</x:v>
      </x:c>
      <x:c r="O275" s="24">
        <x:f>IFERROR(INDEX('تطبیق کل'!$J:$J,MATCH(A275&amp;"",'تطبیق کل'!$A:$A,0))&amp;"","")</x:f>
      </x:c>
      <x:c r="P275" s="24"/>
      <x:c r="Q275" s="24" t="s">
        <x:v>198</x:v>
      </x:c>
      <x:c r="R275" s="25"/>
      <x:c r="S275" s="26"/>
      <x:c r="T275" s="22">
        <x:f>IF(S275="","",IFERROR(INDEX('درخت جدید'!$C:$C,MATCH(S275&amp;"",'درخت جدید'!$B:$B,0)),"—"))</x:f>
      </x:c>
      <x:c r="U275" s="22">
        <x:f>IF(S275="",IF(N275="بله","الزامی — تکمیل نشده",""),IF(AND(O275&lt;&gt;"",LEFT(S275&amp;"",4)&lt;&gt;O275),"زیر کل دیگری است — کل یا معین را اصلاح کنید",IF(COUNTIFS('درخت جدید'!$B:$B,S275&amp;"",'درخت جدید'!$A:$A,"معین")=0,IF(V275="","کد در درخت نیست — نام برای تعریف را بنویسید","OK"),"OK")))</x:f>
      </x:c>
      <x:c r="V275" s="27"/>
      <x:c r="W275" s="28"/>
    </x:row>
    <x:row r="276" spans="1:23">
      <x:c r="A276" s="21" t="s">
        <x:v>139</x:v>
      </x:c>
      <x:c r="B276" s="22" t="s">
        <x:v>175</x:v>
      </x:c>
      <x:c r="C276" s="22" t="s">
        <x:v>140</x:v>
      </x:c>
      <x:c r="D276" s="22" t="s">
        <x:v>536</x:v>
      </x:c>
      <x:c r="E276" s="22" t="s">
        <x:v>195</x:v>
      </x:c>
      <x:c r="F276" s="22" t="s">
        <x:v>196</x:v>
      </x:c>
      <x:c r="G276" s="22" t="s">
        <x:v>201</x:v>
      </x:c>
      <x:c r="H276" s="22">
        <x:v>58</x:v>
      </x:c>
      <x:c r="I276" s="22">
        <x:v>0</x:v>
      </x:c>
      <x:c r="J276" s="22">
        <x:v>0</x:v>
      </x:c>
      <x:c r="K276" s="23">
        <x:v>0</x:v>
      </x:c>
      <x:c r="L276" s="23">
        <x:v>0</x:v>
      </x:c>
      <x:c r="M276" s="23">
        <x:f>K276-L276</x:f>
      </x:c>
      <x:c r="N276" s="22" t="s">
        <x:v>406</x:v>
      </x:c>
      <x:c r="O276" s="24">
        <x:f>IFERROR(INDEX('تطبیق کل'!$J:$J,MATCH(A276&amp;"",'تطبیق کل'!$A:$A,0))&amp;"","")</x:f>
      </x:c>
      <x:c r="P276" s="24"/>
      <x:c r="Q276" s="24" t="s">
        <x:v>198</x:v>
      </x:c>
      <x:c r="R276" s="25"/>
      <x:c r="S276" s="26"/>
      <x:c r="T276" s="22">
        <x:f>IF(S276="","",IFERROR(INDEX('درخت جدید'!$C:$C,MATCH(S276&amp;"",'درخت جدید'!$B:$B,0)),"—"))</x:f>
      </x:c>
      <x:c r="U276" s="22">
        <x:f>IF(S276="",IF(N276="بله","الزامی — تکمیل نشده",""),IF(AND(O276&lt;&gt;"",LEFT(S276&amp;"",4)&lt;&gt;O276),"زیر کل دیگری است — کل یا معین را اصلاح کنید",IF(COUNTIFS('درخت جدید'!$B:$B,S276&amp;"",'درخت جدید'!$A:$A,"معین")=0,IF(V276="","کد در درخت نیست — نام برای تعریف را بنویسید","OK"),"OK")))</x:f>
      </x:c>
      <x:c r="V276" s="27"/>
      <x:c r="W276" s="28"/>
    </x:row>
    <x:row r="277" spans="1:23">
      <x:c r="A277" s="21" t="s">
        <x:v>143</x:v>
      </x:c>
      <x:c r="B277" s="22" t="s">
        <x:v>317</x:v>
      </x:c>
      <x:c r="C277" s="22" t="s">
        <x:v>144</x:v>
      </x:c>
      <x:c r="D277" s="22" t="s">
        <x:v>573</x:v>
      </x:c>
      <x:c r="E277" s="22" t="s">
        <x:v>195</x:v>
      </x:c>
      <x:c r="F277" s="22" t="s">
        <x:v>196</x:v>
      </x:c>
      <x:c r="G277" s="22" t="s">
        <x:v>201</x:v>
      </x:c>
      <x:c r="H277" s="22">
        <x:v>3</x:v>
      </x:c>
      <x:c r="I277" s="22">
        <x:v>0</x:v>
      </x:c>
      <x:c r="J277" s="22">
        <x:v>0</x:v>
      </x:c>
      <x:c r="K277" s="23">
        <x:v>0</x:v>
      </x:c>
      <x:c r="L277" s="23">
        <x:v>0</x:v>
      </x:c>
      <x:c r="M277" s="23">
        <x:f>K277-L277</x:f>
      </x:c>
      <x:c r="N277" s="22" t="s">
        <x:v>406</x:v>
      </x:c>
      <x:c r="O277" s="24">
        <x:f>IFERROR(INDEX('تطبیق کل'!$J:$J,MATCH(A277&amp;"",'تطبیق کل'!$A:$A,0))&amp;"","")</x:f>
      </x:c>
      <x:c r="P277" s="24"/>
      <x:c r="Q277" s="24" t="s">
        <x:v>198</x:v>
      </x:c>
      <x:c r="R277" s="25"/>
      <x:c r="S277" s="26"/>
      <x:c r="T277" s="22">
        <x:f>IF(S277="","",IFERROR(INDEX('درخت جدید'!$C:$C,MATCH(S277&amp;"",'درخت جدید'!$B:$B,0)),"—"))</x:f>
      </x:c>
      <x:c r="U277" s="22">
        <x:f>IF(S277="",IF(N277="بله","الزامی — تکمیل نشده",""),IF(AND(O277&lt;&gt;"",LEFT(S277&amp;"",4)&lt;&gt;O277),"زیر کل دیگری است — کل یا معین را اصلاح کنید",IF(COUNTIFS('درخت جدید'!$B:$B,S277&amp;"",'درخت جدید'!$A:$A,"معین")=0,IF(V277="","کد در درخت نیست — نام برای تعریف را بنویسید","OK"),"OK")))</x:f>
      </x:c>
      <x:c r="V277" s="27"/>
      <x:c r="W277" s="28"/>
    </x:row>
    <x:row r="278" spans="1:23">
      <x:c r="A278" s="21" t="s">
        <x:v>143</x:v>
      </x:c>
      <x:c r="B278" s="22" t="s">
        <x:v>38</x:v>
      </x:c>
      <x:c r="C278" s="22" t="s">
        <x:v>144</x:v>
      </x:c>
      <x:c r="D278" s="22" t="s">
        <x:v>574</x:v>
      </x:c>
      <x:c r="E278" s="22" t="s">
        <x:v>195</x:v>
      </x:c>
      <x:c r="F278" s="22" t="s">
        <x:v>196</x:v>
      </x:c>
      <x:c r="G278" s="22" t="s">
        <x:v>201</x:v>
      </x:c>
      <x:c r="H278" s="22">
        <x:v>3</x:v>
      </x:c>
      <x:c r="I278" s="22">
        <x:v>0</x:v>
      </x:c>
      <x:c r="J278" s="22">
        <x:v>0</x:v>
      </x:c>
      <x:c r="K278" s="23">
        <x:v>0</x:v>
      </x:c>
      <x:c r="L278" s="23">
        <x:v>0</x:v>
      </x:c>
      <x:c r="M278" s="23">
        <x:f>K278-L278</x:f>
      </x:c>
      <x:c r="N278" s="22" t="s">
        <x:v>406</x:v>
      </x:c>
      <x:c r="O278" s="24">
        <x:f>IFERROR(INDEX('تطبیق کل'!$J:$J,MATCH(A278&amp;"",'تطبیق کل'!$A:$A,0))&amp;"","")</x:f>
      </x:c>
      <x:c r="P278" s="24" t="s">
        <x:v>278</x:v>
      </x:c>
      <x:c r="Q278" s="24" t="s">
        <x:v>279</x:v>
      </x:c>
      <x:c r="R278" s="25">
        <x:v>0.46</x:v>
      </x:c>
      <x:c r="S278" s="26"/>
      <x:c r="T278" s="22">
        <x:f>IF(S278="","",IFERROR(INDEX('درخت جدید'!$C:$C,MATCH(S278&amp;"",'درخت جدید'!$B:$B,0)),"—"))</x:f>
      </x:c>
      <x:c r="U278" s="22">
        <x:f>IF(S278="",IF(N278="بله","الزامی — تکمیل نشده",""),IF(AND(O278&lt;&gt;"",LEFT(S278&amp;"",4)&lt;&gt;O278),"زیر کل دیگری است — کل یا معین را اصلاح کنید",IF(COUNTIFS('درخت جدید'!$B:$B,S278&amp;"",'درخت جدید'!$A:$A,"معین")=0,IF(V278="","کد در درخت نیست — نام برای تعریف را بنویسید","OK"),"OK")))</x:f>
      </x:c>
      <x:c r="V278" s="27"/>
      <x:c r="W278" s="28"/>
    </x:row>
    <x:row r="279" spans="1:23">
      <x:c r="A279" s="21" t="s">
        <x:v>143</x:v>
      </x:c>
      <x:c r="B279" s="22" t="s">
        <x:v>45</x:v>
      </x:c>
      <x:c r="C279" s="22" t="s">
        <x:v>144</x:v>
      </x:c>
      <x:c r="D279" s="22" t="s">
        <x:v>575</x:v>
      </x:c>
      <x:c r="E279" s="22" t="s">
        <x:v>195</x:v>
      </x:c>
      <x:c r="F279" s="22" t="s">
        <x:v>196</x:v>
      </x:c>
      <x:c r="G279" s="22" t="s">
        <x:v>201</x:v>
      </x:c>
      <x:c r="H279" s="22">
        <x:v>5</x:v>
      </x:c>
      <x:c r="I279" s="22">
        <x:v>0</x:v>
      </x:c>
      <x:c r="J279" s="22">
        <x:v>0</x:v>
      </x:c>
      <x:c r="K279" s="23">
        <x:v>0</x:v>
      </x:c>
      <x:c r="L279" s="23">
        <x:v>0</x:v>
      </x:c>
      <x:c r="M279" s="23">
        <x:f>K279-L279</x:f>
      </x:c>
      <x:c r="N279" s="22" t="s">
        <x:v>406</x:v>
      </x:c>
      <x:c r="O279" s="24">
        <x:f>IFERROR(INDEX('تطبیق کل'!$J:$J,MATCH(A279&amp;"",'تطبیق کل'!$A:$A,0))&amp;"","")</x:f>
      </x:c>
      <x:c r="P279" s="24" t="s">
        <x:v>257</x:v>
      </x:c>
      <x:c r="Q279" s="24" t="s">
        <x:v>258</x:v>
      </x:c>
      <x:c r="R279" s="25">
        <x:v>0.4</x:v>
      </x:c>
      <x:c r="S279" s="26"/>
      <x:c r="T279" s="22">
        <x:f>IF(S279="","",IFERROR(INDEX('درخت جدید'!$C:$C,MATCH(S279&amp;"",'درخت جدید'!$B:$B,0)),"—"))</x:f>
      </x:c>
      <x:c r="U279" s="22">
        <x:f>IF(S279="",IF(N279="بله","الزامی — تکمیل نشده",""),IF(AND(O279&lt;&gt;"",LEFT(S279&amp;"",4)&lt;&gt;O279),"زیر کل دیگری است — کل یا معین را اصلاح کنید",IF(COUNTIFS('درخت جدید'!$B:$B,S279&amp;"",'درخت جدید'!$A:$A,"معین")=0,IF(V279="","کد در درخت نیست — نام برای تعریف را بنویسید","OK"),"OK")))</x:f>
      </x:c>
      <x:c r="V279" s="27"/>
      <x:c r="W279" s="28"/>
    </x:row>
    <x:row r="280" spans="1:23">
      <x:c r="A280" s="21" t="s">
        <x:v>143</x:v>
      </x:c>
      <x:c r="B280" s="22" t="s">
        <x:v>53</x:v>
      </x:c>
      <x:c r="C280" s="22" t="s">
        <x:v>144</x:v>
      </x:c>
      <x:c r="D280" s="22" t="s">
        <x:v>576</x:v>
      </x:c>
      <x:c r="E280" s="22" t="s">
        <x:v>195</x:v>
      </x:c>
      <x:c r="F280" s="22" t="s">
        <x:v>196</x:v>
      </x:c>
      <x:c r="G280" s="22" t="s">
        <x:v>201</x:v>
      </x:c>
      <x:c r="H280" s="22">
        <x:v>1</x:v>
      </x:c>
      <x:c r="I280" s="22">
        <x:v>0</x:v>
      </x:c>
      <x:c r="J280" s="22">
        <x:v>0</x:v>
      </x:c>
      <x:c r="K280" s="23">
        <x:v>0</x:v>
      </x:c>
      <x:c r="L280" s="23">
        <x:v>0</x:v>
      </x:c>
      <x:c r="M280" s="23">
        <x:f>K280-L280</x:f>
      </x:c>
      <x:c r="N280" s="22" t="s">
        <x:v>406</x:v>
      </x:c>
      <x:c r="O280" s="24">
        <x:f>IFERROR(INDEX('تطبیق کل'!$J:$J,MATCH(A280&amp;"",'تطبیق کل'!$A:$A,0))&amp;"","")</x:f>
      </x:c>
      <x:c r="P280" s="24"/>
      <x:c r="Q280" s="24" t="s">
        <x:v>198</x:v>
      </x:c>
      <x:c r="R280" s="25"/>
      <x:c r="S280" s="26"/>
      <x:c r="T280" s="22">
        <x:f>IF(S280="","",IFERROR(INDEX('درخت جدید'!$C:$C,MATCH(S280&amp;"",'درخت جدید'!$B:$B,0)),"—"))</x:f>
      </x:c>
      <x:c r="U280" s="22">
        <x:f>IF(S280="",IF(N280="بله","الزامی — تکمیل نشده",""),IF(AND(O280&lt;&gt;"",LEFT(S280&amp;"",4)&lt;&gt;O280),"زیر کل دیگری است — کل یا معین را اصلاح کنید",IF(COUNTIFS('درخت جدید'!$B:$B,S280&amp;"",'درخت جدید'!$A:$A,"معین")=0,IF(V280="","کد در درخت نیست — نام برای تعریف را بنویسید","OK"),"OK")))</x:f>
      </x:c>
      <x:c r="V280" s="27"/>
      <x:c r="W280" s="28"/>
    </x:row>
    <x:row r="281" spans="1:23">
      <x:c r="A281" s="21" t="s">
        <x:v>143</x:v>
      </x:c>
      <x:c r="B281" s="22" t="s">
        <x:v>175</x:v>
      </x:c>
      <x:c r="C281" s="22" t="s">
        <x:v>144</x:v>
      </x:c>
      <x:c r="D281" s="22" t="s">
        <x:v>536</x:v>
      </x:c>
      <x:c r="E281" s="22" t="s">
        <x:v>195</x:v>
      </x:c>
      <x:c r="F281" s="22" t="s">
        <x:v>196</x:v>
      </x:c>
      <x:c r="G281" s="22" t="s">
        <x:v>201</x:v>
      </x:c>
      <x:c r="H281" s="22">
        <x:v>34</x:v>
      </x:c>
      <x:c r="I281" s="22">
        <x:v>0</x:v>
      </x:c>
      <x:c r="J281" s="22">
        <x:v>0</x:v>
      </x:c>
      <x:c r="K281" s="23">
        <x:v>0</x:v>
      </x:c>
      <x:c r="L281" s="23">
        <x:v>0</x:v>
      </x:c>
      <x:c r="M281" s="23">
        <x:f>K281-L281</x:f>
      </x:c>
      <x:c r="N281" s="22" t="s">
        <x:v>406</x:v>
      </x:c>
      <x:c r="O281" s="24">
        <x:f>IFERROR(INDEX('تطبیق کل'!$J:$J,MATCH(A281&amp;"",'تطبیق کل'!$A:$A,0))&amp;"","")</x:f>
      </x:c>
      <x:c r="P281" s="24"/>
      <x:c r="Q281" s="24" t="s">
        <x:v>198</x:v>
      </x:c>
      <x:c r="R281" s="25"/>
      <x:c r="S281" s="26"/>
      <x:c r="T281" s="22">
        <x:f>IF(S281="","",IFERROR(INDEX('درخت جدید'!$C:$C,MATCH(S281&amp;"",'درخت جدید'!$B:$B,0)),"—"))</x:f>
      </x:c>
      <x:c r="U281" s="22">
        <x:f>IF(S281="",IF(N281="بله","الزامی — تکمیل نشده",""),IF(AND(O281&lt;&gt;"",LEFT(S281&amp;"",4)&lt;&gt;O281),"زیر کل دیگری است — کل یا معین را اصلاح کنید",IF(COUNTIFS('درخت جدید'!$B:$B,S281&amp;"",'درخت جدید'!$A:$A,"معین")=0,IF(V281="","کد در درخت نیست — نام برای تعریف را بنویسید","OK"),"OK")))</x:f>
      </x:c>
      <x:c r="V281" s="27"/>
      <x:c r="W281" s="28"/>
    </x:row>
    <x:row r="282" spans="1:23">
      <x:c r="A282" s="21" t="s">
        <x:v>147</x:v>
      </x:c>
      <x:c r="B282" s="22" t="s">
        <x:v>310</x:v>
      </x:c>
      <x:c r="C282" s="22" t="s">
        <x:v>148</x:v>
      </x:c>
      <x:c r="D282" s="22" t="s">
        <x:v>577</x:v>
      </x:c>
      <x:c r="E282" s="22" t="s">
        <x:v>196</x:v>
      </x:c>
      <x:c r="F282" s="22" t="s">
        <x:v>195</x:v>
      </x:c>
      <x:c r="G282" s="22" t="s">
        <x:v>196</x:v>
      </x:c>
      <x:c r="H282" s="22">
        <x:v>3</x:v>
      </x:c>
      <x:c r="I282" s="22">
        <x:v>0</x:v>
      </x:c>
      <x:c r="J282" s="22">
        <x:v>0</x:v>
      </x:c>
      <x:c r="K282" s="23">
        <x:v>0</x:v>
      </x:c>
      <x:c r="L282" s="23">
        <x:v>0</x:v>
      </x:c>
      <x:c r="M282" s="23">
        <x:f>K282-L282</x:f>
      </x:c>
      <x:c r="N282" s="22" t="s">
        <x:v>406</x:v>
      </x:c>
      <x:c r="O282" s="24">
        <x:f>IFERROR(INDEX('تطبیق کل'!$J:$J,MATCH(A282&amp;"",'تطبیق کل'!$A:$A,0))&amp;"","")</x:f>
      </x:c>
      <x:c r="P282" s="24"/>
      <x:c r="Q282" s="24" t="s">
        <x:v>198</x:v>
      </x:c>
      <x:c r="R282" s="25"/>
      <x:c r="S282" s="26"/>
      <x:c r="T282" s="22">
        <x:f>IF(S282="","",IFERROR(INDEX('درخت جدید'!$C:$C,MATCH(S282&amp;"",'درخت جدید'!$B:$B,0)),"—"))</x:f>
      </x:c>
      <x:c r="U282" s="22">
        <x:f>IF(S282="",IF(N282="بله","الزامی — تکمیل نشده",""),IF(AND(O282&lt;&gt;"",LEFT(S282&amp;"",4)&lt;&gt;O282),"زیر کل دیگری است — کل یا معین را اصلاح کنید",IF(COUNTIFS('درخت جدید'!$B:$B,S282&amp;"",'درخت جدید'!$A:$A,"معین")=0,IF(V282="","کد در درخت نیست — نام برای تعریف را بنویسید","OK"),"OK")))</x:f>
      </x:c>
      <x:c r="V282" s="27"/>
      <x:c r="W282" s="28"/>
    </x:row>
    <x:row r="283" spans="1:23">
      <x:c r="A283" s="21" t="s">
        <x:v>153</x:v>
      </x:c>
      <x:c r="B283" s="22" t="s">
        <x:v>199</x:v>
      </x:c>
      <x:c r="C283" s="22" t="s">
        <x:v>154</x:v>
      </x:c>
      <x:c r="D283" s="22" t="s">
        <x:v>578</x:v>
      </x:c>
      <x:c r="E283" s="22" t="s">
        <x:v>383</x:v>
      </x:c>
      <x:c r="F283" s="22" t="s">
        <x:v>196</x:v>
      </x:c>
      <x:c r="G283" s="22" t="s">
        <x:v>201</x:v>
      </x:c>
      <x:c r="H283" s="22">
        <x:v>1</x:v>
      </x:c>
      <x:c r="I283" s="22">
        <x:v>0</x:v>
      </x:c>
      <x:c r="J283" s="22">
        <x:v>0</x:v>
      </x:c>
      <x:c r="K283" s="23">
        <x:v>0</x:v>
      </x:c>
      <x:c r="L283" s="23">
        <x:v>0</x:v>
      </x:c>
      <x:c r="M283" s="23">
        <x:f>K283-L283</x:f>
      </x:c>
      <x:c r="N283" s="22" t="s">
        <x:v>406</x:v>
      </x:c>
      <x:c r="O283" s="24">
        <x:f>IFERROR(INDEX('تطبیق کل'!$J:$J,MATCH(A283&amp;"",'تطبیق کل'!$A:$A,0))&amp;"","")</x:f>
      </x:c>
      <x:c r="P283" s="24" t="s">
        <x:v>385</x:v>
      </x:c>
      <x:c r="Q283" s="24" t="s">
        <x:v>386</x:v>
      </x:c>
      <x:c r="R283" s="25">
        <x:v>0.69</x:v>
      </x:c>
      <x:c r="S283" s="26"/>
      <x:c r="T283" s="22">
        <x:f>IF(S283="","",IFERROR(INDEX('درخت جدید'!$C:$C,MATCH(S283&amp;"",'درخت جدید'!$B:$B,0)),"—"))</x:f>
      </x:c>
      <x:c r="U283" s="22">
        <x:f>IF(S283="",IF(N283="بله","الزامی — تکمیل نشده",""),IF(AND(O283&lt;&gt;"",LEFT(S283&amp;"",4)&lt;&gt;O283),"زیر کل دیگری است — کل یا معین را اصلاح کنید",IF(COUNTIFS('درخت جدید'!$B:$B,S283&amp;"",'درخت جدید'!$A:$A,"معین")=0,IF(V283="","کد در درخت نیست — نام برای تعریف را بنویسید","OK"),"OK")))</x:f>
      </x:c>
      <x:c r="V283" s="27"/>
      <x:c r="W283" s="28"/>
    </x:row>
    <x:row r="284" spans="1:23">
      <x:c r="A284" s="21" t="s">
        <x:v>153</x:v>
      </x:c>
      <x:c r="B284" s="22" t="s">
        <x:v>215</x:v>
      </x:c>
      <x:c r="C284" s="22" t="s">
        <x:v>154</x:v>
      </x:c>
      <x:c r="D284" s="22" t="s">
        <x:v>391</x:v>
      </x:c>
      <x:c r="E284" s="22" t="s">
        <x:v>383</x:v>
      </x:c>
      <x:c r="F284" s="22" t="s">
        <x:v>196</x:v>
      </x:c>
      <x:c r="G284" s="22" t="s">
        <x:v>196</x:v>
      </x:c>
      <x:c r="H284" s="22">
        <x:v>3</x:v>
      </x:c>
      <x:c r="I284" s="22">
        <x:v>0</x:v>
      </x:c>
      <x:c r="J284" s="22">
        <x:v>0</x:v>
      </x:c>
      <x:c r="K284" s="23">
        <x:v>0</x:v>
      </x:c>
      <x:c r="L284" s="23">
        <x:v>0</x:v>
      </x:c>
      <x:c r="M284" s="23">
        <x:f>K284-L284</x:f>
      </x:c>
      <x:c r="N284" s="22" t="s">
        <x:v>406</x:v>
      </x:c>
      <x:c r="O284" s="24">
        <x:f>IFERROR(INDEX('تطبیق کل'!$J:$J,MATCH(A284&amp;"",'تطبیق کل'!$A:$A,0))&amp;"","")</x:f>
      </x:c>
      <x:c r="P284" s="24" t="s">
        <x:v>392</x:v>
      </x:c>
      <x:c r="Q284" s="24" t="s">
        <x:v>393</x:v>
      </x:c>
      <x:c r="R284" s="25">
        <x:v>0.5</x:v>
      </x:c>
      <x:c r="S284" s="26"/>
      <x:c r="T284" s="22">
        <x:f>IF(S284="","",IFERROR(INDEX('درخت جدید'!$C:$C,MATCH(S284&amp;"",'درخت جدید'!$B:$B,0)),"—"))</x:f>
      </x:c>
      <x:c r="U284" s="22">
        <x:f>IF(S284="",IF(N284="بله","الزامی — تکمیل نشده",""),IF(AND(O284&lt;&gt;"",LEFT(S284&amp;"",4)&lt;&gt;O284),"زیر کل دیگری است — کل یا معین را اصلاح کنید",IF(COUNTIFS('درخت جدید'!$B:$B,S284&amp;"",'درخت جدید'!$A:$A,"معین")=0,IF(V284="","کد در درخت نیست — نام برای تعریف را بنویسید","OK"),"OK")))</x:f>
      </x:c>
      <x:c r="V284" s="27"/>
      <x:c r="W284" s="28"/>
    </x:row>
    <x:row r="285" spans="1:23">
      <x:c r="A285" s="21" t="s">
        <x:v>156</x:v>
      </x:c>
      <x:c r="B285" s="22" t="s">
        <x:v>18</x:v>
      </x:c>
      <x:c r="C285" s="22" t="s">
        <x:v>157</x:v>
      </x:c>
      <x:c r="D285" s="22" t="s">
        <x:v>579</x:v>
      </x:c>
      <x:c r="E285" s="22" t="s">
        <x:v>383</x:v>
      </x:c>
      <x:c r="F285" s="22" t="s">
        <x:v>196</x:v>
      </x:c>
      <x:c r="G285" s="22" t="s">
        <x:v>201</x:v>
      </x:c>
      <x:c r="H285" s="22">
        <x:v>1</x:v>
      </x:c>
      <x:c r="I285" s="22">
        <x:v>0</x:v>
      </x:c>
      <x:c r="J285" s="22">
        <x:v>0</x:v>
      </x:c>
      <x:c r="K285" s="23">
        <x:v>0</x:v>
      </x:c>
      <x:c r="L285" s="23">
        <x:v>0</x:v>
      </x:c>
      <x:c r="M285" s="23">
        <x:f>K285-L285</x:f>
      </x:c>
      <x:c r="N285" s="22" t="s">
        <x:v>406</x:v>
      </x:c>
      <x:c r="O285" s="24">
        <x:f>IFERROR(INDEX('تطبیق کل'!$J:$J,MATCH(A285&amp;"",'تطبیق کل'!$A:$A,0))&amp;"","")</x:f>
      </x:c>
      <x:c r="P285" s="24"/>
      <x:c r="Q285" s="24" t="s">
        <x:v>198</x:v>
      </x:c>
      <x:c r="R285" s="25"/>
      <x:c r="S285" s="26"/>
      <x:c r="T285" s="22">
        <x:f>IF(S285="","",IFERROR(INDEX('درخت جدید'!$C:$C,MATCH(S285&amp;"",'درخت جدید'!$B:$B,0)),"—"))</x:f>
      </x:c>
      <x:c r="U285" s="22">
        <x:f>IF(S285="",IF(N285="بله","الزامی — تکمیل نشده",""),IF(AND(O285&lt;&gt;"",LEFT(S285&amp;"",4)&lt;&gt;O285),"زیر کل دیگری است — کل یا معین را اصلاح کنید",IF(COUNTIFS('درخت جدید'!$B:$B,S285&amp;"",'درخت جدید'!$A:$A,"معین")=0,IF(V285="","کد در درخت نیست — نام برای تعریف را بنویسید","OK"),"OK")))</x:f>
      </x:c>
      <x:c r="V285" s="27"/>
      <x:c r="W285" s="28"/>
    </x:row>
    <x:row r="286" spans="1:23">
      <x:c r="A286" s="21" t="s">
        <x:v>156</x:v>
      </x:c>
      <x:c r="B286" s="22" t="s">
        <x:v>326</x:v>
      </x:c>
      <x:c r="C286" s="22" t="s">
        <x:v>157</x:v>
      </x:c>
      <x:c r="D286" s="22" t="s">
        <x:v>580</x:v>
      </x:c>
      <x:c r="E286" s="22" t="s">
        <x:v>383</x:v>
      </x:c>
      <x:c r="F286" s="22" t="s">
        <x:v>196</x:v>
      </x:c>
      <x:c r="G286" s="22" t="s">
        <x:v>201</x:v>
      </x:c>
      <x:c r="H286" s="22">
        <x:v>4</x:v>
      </x:c>
      <x:c r="I286" s="22">
        <x:v>0</x:v>
      </x:c>
      <x:c r="J286" s="22">
        <x:v>0</x:v>
      </x:c>
      <x:c r="K286" s="23">
        <x:v>0</x:v>
      </x:c>
      <x:c r="L286" s="23">
        <x:v>0</x:v>
      </x:c>
      <x:c r="M286" s="23">
        <x:f>K286-L286</x:f>
      </x:c>
      <x:c r="N286" s="22" t="s">
        <x:v>406</x:v>
      </x:c>
      <x:c r="O286" s="24">
        <x:f>IFERROR(INDEX('تطبیق کل'!$J:$J,MATCH(A286&amp;"",'تطبیق کل'!$A:$A,0))&amp;"","")</x:f>
      </x:c>
      <x:c r="P286" s="24"/>
      <x:c r="Q286" s="24" t="s">
        <x:v>198</x:v>
      </x:c>
      <x:c r="R286" s="25"/>
      <x:c r="S286" s="26"/>
      <x:c r="T286" s="22">
        <x:f>IF(S286="","",IFERROR(INDEX('درخت جدید'!$C:$C,MATCH(S286&amp;"",'درخت جدید'!$B:$B,0)),"—"))</x:f>
      </x:c>
      <x:c r="U286" s="22">
        <x:f>IF(S286="",IF(N286="بله","الزامی — تکمیل نشده",""),IF(AND(O286&lt;&gt;"",LEFT(S286&amp;"",4)&lt;&gt;O286),"زیر کل دیگری است — کل یا معین را اصلاح کنید",IF(COUNTIFS('درخت جدید'!$B:$B,S286&amp;"",'درخت جدید'!$A:$A,"معین")=0,IF(V286="","کد در درخت نیست — نام برای تعریف را بنویسید","OK"),"OK")))</x:f>
      </x:c>
      <x:c r="V286" s="27"/>
      <x:c r="W286" s="28"/>
    </x:row>
    <x:row r="287" spans="1:23">
      <x:c r="A287" s="21" t="s">
        <x:v>156</x:v>
      </x:c>
      <x:c r="B287" s="22" t="s">
        <x:v>336</x:v>
      </x:c>
      <x:c r="C287" s="22" t="s">
        <x:v>157</x:v>
      </x:c>
      <x:c r="D287" s="22" t="s">
        <x:v>570</x:v>
      </x:c>
      <x:c r="E287" s="22" t="s">
        <x:v>383</x:v>
      </x:c>
      <x:c r="F287" s="22" t="s">
        <x:v>196</x:v>
      </x:c>
      <x:c r="G287" s="22" t="s">
        <x:v>196</x:v>
      </x:c>
      <x:c r="H287" s="22">
        <x:v>3</x:v>
      </x:c>
      <x:c r="I287" s="22">
        <x:v>0</x:v>
      </x:c>
      <x:c r="J287" s="22">
        <x:v>0</x:v>
      </x:c>
      <x:c r="K287" s="23">
        <x:v>0</x:v>
      </x:c>
      <x:c r="L287" s="23">
        <x:v>0</x:v>
      </x:c>
      <x:c r="M287" s="23">
        <x:f>K287-L287</x:f>
      </x:c>
      <x:c r="N287" s="22" t="s">
        <x:v>406</x:v>
      </x:c>
      <x:c r="O287" s="24">
        <x:f>IFERROR(INDEX('تطبیق کل'!$J:$J,MATCH(A287&amp;"",'تطبیق کل'!$A:$A,0))&amp;"","")</x:f>
      </x:c>
      <x:c r="P287" s="24"/>
      <x:c r="Q287" s="24" t="s">
        <x:v>198</x:v>
      </x:c>
      <x:c r="R287" s="25"/>
      <x:c r="S287" s="26"/>
      <x:c r="T287" s="22">
        <x:f>IF(S287="","",IFERROR(INDEX('درخت جدید'!$C:$C,MATCH(S287&amp;"",'درخت جدید'!$B:$B,0)),"—"))</x:f>
      </x:c>
      <x:c r="U287" s="22">
        <x:f>IF(S287="",IF(N287="بله","الزامی — تکمیل نشده",""),IF(AND(O287&lt;&gt;"",LEFT(S287&amp;"",4)&lt;&gt;O287),"زیر کل دیگری است — کل یا معین را اصلاح کنید",IF(COUNTIFS('درخت جدید'!$B:$B,S287&amp;"",'درخت جدید'!$A:$A,"معین")=0,IF(V287="","کد در درخت نیست — نام برای تعریف را بنویسید","OK"),"OK")))</x:f>
      </x:c>
      <x:c r="V287" s="27"/>
      <x:c r="W287" s="28"/>
    </x:row>
    <x:row r="288" spans="1:23">
      <x:c r="A288" s="21" t="s">
        <x:v>156</x:v>
      </x:c>
      <x:c r="B288" s="22" t="s">
        <x:v>207</x:v>
      </x:c>
      <x:c r="C288" s="22" t="s">
        <x:v>157</x:v>
      </x:c>
      <x:c r="D288" s="22" t="s">
        <x:v>581</x:v>
      </x:c>
      <x:c r="E288" s="22" t="s">
        <x:v>383</x:v>
      </x:c>
      <x:c r="F288" s="22" t="s">
        <x:v>196</x:v>
      </x:c>
      <x:c r="G288" s="22" t="s">
        <x:v>201</x:v>
      </x:c>
      <x:c r="H288" s="22">
        <x:v>9</x:v>
      </x:c>
      <x:c r="I288" s="22">
        <x:v>0</x:v>
      </x:c>
      <x:c r="J288" s="22">
        <x:v>0</x:v>
      </x:c>
      <x:c r="K288" s="23">
        <x:v>0</x:v>
      </x:c>
      <x:c r="L288" s="23">
        <x:v>0</x:v>
      </x:c>
      <x:c r="M288" s="23">
        <x:f>K288-L288</x:f>
      </x:c>
      <x:c r="N288" s="22" t="s">
        <x:v>406</x:v>
      </x:c>
      <x:c r="O288" s="24">
        <x:f>IFERROR(INDEX('تطبیق کل'!$J:$J,MATCH(A288&amp;"",'تطبیق کل'!$A:$A,0))&amp;"","")</x:f>
      </x:c>
      <x:c r="P288" s="24" t="s">
        <x:v>582</x:v>
      </x:c>
      <x:c r="Q288" s="24" t="s">
        <x:v>583</x:v>
      </x:c>
      <x:c r="R288" s="25">
        <x:v>0.47</x:v>
      </x:c>
      <x:c r="S288" s="26"/>
      <x:c r="T288" s="22">
        <x:f>IF(S288="","",IFERROR(INDEX('درخت جدید'!$C:$C,MATCH(S288&amp;"",'درخت جدید'!$B:$B,0)),"—"))</x:f>
      </x:c>
      <x:c r="U288" s="22">
        <x:f>IF(S288="",IF(N288="بله","الزامی — تکمیل نشده",""),IF(AND(O288&lt;&gt;"",LEFT(S288&amp;"",4)&lt;&gt;O288),"زیر کل دیگری است — کل یا معین را اصلاح کنید",IF(COUNTIFS('درخت جدید'!$B:$B,S288&amp;"",'درخت جدید'!$A:$A,"معین")=0,IF(V288="","کد در درخت نیست — نام برای تعریف را بنویسید","OK"),"OK")))</x:f>
      </x:c>
      <x:c r="V288" s="27"/>
      <x:c r="W288" s="28"/>
    </x:row>
    <x:row r="289" spans="1:23">
      <x:c r="A289" s="21" t="s">
        <x:v>156</x:v>
      </x:c>
      <x:c r="B289" s="22" t="s">
        <x:v>209</x:v>
      </x:c>
      <x:c r="C289" s="22" t="s">
        <x:v>157</x:v>
      </x:c>
      <x:c r="D289" s="22" t="s">
        <x:v>584</x:v>
      </x:c>
      <x:c r="E289" s="22" t="s">
        <x:v>383</x:v>
      </x:c>
      <x:c r="F289" s="22" t="s">
        <x:v>196</x:v>
      </x:c>
      <x:c r="G289" s="22" t="s">
        <x:v>201</x:v>
      </x:c>
      <x:c r="H289" s="22">
        <x:v>1</x:v>
      </x:c>
      <x:c r="I289" s="22">
        <x:v>0</x:v>
      </x:c>
      <x:c r="J289" s="22">
        <x:v>0</x:v>
      </x:c>
      <x:c r="K289" s="23">
        <x:v>0</x:v>
      </x:c>
      <x:c r="L289" s="23">
        <x:v>0</x:v>
      </x:c>
      <x:c r="M289" s="23">
        <x:f>K289-L289</x:f>
      </x:c>
      <x:c r="N289" s="22" t="s">
        <x:v>406</x:v>
      </x:c>
      <x:c r="O289" s="24">
        <x:f>IFERROR(INDEX('تطبیق کل'!$J:$J,MATCH(A289&amp;"",'تطبیق کل'!$A:$A,0))&amp;"","")</x:f>
      </x:c>
      <x:c r="P289" s="24"/>
      <x:c r="Q289" s="24" t="s">
        <x:v>198</x:v>
      </x:c>
      <x:c r="R289" s="25"/>
      <x:c r="S289" s="26"/>
      <x:c r="T289" s="22">
        <x:f>IF(S289="","",IFERROR(INDEX('درخت جدید'!$C:$C,MATCH(S289&amp;"",'درخت جدید'!$B:$B,0)),"—"))</x:f>
      </x:c>
      <x:c r="U289" s="22">
        <x:f>IF(S289="",IF(N289="بله","الزامی — تکمیل نشده",""),IF(AND(O289&lt;&gt;"",LEFT(S289&amp;"",4)&lt;&gt;O289),"زیر کل دیگری است — کل یا معین را اصلاح کنید",IF(COUNTIFS('درخت جدید'!$B:$B,S289&amp;"",'درخت جدید'!$A:$A,"معین")=0,IF(V289="","کد در درخت نیست — نام برای تعریف را بنویسید","OK"),"OK")))</x:f>
      </x:c>
      <x:c r="V289" s="27"/>
      <x:c r="W289" s="28"/>
    </x:row>
    <x:row r="290" spans="1:23">
      <x:c r="A290" s="21" t="s">
        <x:v>159</x:v>
      </x:c>
      <x:c r="B290" s="22" t="s">
        <x:v>334</x:v>
      </x:c>
      <x:c r="C290" s="22" t="s">
        <x:v>160</x:v>
      </x:c>
      <x:c r="D290" s="22" t="s">
        <x:v>585</x:v>
      </x:c>
      <x:c r="E290" s="22" t="s">
        <x:v>383</x:v>
      </x:c>
      <x:c r="F290" s="22" t="s">
        <x:v>196</x:v>
      </x:c>
      <x:c r="G290" s="22" t="s">
        <x:v>201</x:v>
      </x:c>
      <x:c r="H290" s="22">
        <x:v>1</x:v>
      </x:c>
      <x:c r="I290" s="22">
        <x:v>0</x:v>
      </x:c>
      <x:c r="J290" s="22">
        <x:v>0</x:v>
      </x:c>
      <x:c r="K290" s="23">
        <x:v>0</x:v>
      </x:c>
      <x:c r="L290" s="23">
        <x:v>0</x:v>
      </x:c>
      <x:c r="M290" s="23">
        <x:f>K290-L290</x:f>
      </x:c>
      <x:c r="N290" s="22" t="s">
        <x:v>406</x:v>
      </x:c>
      <x:c r="O290" s="24">
        <x:f>IFERROR(INDEX('تطبیق کل'!$J:$J,MATCH(A290&amp;"",'تطبیق کل'!$A:$A,0))&amp;"","")</x:f>
      </x:c>
      <x:c r="P290" s="24"/>
      <x:c r="Q290" s="24" t="s">
        <x:v>198</x:v>
      </x:c>
      <x:c r="R290" s="25"/>
      <x:c r="S290" s="26"/>
      <x:c r="T290" s="22">
        <x:f>IF(S290="","",IFERROR(INDEX('درخت جدید'!$C:$C,MATCH(S290&amp;"",'درخت جدید'!$B:$B,0)),"—"))</x:f>
      </x:c>
      <x:c r="U290" s="22">
        <x:f>IF(S290="",IF(N290="بله","الزامی — تکمیل نشده",""),IF(AND(O290&lt;&gt;"",LEFT(S290&amp;"",4)&lt;&gt;O290),"زیر کل دیگری است — کل یا معین را اصلاح کنید",IF(COUNTIFS('درخت جدید'!$B:$B,S290&amp;"",'درخت جدید'!$A:$A,"معین")=0,IF(V290="","کد در درخت نیست — نام برای تعریف را بنویسید","OK"),"OK")))</x:f>
      </x:c>
      <x:c r="V290" s="27"/>
      <x:c r="W290" s="28"/>
    </x:row>
    <x:row r="291" spans="1:23">
      <x:c r="A291" s="21" t="s">
        <x:v>159</x:v>
      </x:c>
      <x:c r="B291" s="22" t="s">
        <x:v>369</x:v>
      </x:c>
      <x:c r="C291" s="22" t="s">
        <x:v>160</x:v>
      </x:c>
      <x:c r="D291" s="22" t="s">
        <x:v>586</x:v>
      </x:c>
      <x:c r="E291" s="22" t="s">
        <x:v>383</x:v>
      </x:c>
      <x:c r="F291" s="22" t="s">
        <x:v>196</x:v>
      </x:c>
      <x:c r="G291" s="22" t="s">
        <x:v>201</x:v>
      </x:c>
      <x:c r="H291" s="22">
        <x:v>1</x:v>
      </x:c>
      <x:c r="I291" s="22">
        <x:v>0</x:v>
      </x:c>
      <x:c r="J291" s="22">
        <x:v>0</x:v>
      </x:c>
      <x:c r="K291" s="23">
        <x:v>0</x:v>
      </x:c>
      <x:c r="L291" s="23">
        <x:v>0</x:v>
      </x:c>
      <x:c r="M291" s="23">
        <x:f>K291-L291</x:f>
      </x:c>
      <x:c r="N291" s="22" t="s">
        <x:v>406</x:v>
      </x:c>
      <x:c r="O291" s="24">
        <x:f>IFERROR(INDEX('تطبیق کل'!$J:$J,MATCH(A291&amp;"",'تطبیق کل'!$A:$A,0))&amp;"","")</x:f>
      </x:c>
      <x:c r="P291" s="24"/>
      <x:c r="Q291" s="24" t="s">
        <x:v>198</x:v>
      </x:c>
      <x:c r="R291" s="25"/>
      <x:c r="S291" s="26"/>
      <x:c r="T291" s="22">
        <x:f>IF(S291="","",IFERROR(INDEX('درخت جدید'!$C:$C,MATCH(S291&amp;"",'درخت جدید'!$B:$B,0)),"—"))</x:f>
      </x:c>
      <x:c r="U291" s="22">
        <x:f>IF(S291="",IF(N291="بله","الزامی — تکمیل نشده",""),IF(AND(O291&lt;&gt;"",LEFT(S291&amp;"",4)&lt;&gt;O291),"زیر کل دیگری است — کل یا معین را اصلاح کنید",IF(COUNTIFS('درخت جدید'!$B:$B,S291&amp;"",'درخت جدید'!$A:$A,"معین")=0,IF(V291="","کد در درخت نیست — نام برای تعریف را بنویسید","OK"),"OK")))</x:f>
      </x:c>
      <x:c r="V291" s="27"/>
      <x:c r="W291" s="28"/>
    </x:row>
    <x:row r="292" spans="1:23">
      <x:c r="A292" s="21" t="s">
        <x:v>159</x:v>
      </x:c>
      <x:c r="B292" s="22" t="s">
        <x:v>371</x:v>
      </x:c>
      <x:c r="C292" s="22" t="s">
        <x:v>160</x:v>
      </x:c>
      <x:c r="D292" s="22" t="s">
        <x:v>587</x:v>
      </x:c>
      <x:c r="E292" s="22" t="s">
        <x:v>383</x:v>
      </x:c>
      <x:c r="F292" s="22" t="s">
        <x:v>196</x:v>
      </x:c>
      <x:c r="G292" s="22" t="s">
        <x:v>201</x:v>
      </x:c>
      <x:c r="H292" s="22">
        <x:v>1</x:v>
      </x:c>
      <x:c r="I292" s="22">
        <x:v>0</x:v>
      </x:c>
      <x:c r="J292" s="22">
        <x:v>0</x:v>
      </x:c>
      <x:c r="K292" s="23">
        <x:v>0</x:v>
      </x:c>
      <x:c r="L292" s="23">
        <x:v>0</x:v>
      </x:c>
      <x:c r="M292" s="23">
        <x:f>K292-L292</x:f>
      </x:c>
      <x:c r="N292" s="22" t="s">
        <x:v>406</x:v>
      </x:c>
      <x:c r="O292" s="24">
        <x:f>IFERROR(INDEX('تطبیق کل'!$J:$J,MATCH(A292&amp;"",'تطبیق کل'!$A:$A,0))&amp;"","")</x:f>
      </x:c>
      <x:c r="P292" s="24"/>
      <x:c r="Q292" s="24" t="s">
        <x:v>198</x:v>
      </x:c>
      <x:c r="R292" s="25"/>
      <x:c r="S292" s="26"/>
      <x:c r="T292" s="22">
        <x:f>IF(S292="","",IFERROR(INDEX('درخت جدید'!$C:$C,MATCH(S292&amp;"",'درخت جدید'!$B:$B,0)),"—"))</x:f>
      </x:c>
      <x:c r="U292" s="22">
        <x:f>IF(S292="",IF(N292="بله","الزامی — تکمیل نشده",""),IF(AND(O292&lt;&gt;"",LEFT(S292&amp;"",4)&lt;&gt;O292),"زیر کل دیگری است — کل یا معین را اصلاح کنید",IF(COUNTIFS('درخت جدید'!$B:$B,S292&amp;"",'درخت جدید'!$A:$A,"معین")=0,IF(V292="","کد در درخت نیست — نام برای تعریف را بنویسید","OK"),"OK")))</x:f>
      </x:c>
      <x:c r="V292" s="27"/>
      <x:c r="W292" s="28"/>
    </x:row>
    <x:row r="293" spans="1:23">
      <x:c r="A293" s="21" t="s">
        <x:v>159</x:v>
      </x:c>
      <x:c r="B293" s="22" t="s">
        <x:v>456</x:v>
      </x:c>
      <x:c r="C293" s="22" t="s">
        <x:v>160</x:v>
      </x:c>
      <x:c r="D293" s="22" t="s">
        <x:v>588</x:v>
      </x:c>
      <x:c r="E293" s="22" t="s">
        <x:v>383</x:v>
      </x:c>
      <x:c r="F293" s="22" t="s">
        <x:v>196</x:v>
      </x:c>
      <x:c r="G293" s="22" t="s">
        <x:v>201</x:v>
      </x:c>
      <x:c r="H293" s="22">
        <x:v>1</x:v>
      </x:c>
      <x:c r="I293" s="22">
        <x:v>0</x:v>
      </x:c>
      <x:c r="J293" s="22">
        <x:v>0</x:v>
      </x:c>
      <x:c r="K293" s="23">
        <x:v>0</x:v>
      </x:c>
      <x:c r="L293" s="23">
        <x:v>0</x:v>
      </x:c>
      <x:c r="M293" s="23">
        <x:f>K293-L293</x:f>
      </x:c>
      <x:c r="N293" s="22" t="s">
        <x:v>406</x:v>
      </x:c>
      <x:c r="O293" s="24">
        <x:f>IFERROR(INDEX('تطبیق کل'!$J:$J,MATCH(A293&amp;"",'تطبیق کل'!$A:$A,0))&amp;"","")</x:f>
      </x:c>
      <x:c r="P293" s="24"/>
      <x:c r="Q293" s="24" t="s">
        <x:v>198</x:v>
      </x:c>
      <x:c r="R293" s="25"/>
      <x:c r="S293" s="26"/>
      <x:c r="T293" s="22">
        <x:f>IF(S293="","",IFERROR(INDEX('درخت جدید'!$C:$C,MATCH(S293&amp;"",'درخت جدید'!$B:$B,0)),"—"))</x:f>
      </x:c>
      <x:c r="U293" s="22">
        <x:f>IF(S293="",IF(N293="بله","الزامی — تکمیل نشده",""),IF(AND(O293&lt;&gt;"",LEFT(S293&amp;"",4)&lt;&gt;O293),"زیر کل دیگری است — کل یا معین را اصلاح کنید",IF(COUNTIFS('درخت جدید'!$B:$B,S293&amp;"",'درخت جدید'!$A:$A,"معین")=0,IF(V293="","کد در درخت نیست — نام برای تعریف را بنویسید","OK"),"OK")))</x:f>
      </x:c>
      <x:c r="V293" s="27"/>
      <x:c r="W293" s="28"/>
    </x:row>
    <x:row r="294" spans="1:23">
      <x:c r="A294" s="21" t="s">
        <x:v>159</x:v>
      </x:c>
      <x:c r="B294" s="22" t="s">
        <x:v>82</x:v>
      </x:c>
      <x:c r="C294" s="22" t="s">
        <x:v>160</x:v>
      </x:c>
      <x:c r="D294" s="22" t="s">
        <x:v>589</x:v>
      </x:c>
      <x:c r="E294" s="22" t="s">
        <x:v>383</x:v>
      </x:c>
      <x:c r="F294" s="22" t="s">
        <x:v>196</x:v>
      </x:c>
      <x:c r="G294" s="22" t="s">
        <x:v>201</x:v>
      </x:c>
      <x:c r="H294" s="22">
        <x:v>1</x:v>
      </x:c>
      <x:c r="I294" s="22">
        <x:v>0</x:v>
      </x:c>
      <x:c r="J294" s="22">
        <x:v>0</x:v>
      </x:c>
      <x:c r="K294" s="23">
        <x:v>0</x:v>
      </x:c>
      <x:c r="L294" s="23">
        <x:v>0</x:v>
      </x:c>
      <x:c r="M294" s="23">
        <x:f>K294-L294</x:f>
      </x:c>
      <x:c r="N294" s="22" t="s">
        <x:v>406</x:v>
      </x:c>
      <x:c r="O294" s="24">
        <x:f>IFERROR(INDEX('تطبیق کل'!$J:$J,MATCH(A294&amp;"",'تطبیق کل'!$A:$A,0))&amp;"","")</x:f>
      </x:c>
      <x:c r="P294" s="24"/>
      <x:c r="Q294" s="24" t="s">
        <x:v>198</x:v>
      </x:c>
      <x:c r="R294" s="25"/>
      <x:c r="S294" s="26"/>
      <x:c r="T294" s="22">
        <x:f>IF(S294="","",IFERROR(INDEX('درخت جدید'!$C:$C,MATCH(S294&amp;"",'درخت جدید'!$B:$B,0)),"—"))</x:f>
      </x:c>
      <x:c r="U294" s="22">
        <x:f>IF(S294="",IF(N294="بله","الزامی — تکمیل نشده",""),IF(AND(O294&lt;&gt;"",LEFT(S294&amp;"",4)&lt;&gt;O294),"زیر کل دیگری است — کل یا معین را اصلاح کنید",IF(COUNTIFS('درخت جدید'!$B:$B,S294&amp;"",'درخت جدید'!$A:$A,"معین")=0,IF(V294="","کد در درخت نیست — نام برای تعریف را بنویسید","OK"),"OK")))</x:f>
      </x:c>
      <x:c r="V294" s="27"/>
      <x:c r="W294" s="28"/>
    </x:row>
    <x:row r="295" spans="1:23">
      <x:c r="A295" s="21" t="s">
        <x:v>159</x:v>
      </x:c>
      <x:c r="B295" s="22" t="s">
        <x:v>529</x:v>
      </x:c>
      <x:c r="C295" s="22" t="s">
        <x:v>160</x:v>
      </x:c>
      <x:c r="D295" s="22" t="s">
        <x:v>590</x:v>
      </x:c>
      <x:c r="E295" s="22" t="s">
        <x:v>383</x:v>
      </x:c>
      <x:c r="F295" s="22" t="s">
        <x:v>196</x:v>
      </x:c>
      <x:c r="G295" s="22" t="s">
        <x:v>201</x:v>
      </x:c>
      <x:c r="H295" s="22">
        <x:v>3</x:v>
      </x:c>
      <x:c r="I295" s="22">
        <x:v>0</x:v>
      </x:c>
      <x:c r="J295" s="22">
        <x:v>0</x:v>
      </x:c>
      <x:c r="K295" s="23">
        <x:v>0</x:v>
      </x:c>
      <x:c r="L295" s="23">
        <x:v>0</x:v>
      </x:c>
      <x:c r="M295" s="23">
        <x:f>K295-L295</x:f>
      </x:c>
      <x:c r="N295" s="22" t="s">
        <x:v>406</x:v>
      </x:c>
      <x:c r="O295" s="24">
        <x:f>IFERROR(INDEX('تطبیق کل'!$J:$J,MATCH(A295&amp;"",'تطبیق کل'!$A:$A,0))&amp;"","")</x:f>
      </x:c>
      <x:c r="P295" s="24"/>
      <x:c r="Q295" s="24" t="s">
        <x:v>198</x:v>
      </x:c>
      <x:c r="R295" s="25"/>
      <x:c r="S295" s="26"/>
      <x:c r="T295" s="22">
        <x:f>IF(S295="","",IFERROR(INDEX('درخت جدید'!$C:$C,MATCH(S295&amp;"",'درخت جدید'!$B:$B,0)),"—"))</x:f>
      </x:c>
      <x:c r="U295" s="22">
        <x:f>IF(S295="",IF(N295="بله","الزامی — تکمیل نشده",""),IF(AND(O295&lt;&gt;"",LEFT(S295&amp;"",4)&lt;&gt;O295),"زیر کل دیگری است — کل یا معین را اصلاح کنید",IF(COUNTIFS('درخت جدید'!$B:$B,S295&amp;"",'درخت جدید'!$A:$A,"معین")=0,IF(V295="","کد در درخت نیست — نام برای تعریف را بنویسید","OK"),"OK")))</x:f>
      </x:c>
      <x:c r="V295" s="27"/>
      <x:c r="W295" s="28"/>
    </x:row>
    <x:row r="296" spans="1:23">
      <x:c r="A296" s="21" t="s">
        <x:v>163</x:v>
      </x:c>
      <x:c r="B296" s="22" t="s">
        <x:v>204</x:v>
      </x:c>
      <x:c r="C296" s="22" t="s">
        <x:v>164</x:v>
      </x:c>
      <x:c r="D296" s="22" t="s">
        <x:v>591</x:v>
      </x:c>
      <x:c r="E296" s="22" t="s">
        <x:v>195</x:v>
      </x:c>
      <x:c r="F296" s="22" t="s">
        <x:v>195</x:v>
      </x:c>
      <x:c r="G296" s="22" t="s">
        <x:v>201</x:v>
      </x:c>
      <x:c r="H296" s="22">
        <x:v>2</x:v>
      </x:c>
      <x:c r="I296" s="22">
        <x:v>0</x:v>
      </x:c>
      <x:c r="J296" s="22">
        <x:v>0</x:v>
      </x:c>
      <x:c r="K296" s="23">
        <x:v>0</x:v>
      </x:c>
      <x:c r="L296" s="23">
        <x:v>0</x:v>
      </x:c>
      <x:c r="M296" s="23">
        <x:f>K296-L296</x:f>
      </x:c>
      <x:c r="N296" s="22" t="s">
        <x:v>406</x:v>
      </x:c>
      <x:c r="O296" s="24">
        <x:f>IFERROR(INDEX('تطبیق کل'!$J:$J,MATCH(A296&amp;"",'تطبیق کل'!$A:$A,0))&amp;"","")</x:f>
      </x:c>
      <x:c r="P296" s="24"/>
      <x:c r="Q296" s="24" t="s">
        <x:v>198</x:v>
      </x:c>
      <x:c r="R296" s="25"/>
      <x:c r="S296" s="26"/>
      <x:c r="T296" s="22">
        <x:f>IF(S296="","",IFERROR(INDEX('درخت جدید'!$C:$C,MATCH(S296&amp;"",'درخت جدید'!$B:$B,0)),"—"))</x:f>
      </x:c>
      <x:c r="U296" s="22">
        <x:f>IF(S296="",IF(N296="بله","الزامی — تکمیل نشده",""),IF(AND(O296&lt;&gt;"",LEFT(S296&amp;"",4)&lt;&gt;O296),"زیر کل دیگری است — کل یا معین را اصلاح کنید",IF(COUNTIFS('درخت جدید'!$B:$B,S296&amp;"",'درخت جدید'!$A:$A,"معین")=0,IF(V296="","کد در درخت نیست — نام برای تعریف را بنویسید","OK"),"OK")))</x:f>
      </x:c>
      <x:c r="V296" s="27"/>
      <x:c r="W296" s="28"/>
    </x:row>
    <x:row r="297" spans="1:23">
      <x:c r="A297" s="21" t="s">
        <x:v>163</x:v>
      </x:c>
      <x:c r="B297" s="22" t="s">
        <x:v>18</x:v>
      </x:c>
      <x:c r="C297" s="22" t="s">
        <x:v>164</x:v>
      </x:c>
      <x:c r="D297" s="22" t="s">
        <x:v>592</x:v>
      </x:c>
      <x:c r="E297" s="22" t="s">
        <x:v>195</x:v>
      </x:c>
      <x:c r="F297" s="22" t="s">
        <x:v>195</x:v>
      </x:c>
      <x:c r="G297" s="22" t="s">
        <x:v>201</x:v>
      </x:c>
      <x:c r="H297" s="22">
        <x:v>1</x:v>
      </x:c>
      <x:c r="I297" s="22">
        <x:v>0</x:v>
      </x:c>
      <x:c r="J297" s="22">
        <x:v>0</x:v>
      </x:c>
      <x:c r="K297" s="23">
        <x:v>0</x:v>
      </x:c>
      <x:c r="L297" s="23">
        <x:v>0</x:v>
      </x:c>
      <x:c r="M297" s="23">
        <x:f>K297-L297</x:f>
      </x:c>
      <x:c r="N297" s="22" t="s">
        <x:v>406</x:v>
      </x:c>
      <x:c r="O297" s="24">
        <x:f>IFERROR(INDEX('تطبیق کل'!$J:$J,MATCH(A297&amp;"",'تطبیق کل'!$A:$A,0))&amp;"","")</x:f>
      </x:c>
      <x:c r="P297" s="24"/>
      <x:c r="Q297" s="24" t="s">
        <x:v>198</x:v>
      </x:c>
      <x:c r="R297" s="25"/>
      <x:c r="S297" s="26"/>
      <x:c r="T297" s="22">
        <x:f>IF(S297="","",IFERROR(INDEX('درخت جدید'!$C:$C,MATCH(S297&amp;"",'درخت جدید'!$B:$B,0)),"—"))</x:f>
      </x:c>
      <x:c r="U297" s="22">
        <x:f>IF(S297="",IF(N297="بله","الزامی — تکمیل نشده",""),IF(AND(O297&lt;&gt;"",LEFT(S297&amp;"",4)&lt;&gt;O297),"زیر کل دیگری است — کل یا معین را اصلاح کنید",IF(COUNTIFS('درخت جدید'!$B:$B,S297&amp;"",'درخت جدید'!$A:$A,"معین")=0,IF(V297="","کد در درخت نیست — نام برای تعریف را بنویسید","OK"),"OK")))</x:f>
      </x:c>
      <x:c r="V297" s="27"/>
      <x:c r="W297" s="28"/>
    </x:row>
    <x:row r="298" spans="1:23">
      <x:c r="A298" s="21" t="s">
        <x:v>163</x:v>
      </x:c>
      <x:c r="B298" s="22" t="s">
        <x:v>21</x:v>
      </x:c>
      <x:c r="C298" s="22" t="s">
        <x:v>164</x:v>
      </x:c>
      <x:c r="D298" s="22" t="s">
        <x:v>593</x:v>
      </x:c>
      <x:c r="E298" s="22" t="s">
        <x:v>195</x:v>
      </x:c>
      <x:c r="F298" s="22" t="s">
        <x:v>195</x:v>
      </x:c>
      <x:c r="G298" s="22" t="s">
        <x:v>201</x:v>
      </x:c>
      <x:c r="H298" s="22">
        <x:v>1</x:v>
      </x:c>
      <x:c r="I298" s="22">
        <x:v>0</x:v>
      </x:c>
      <x:c r="J298" s="22">
        <x:v>0</x:v>
      </x:c>
      <x:c r="K298" s="23">
        <x:v>0</x:v>
      </x:c>
      <x:c r="L298" s="23">
        <x:v>0</x:v>
      </x:c>
      <x:c r="M298" s="23">
        <x:f>K298-L298</x:f>
      </x:c>
      <x:c r="N298" s="22" t="s">
        <x:v>406</x:v>
      </x:c>
      <x:c r="O298" s="24">
        <x:f>IFERROR(INDEX('تطبیق کل'!$J:$J,MATCH(A298&amp;"",'تطبیق کل'!$A:$A,0))&amp;"","")</x:f>
      </x:c>
      <x:c r="P298" s="24"/>
      <x:c r="Q298" s="24" t="s">
        <x:v>198</x:v>
      </x:c>
      <x:c r="R298" s="25"/>
      <x:c r="S298" s="26"/>
      <x:c r="T298" s="22">
        <x:f>IF(S298="","",IFERROR(INDEX('درخت جدید'!$C:$C,MATCH(S298&amp;"",'درخت جدید'!$B:$B,0)),"—"))</x:f>
      </x:c>
      <x:c r="U298" s="22">
        <x:f>IF(S298="",IF(N298="بله","الزامی — تکمیل نشده",""),IF(AND(O298&lt;&gt;"",LEFT(S298&amp;"",4)&lt;&gt;O298),"زیر کل دیگری است — کل یا معین را اصلاح کنید",IF(COUNTIFS('درخت جدید'!$B:$B,S298&amp;"",'درخت جدید'!$A:$A,"معین")=0,IF(V298="","کد در درخت نیست — نام برای تعریف را بنویسید","OK"),"OK")))</x:f>
      </x:c>
      <x:c r="V298" s="27"/>
      <x:c r="W298" s="28"/>
    </x:row>
    <x:row r="299" spans="1:23">
      <x:c r="A299" s="21" t="s">
        <x:v>163</x:v>
      </x:c>
      <x:c r="B299" s="22" t="s">
        <x:v>24</x:v>
      </x:c>
      <x:c r="C299" s="22" t="s">
        <x:v>164</x:v>
      </x:c>
      <x:c r="D299" s="22" t="s">
        <x:v>594</x:v>
      </x:c>
      <x:c r="E299" s="22" t="s">
        <x:v>195</x:v>
      </x:c>
      <x:c r="F299" s="22" t="s">
        <x:v>195</x:v>
      </x:c>
      <x:c r="G299" s="22" t="s">
        <x:v>201</x:v>
      </x:c>
      <x:c r="H299" s="22">
        <x:v>1</x:v>
      </x:c>
      <x:c r="I299" s="22">
        <x:v>0</x:v>
      </x:c>
      <x:c r="J299" s="22">
        <x:v>0</x:v>
      </x:c>
      <x:c r="K299" s="23">
        <x:v>0</x:v>
      </x:c>
      <x:c r="L299" s="23">
        <x:v>0</x:v>
      </x:c>
      <x:c r="M299" s="23">
        <x:f>K299-L299</x:f>
      </x:c>
      <x:c r="N299" s="22" t="s">
        <x:v>406</x:v>
      </x:c>
      <x:c r="O299" s="24">
        <x:f>IFERROR(INDEX('تطبیق کل'!$J:$J,MATCH(A299&amp;"",'تطبیق کل'!$A:$A,0))&amp;"","")</x:f>
      </x:c>
      <x:c r="P299" s="24"/>
      <x:c r="Q299" s="24" t="s">
        <x:v>198</x:v>
      </x:c>
      <x:c r="R299" s="25"/>
      <x:c r="S299" s="26"/>
      <x:c r="T299" s="22">
        <x:f>IF(S299="","",IFERROR(INDEX('درخت جدید'!$C:$C,MATCH(S299&amp;"",'درخت جدید'!$B:$B,0)),"—"))</x:f>
      </x:c>
      <x:c r="U299" s="22">
        <x:f>IF(S299="",IF(N299="بله","الزامی — تکمیل نشده",""),IF(AND(O299&lt;&gt;"",LEFT(S299&amp;"",4)&lt;&gt;O299),"زیر کل دیگری است — کل یا معین را اصلاح کنید",IF(COUNTIFS('درخت جدید'!$B:$B,S299&amp;"",'درخت جدید'!$A:$A,"معین")=0,IF(V299="","کد در درخت نیست — نام برای تعریف را بنویسید","OK"),"OK")))</x:f>
      </x:c>
      <x:c r="V299" s="27"/>
      <x:c r="W299" s="28"/>
    </x:row>
    <x:row r="300" spans="1:23">
      <x:c r="A300" s="21" t="s">
        <x:v>163</x:v>
      </x:c>
      <x:c r="B300" s="22" t="s">
        <x:v>199</x:v>
      </x:c>
      <x:c r="C300" s="22" t="s">
        <x:v>164</x:v>
      </x:c>
      <x:c r="D300" s="22" t="s">
        <x:v>595</x:v>
      </x:c>
      <x:c r="E300" s="22" t="s">
        <x:v>195</x:v>
      </x:c>
      <x:c r="F300" s="22" t="s">
        <x:v>195</x:v>
      </x:c>
      <x:c r="G300" s="22" t="s">
        <x:v>201</x:v>
      </x:c>
      <x:c r="H300" s="22">
        <x:v>10</x:v>
      </x:c>
      <x:c r="I300" s="22">
        <x:v>0</x:v>
      </x:c>
      <x:c r="J300" s="22">
        <x:v>0</x:v>
      </x:c>
      <x:c r="K300" s="23">
        <x:v>0</x:v>
      </x:c>
      <x:c r="L300" s="23">
        <x:v>0</x:v>
      </x:c>
      <x:c r="M300" s="23">
        <x:f>K300-L300</x:f>
      </x:c>
      <x:c r="N300" s="22" t="s">
        <x:v>406</x:v>
      </x:c>
      <x:c r="O300" s="24">
        <x:f>IFERROR(INDEX('تطبیق کل'!$J:$J,MATCH(A300&amp;"",'تطبیق کل'!$A:$A,0))&amp;"","")</x:f>
      </x:c>
      <x:c r="P300" s="24" t="s">
        <x:v>448</x:v>
      </x:c>
      <x:c r="Q300" s="24" t="s">
        <x:v>447</x:v>
      </x:c>
      <x:c r="R300" s="25">
        <x:v>0.37</x:v>
      </x:c>
      <x:c r="S300" s="26"/>
      <x:c r="T300" s="22">
        <x:f>IF(S300="","",IFERROR(INDEX('درخت جدید'!$C:$C,MATCH(S300&amp;"",'درخت جدید'!$B:$B,0)),"—"))</x:f>
      </x:c>
      <x:c r="U300" s="22">
        <x:f>IF(S300="",IF(N300="بله","الزامی — تکمیل نشده",""),IF(AND(O300&lt;&gt;"",LEFT(S300&amp;"",4)&lt;&gt;O300),"زیر کل دیگری است — کل یا معین را اصلاح کنید",IF(COUNTIFS('درخت جدید'!$B:$B,S300&amp;"",'درخت جدید'!$A:$A,"معین")=0,IF(V300="","کد در درخت نیست — نام برای تعریف را بنویسید","OK"),"OK")))</x:f>
      </x:c>
      <x:c r="V300" s="27"/>
      <x:c r="W300" s="28"/>
    </x:row>
    <x:row r="301" spans="1:23">
      <x:c r="A301" s="21" t="s">
        <x:v>163</x:v>
      </x:c>
      <x:c r="B301" s="22" t="s">
        <x:v>53</x:v>
      </x:c>
      <x:c r="C301" s="22" t="s">
        <x:v>164</x:v>
      </x:c>
      <x:c r="D301" s="22" t="s">
        <x:v>596</x:v>
      </x:c>
      <x:c r="E301" s="22" t="s">
        <x:v>195</x:v>
      </x:c>
      <x:c r="F301" s="22" t="s">
        <x:v>195</x:v>
      </x:c>
      <x:c r="G301" s="22" t="s">
        <x:v>196</x:v>
      </x:c>
      <x:c r="H301" s="22">
        <x:v>3</x:v>
      </x:c>
      <x:c r="I301" s="22">
        <x:v>0</x:v>
      </x:c>
      <x:c r="J301" s="22">
        <x:v>0</x:v>
      </x:c>
      <x:c r="K301" s="23">
        <x:v>0</x:v>
      </x:c>
      <x:c r="L301" s="23">
        <x:v>0</x:v>
      </x:c>
      <x:c r="M301" s="23">
        <x:f>K301-L301</x:f>
      </x:c>
      <x:c r="N301" s="22" t="s">
        <x:v>406</x:v>
      </x:c>
      <x:c r="O301" s="24">
        <x:f>IFERROR(INDEX('تطبیق کل'!$J:$J,MATCH(A301&amp;"",'تطبیق کل'!$A:$A,0))&amp;"","")</x:f>
      </x:c>
      <x:c r="P301" s="24"/>
      <x:c r="Q301" s="24" t="s">
        <x:v>198</x:v>
      </x:c>
      <x:c r="R301" s="25"/>
      <x:c r="S301" s="26"/>
      <x:c r="T301" s="22">
        <x:f>IF(S301="","",IFERROR(INDEX('درخت جدید'!$C:$C,MATCH(S301&amp;"",'درخت جدید'!$B:$B,0)),"—"))</x:f>
      </x:c>
      <x:c r="U301" s="22">
        <x:f>IF(S301="",IF(N301="بله","الزامی — تکمیل نشده",""),IF(AND(O301&lt;&gt;"",LEFT(S301&amp;"",4)&lt;&gt;O301),"زیر کل دیگری است — کل یا معین را اصلاح کنید",IF(COUNTIFS('درخت جدید'!$B:$B,S301&amp;"",'درخت جدید'!$A:$A,"معین")=0,IF(V301="","کد در درخت نیست — نام برای تعریف را بنویسید","OK"),"OK")))</x:f>
      </x:c>
      <x:c r="V301" s="27"/>
      <x:c r="W301" s="28"/>
    </x:row>
    <x:row r="302" spans="1:23">
      <x:c r="A302" s="21" t="s">
        <x:v>163</x:v>
      </x:c>
      <x:c r="B302" s="22" t="s">
        <x:v>378</x:v>
      </x:c>
      <x:c r="C302" s="22" t="s">
        <x:v>164</x:v>
      </x:c>
      <x:c r="D302" s="22" t="s">
        <x:v>597</x:v>
      </x:c>
      <x:c r="E302" s="22" t="s">
        <x:v>195</x:v>
      </x:c>
      <x:c r="F302" s="22" t="s">
        <x:v>195</x:v>
      </x:c>
      <x:c r="G302" s="22" t="s">
        <x:v>201</x:v>
      </x:c>
      <x:c r="H302" s="22">
        <x:v>1</x:v>
      </x:c>
      <x:c r="I302" s="22">
        <x:v>0</x:v>
      </x:c>
      <x:c r="J302" s="22">
        <x:v>0</x:v>
      </x:c>
      <x:c r="K302" s="23">
        <x:v>0</x:v>
      </x:c>
      <x:c r="L302" s="23">
        <x:v>0</x:v>
      </x:c>
      <x:c r="M302" s="23">
        <x:f>K302-L302</x:f>
      </x:c>
      <x:c r="N302" s="22" t="s">
        <x:v>406</x:v>
      </x:c>
      <x:c r="O302" s="24">
        <x:f>IFERROR(INDEX('تطبیق کل'!$J:$J,MATCH(A302&amp;"",'تطبیق کل'!$A:$A,0))&amp;"","")</x:f>
      </x:c>
      <x:c r="P302" s="24"/>
      <x:c r="Q302" s="24" t="s">
        <x:v>198</x:v>
      </x:c>
      <x:c r="R302" s="25"/>
      <x:c r="S302" s="26"/>
      <x:c r="T302" s="22">
        <x:f>IF(S302="","",IFERROR(INDEX('درخت جدید'!$C:$C,MATCH(S302&amp;"",'درخت جدید'!$B:$B,0)),"—"))</x:f>
      </x:c>
      <x:c r="U302" s="22">
        <x:f>IF(S302="",IF(N302="بله","الزامی — تکمیل نشده",""),IF(AND(O302&lt;&gt;"",LEFT(S302&amp;"",4)&lt;&gt;O302),"زیر کل دیگری است — کل یا معین را اصلاح کنید",IF(COUNTIFS('درخت جدید'!$B:$B,S302&amp;"",'درخت جدید'!$A:$A,"معین")=0,IF(V302="","کد در درخت نیست — نام برای تعریف را بنویسید","OK"),"OK")))</x:f>
      </x:c>
      <x:c r="V302" s="27"/>
      <x:c r="W302" s="28"/>
    </x:row>
    <x:row r="303" spans="1:23">
      <x:c r="A303" s="21" t="s">
        <x:v>163</x:v>
      </x:c>
      <x:c r="B303" s="22" t="s">
        <x:v>380</x:v>
      </x:c>
      <x:c r="C303" s="22" t="s">
        <x:v>164</x:v>
      </x:c>
      <x:c r="D303" s="22" t="s">
        <x:v>598</x:v>
      </x:c>
      <x:c r="E303" s="22" t="s">
        <x:v>195</x:v>
      </x:c>
      <x:c r="F303" s="22" t="s">
        <x:v>195</x:v>
      </x:c>
      <x:c r="G303" s="22" t="s">
        <x:v>201</x:v>
      </x:c>
      <x:c r="H303" s="22">
        <x:v>1</x:v>
      </x:c>
      <x:c r="I303" s="22">
        <x:v>0</x:v>
      </x:c>
      <x:c r="J303" s="22">
        <x:v>0</x:v>
      </x:c>
      <x:c r="K303" s="23">
        <x:v>0</x:v>
      </x:c>
      <x:c r="L303" s="23">
        <x:v>0</x:v>
      </x:c>
      <x:c r="M303" s="23">
        <x:f>K303-L303</x:f>
      </x:c>
      <x:c r="N303" s="22" t="s">
        <x:v>406</x:v>
      </x:c>
      <x:c r="O303" s="24">
        <x:f>IFERROR(INDEX('تطبیق کل'!$J:$J,MATCH(A303&amp;"",'تطبیق کل'!$A:$A,0))&amp;"","")</x:f>
      </x:c>
      <x:c r="P303" s="24"/>
      <x:c r="Q303" s="24" t="s">
        <x:v>198</x:v>
      </x:c>
      <x:c r="R303" s="25"/>
      <x:c r="S303" s="26"/>
      <x:c r="T303" s="22">
        <x:f>IF(S303="","",IFERROR(INDEX('درخت جدید'!$C:$C,MATCH(S303&amp;"",'درخت جدید'!$B:$B,0)),"—"))</x:f>
      </x:c>
      <x:c r="U303" s="22">
        <x:f>IF(S303="",IF(N303="بله","الزامی — تکمیل نشده",""),IF(AND(O303&lt;&gt;"",LEFT(S303&amp;"",4)&lt;&gt;O303),"زیر کل دیگری است — کل یا معین را اصلاح کنید",IF(COUNTIFS('درخت جدید'!$B:$B,S303&amp;"",'درخت جدید'!$A:$A,"معین")=0,IF(V303="","کد در درخت نیست — نام برای تعریف را بنویسید","OK"),"OK")))</x:f>
      </x:c>
      <x:c r="V303" s="27"/>
      <x:c r="W303" s="28"/>
    </x:row>
    <x:row r="304" spans="1:23">
      <x:c r="A304" s="21" t="s">
        <x:v>163</x:v>
      </x:c>
      <x:c r="B304" s="22" t="s">
        <x:v>599</x:v>
      </x:c>
      <x:c r="C304" s="22" t="s">
        <x:v>164</x:v>
      </x:c>
      <x:c r="D304" s="22" t="s">
        <x:v>600</x:v>
      </x:c>
      <x:c r="E304" s="22" t="s">
        <x:v>195</x:v>
      </x:c>
      <x:c r="F304" s="22" t="s">
        <x:v>195</x:v>
      </x:c>
      <x:c r="G304" s="22" t="s">
        <x:v>201</x:v>
      </x:c>
      <x:c r="H304" s="22">
        <x:v>1</x:v>
      </x:c>
      <x:c r="I304" s="22">
        <x:v>0</x:v>
      </x:c>
      <x:c r="J304" s="22">
        <x:v>0</x:v>
      </x:c>
      <x:c r="K304" s="23">
        <x:v>0</x:v>
      </x:c>
      <x:c r="L304" s="23">
        <x:v>0</x:v>
      </x:c>
      <x:c r="M304" s="23">
        <x:f>K304-L304</x:f>
      </x:c>
      <x:c r="N304" s="22" t="s">
        <x:v>406</x:v>
      </x:c>
      <x:c r="O304" s="24">
        <x:f>IFERROR(INDEX('تطبیق کل'!$J:$J,MATCH(A304&amp;"",'تطبیق کل'!$A:$A,0))&amp;"","")</x:f>
      </x:c>
      <x:c r="P304" s="24"/>
      <x:c r="Q304" s="24" t="s">
        <x:v>198</x:v>
      </x:c>
      <x:c r="R304" s="25"/>
      <x:c r="S304" s="26"/>
      <x:c r="T304" s="22">
        <x:f>IF(S304="","",IFERROR(INDEX('درخت جدید'!$C:$C,MATCH(S304&amp;"",'درخت جدید'!$B:$B,0)),"—"))</x:f>
      </x:c>
      <x:c r="U304" s="22">
        <x:f>IF(S304="",IF(N304="بله","الزامی — تکمیل نشده",""),IF(AND(O304&lt;&gt;"",LEFT(S304&amp;"",4)&lt;&gt;O304),"زیر کل دیگری است — کل یا معین را اصلاح کنید",IF(COUNTIFS('درخت جدید'!$B:$B,S304&amp;"",'درخت جدید'!$A:$A,"معین")=0,IF(V304="","کد در درخت نیست — نام برای تعریف را بنویسید","OK"),"OK")))</x:f>
      </x:c>
      <x:c r="V304" s="27"/>
      <x:c r="W304" s="28"/>
    </x:row>
    <x:row r="305" spans="1:23">
      <x:c r="A305" s="21" t="s">
        <x:v>167</x:v>
      </x:c>
      <x:c r="B305" s="22" t="s">
        <x:v>204</x:v>
      </x:c>
      <x:c r="C305" s="22" t="s">
        <x:v>168</x:v>
      </x:c>
      <x:c r="D305" s="22" t="s">
        <x:v>601</x:v>
      </x:c>
      <x:c r="E305" s="22" t="s">
        <x:v>196</x:v>
      </x:c>
      <x:c r="F305" s="22" t="s">
        <x:v>195</x:v>
      </x:c>
      <x:c r="G305" s="22" t="s">
        <x:v>201</x:v>
      </x:c>
      <x:c r="H305" s="22">
        <x:v>2</x:v>
      </x:c>
      <x:c r="I305" s="22">
        <x:v>0</x:v>
      </x:c>
      <x:c r="J305" s="22">
        <x:v>0</x:v>
      </x:c>
      <x:c r="K305" s="23">
        <x:v>0</x:v>
      </x:c>
      <x:c r="L305" s="23">
        <x:v>0</x:v>
      </x:c>
      <x:c r="M305" s="23">
        <x:f>K305-L305</x:f>
      </x:c>
      <x:c r="N305" s="22" t="s">
        <x:v>406</x:v>
      </x:c>
      <x:c r="O305" s="24">
        <x:f>IFERROR(INDEX('تطبیق کل'!$J:$J,MATCH(A305&amp;"",'تطبیق کل'!$A:$A,0))&amp;"","")</x:f>
      </x:c>
      <x:c r="P305" s="24"/>
      <x:c r="Q305" s="24" t="s">
        <x:v>198</x:v>
      </x:c>
      <x:c r="R305" s="25"/>
      <x:c r="S305" s="26"/>
      <x:c r="T305" s="22">
        <x:f>IF(S305="","",IFERROR(INDEX('درخت جدید'!$C:$C,MATCH(S305&amp;"",'درخت جدید'!$B:$B,0)),"—"))</x:f>
      </x:c>
      <x:c r="U305" s="22">
        <x:f>IF(S305="",IF(N305="بله","الزامی — تکمیل نشده",""),IF(AND(O305&lt;&gt;"",LEFT(S305&amp;"",4)&lt;&gt;O305),"زیر کل دیگری است — کل یا معین را اصلاح کنید",IF(COUNTIFS('درخت جدید'!$B:$B,S305&amp;"",'درخت جدید'!$A:$A,"معین")=0,IF(V305="","کد در درخت نیست — نام برای تعریف را بنویسید","OK"),"OK")))</x:f>
      </x:c>
      <x:c r="V305" s="27"/>
      <x:c r="W305" s="28"/>
    </x:row>
    <x:row r="306" spans="1:23">
      <x:c r="A306" s="21" t="s">
        <x:v>167</x:v>
      </x:c>
      <x:c r="B306" s="22" t="s">
        <x:v>18</x:v>
      </x:c>
      <x:c r="C306" s="22" t="s">
        <x:v>168</x:v>
      </x:c>
      <x:c r="D306" s="22" t="s">
        <x:v>602</x:v>
      </x:c>
      <x:c r="E306" s="22" t="s">
        <x:v>196</x:v>
      </x:c>
      <x:c r="F306" s="22" t="s">
        <x:v>195</x:v>
      </x:c>
      <x:c r="G306" s="22" t="s">
        <x:v>201</x:v>
      </x:c>
      <x:c r="H306" s="22">
        <x:v>1</x:v>
      </x:c>
      <x:c r="I306" s="22">
        <x:v>0</x:v>
      </x:c>
      <x:c r="J306" s="22">
        <x:v>0</x:v>
      </x:c>
      <x:c r="K306" s="23">
        <x:v>0</x:v>
      </x:c>
      <x:c r="L306" s="23">
        <x:v>0</x:v>
      </x:c>
      <x:c r="M306" s="23">
        <x:f>K306-L306</x:f>
      </x:c>
      <x:c r="N306" s="22" t="s">
        <x:v>406</x:v>
      </x:c>
      <x:c r="O306" s="24">
        <x:f>IFERROR(INDEX('تطبیق کل'!$J:$J,MATCH(A306&amp;"",'تطبیق کل'!$A:$A,0))&amp;"","")</x:f>
      </x:c>
      <x:c r="P306" s="24"/>
      <x:c r="Q306" s="24" t="s">
        <x:v>198</x:v>
      </x:c>
      <x:c r="R306" s="25"/>
      <x:c r="S306" s="26"/>
      <x:c r="T306" s="22">
        <x:f>IF(S306="","",IFERROR(INDEX('درخت جدید'!$C:$C,MATCH(S306&amp;"",'درخت جدید'!$B:$B,0)),"—"))</x:f>
      </x:c>
      <x:c r="U306" s="22">
        <x:f>IF(S306="",IF(N306="بله","الزامی — تکمیل نشده",""),IF(AND(O306&lt;&gt;"",LEFT(S306&amp;"",4)&lt;&gt;O306),"زیر کل دیگری است — کل یا معین را اصلاح کنید",IF(COUNTIFS('درخت جدید'!$B:$B,S306&amp;"",'درخت جدید'!$A:$A,"معین")=0,IF(V306="","کد در درخت نیست — نام برای تعریف را بنویسید","OK"),"OK")))</x:f>
      </x:c>
      <x:c r="V306" s="27"/>
      <x:c r="W306" s="28"/>
    </x:row>
    <x:row r="307" spans="1:23">
      <x:c r="A307" s="21" t="s">
        <x:v>167</x:v>
      </x:c>
      <x:c r="B307" s="22" t="s">
        <x:v>21</x:v>
      </x:c>
      <x:c r="C307" s="22" t="s">
        <x:v>168</x:v>
      </x:c>
      <x:c r="D307" s="22" t="s">
        <x:v>603</x:v>
      </x:c>
      <x:c r="E307" s="22" t="s">
        <x:v>196</x:v>
      </x:c>
      <x:c r="F307" s="22" t="s">
        <x:v>195</x:v>
      </x:c>
      <x:c r="G307" s="22" t="s">
        <x:v>201</x:v>
      </x:c>
      <x:c r="H307" s="22">
        <x:v>1</x:v>
      </x:c>
      <x:c r="I307" s="22">
        <x:v>0</x:v>
      </x:c>
      <x:c r="J307" s="22">
        <x:v>0</x:v>
      </x:c>
      <x:c r="K307" s="23">
        <x:v>0</x:v>
      </x:c>
      <x:c r="L307" s="23">
        <x:v>0</x:v>
      </x:c>
      <x:c r="M307" s="23">
        <x:f>K307-L307</x:f>
      </x:c>
      <x:c r="N307" s="22" t="s">
        <x:v>406</x:v>
      </x:c>
      <x:c r="O307" s="24">
        <x:f>IFERROR(INDEX('تطبیق کل'!$J:$J,MATCH(A307&amp;"",'تطبیق کل'!$A:$A,0))&amp;"","")</x:f>
      </x:c>
      <x:c r="P307" s="24"/>
      <x:c r="Q307" s="24" t="s">
        <x:v>198</x:v>
      </x:c>
      <x:c r="R307" s="25"/>
      <x:c r="S307" s="26"/>
      <x:c r="T307" s="22">
        <x:f>IF(S307="","",IFERROR(INDEX('درخت جدید'!$C:$C,MATCH(S307&amp;"",'درخت جدید'!$B:$B,0)),"—"))</x:f>
      </x:c>
      <x:c r="U307" s="22">
        <x:f>IF(S307="",IF(N307="بله","الزامی — تکمیل نشده",""),IF(AND(O307&lt;&gt;"",LEFT(S307&amp;"",4)&lt;&gt;O307),"زیر کل دیگری است — کل یا معین را اصلاح کنید",IF(COUNTIFS('درخت جدید'!$B:$B,S307&amp;"",'درخت جدید'!$A:$A,"معین")=0,IF(V307="","کد در درخت نیست — نام برای تعریف را بنویسید","OK"),"OK")))</x:f>
      </x:c>
      <x:c r="V307" s="27"/>
      <x:c r="W307" s="28"/>
    </x:row>
    <x:row r="308" spans="1:23">
      <x:c r="A308" s="21" t="s">
        <x:v>167</x:v>
      </x:c>
      <x:c r="B308" s="22" t="s">
        <x:v>24</x:v>
      </x:c>
      <x:c r="C308" s="22" t="s">
        <x:v>168</x:v>
      </x:c>
      <x:c r="D308" s="22" t="s">
        <x:v>604</x:v>
      </x:c>
      <x:c r="E308" s="22" t="s">
        <x:v>196</x:v>
      </x:c>
      <x:c r="F308" s="22" t="s">
        <x:v>195</x:v>
      </x:c>
      <x:c r="G308" s="22" t="s">
        <x:v>201</x:v>
      </x:c>
      <x:c r="H308" s="22">
        <x:v>1</x:v>
      </x:c>
      <x:c r="I308" s="22">
        <x:v>0</x:v>
      </x:c>
      <x:c r="J308" s="22">
        <x:v>0</x:v>
      </x:c>
      <x:c r="K308" s="23">
        <x:v>0</x:v>
      </x:c>
      <x:c r="L308" s="23">
        <x:v>0</x:v>
      </x:c>
      <x:c r="M308" s="23">
        <x:f>K308-L308</x:f>
      </x:c>
      <x:c r="N308" s="22" t="s">
        <x:v>406</x:v>
      </x:c>
      <x:c r="O308" s="24">
        <x:f>IFERROR(INDEX('تطبیق کل'!$J:$J,MATCH(A308&amp;"",'تطبیق کل'!$A:$A,0))&amp;"","")</x:f>
      </x:c>
      <x:c r="P308" s="24"/>
      <x:c r="Q308" s="24" t="s">
        <x:v>198</x:v>
      </x:c>
      <x:c r="R308" s="25"/>
      <x:c r="S308" s="26"/>
      <x:c r="T308" s="22">
        <x:f>IF(S308="","",IFERROR(INDEX('درخت جدید'!$C:$C,MATCH(S308&amp;"",'درخت جدید'!$B:$B,0)),"—"))</x:f>
      </x:c>
      <x:c r="U308" s="22">
        <x:f>IF(S308="",IF(N308="بله","الزامی — تکمیل نشده",""),IF(AND(O308&lt;&gt;"",LEFT(S308&amp;"",4)&lt;&gt;O308),"زیر کل دیگری است — کل یا معین را اصلاح کنید",IF(COUNTIFS('درخت جدید'!$B:$B,S308&amp;"",'درخت جدید'!$A:$A,"معین")=0,IF(V308="","کد در درخت نیست — نام برای تعریف را بنویسید","OK"),"OK")))</x:f>
      </x:c>
      <x:c r="V308" s="27"/>
      <x:c r="W308" s="28"/>
    </x:row>
    <x:row r="309" spans="1:23">
      <x:c r="A309" s="21" t="s">
        <x:v>167</x:v>
      </x:c>
      <x:c r="B309" s="22" t="s">
        <x:v>199</x:v>
      </x:c>
      <x:c r="C309" s="22" t="s">
        <x:v>168</x:v>
      </x:c>
      <x:c r="D309" s="22" t="s">
        <x:v>605</x:v>
      </x:c>
      <x:c r="E309" s="22" t="s">
        <x:v>196</x:v>
      </x:c>
      <x:c r="F309" s="22" t="s">
        <x:v>195</x:v>
      </x:c>
      <x:c r="G309" s="22" t="s">
        <x:v>201</x:v>
      </x:c>
      <x:c r="H309" s="22">
        <x:v>9</x:v>
      </x:c>
      <x:c r="I309" s="22">
        <x:v>0</x:v>
      </x:c>
      <x:c r="J309" s="22">
        <x:v>0</x:v>
      </x:c>
      <x:c r="K309" s="23">
        <x:v>0</x:v>
      </x:c>
      <x:c r="L309" s="23">
        <x:v>0</x:v>
      </x:c>
      <x:c r="M309" s="23">
        <x:f>K309-L309</x:f>
      </x:c>
      <x:c r="N309" s="22" t="s">
        <x:v>406</x:v>
      </x:c>
      <x:c r="O309" s="24">
        <x:f>IFERROR(INDEX('تطبیق کل'!$J:$J,MATCH(A309&amp;"",'تطبیق کل'!$A:$A,0))&amp;"","")</x:f>
      </x:c>
      <x:c r="P309" s="24"/>
      <x:c r="Q309" s="24" t="s">
        <x:v>198</x:v>
      </x:c>
      <x:c r="R309" s="25"/>
      <x:c r="S309" s="26"/>
      <x:c r="T309" s="22">
        <x:f>IF(S309="","",IFERROR(INDEX('درخت جدید'!$C:$C,MATCH(S309&amp;"",'درخت جدید'!$B:$B,0)),"—"))</x:f>
      </x:c>
      <x:c r="U309" s="22">
        <x:f>IF(S309="",IF(N309="بله","الزامی — تکمیل نشده",""),IF(AND(O309&lt;&gt;"",LEFT(S309&amp;"",4)&lt;&gt;O309),"زیر کل دیگری است — کل یا معین را اصلاح کنید",IF(COUNTIFS('درخت جدید'!$B:$B,S309&amp;"",'درخت جدید'!$A:$A,"معین")=0,IF(V309="","کد در درخت نیست — نام برای تعریف را بنویسید","OK"),"OK")))</x:f>
      </x:c>
      <x:c r="V309" s="27"/>
      <x:c r="W309" s="28"/>
    </x:row>
    <x:row r="310" spans="1:23">
      <x:c r="A310" s="21" t="s">
        <x:v>167</x:v>
      </x:c>
      <x:c r="B310" s="22" t="s">
        <x:v>53</x:v>
      </x:c>
      <x:c r="C310" s="22" t="s">
        <x:v>168</x:v>
      </x:c>
      <x:c r="D310" s="22" t="s">
        <x:v>606</x:v>
      </x:c>
      <x:c r="E310" s="22" t="s">
        <x:v>196</x:v>
      </x:c>
      <x:c r="F310" s="22" t="s">
        <x:v>195</x:v>
      </x:c>
      <x:c r="G310" s="22" t="s">
        <x:v>196</x:v>
      </x:c>
      <x:c r="H310" s="22">
        <x:v>3</x:v>
      </x:c>
      <x:c r="I310" s="22">
        <x:v>0</x:v>
      </x:c>
      <x:c r="J310" s="22">
        <x:v>0</x:v>
      </x:c>
      <x:c r="K310" s="23">
        <x:v>0</x:v>
      </x:c>
      <x:c r="L310" s="23">
        <x:v>0</x:v>
      </x:c>
      <x:c r="M310" s="23">
        <x:f>K310-L310</x:f>
      </x:c>
      <x:c r="N310" s="22" t="s">
        <x:v>406</x:v>
      </x:c>
      <x:c r="O310" s="24">
        <x:f>IFERROR(INDEX('تطبیق کل'!$J:$J,MATCH(A310&amp;"",'تطبیق کل'!$A:$A,0))&amp;"","")</x:f>
      </x:c>
      <x:c r="P310" s="24"/>
      <x:c r="Q310" s="24" t="s">
        <x:v>198</x:v>
      </x:c>
      <x:c r="R310" s="25"/>
      <x:c r="S310" s="26"/>
      <x:c r="T310" s="22">
        <x:f>IF(S310="","",IFERROR(INDEX('درخت جدید'!$C:$C,MATCH(S310&amp;"",'درخت جدید'!$B:$B,0)),"—"))</x:f>
      </x:c>
      <x:c r="U310" s="22">
        <x:f>IF(S310="",IF(N310="بله","الزامی — تکمیل نشده",""),IF(AND(O310&lt;&gt;"",LEFT(S310&amp;"",4)&lt;&gt;O310),"زیر کل دیگری است — کل یا معین را اصلاح کنید",IF(COUNTIFS('درخت جدید'!$B:$B,S310&amp;"",'درخت جدید'!$A:$A,"معین")=0,IF(V310="","کد در درخت نیست — نام برای تعریف را بنویسید","OK"),"OK")))</x:f>
      </x:c>
      <x:c r="V310" s="27"/>
      <x:c r="W310" s="28"/>
    </x:row>
    <x:row r="311" spans="1:23">
      <x:c r="A311" s="21" t="s">
        <x:v>167</x:v>
      </x:c>
      <x:c r="B311" s="22" t="s">
        <x:v>378</x:v>
      </x:c>
      <x:c r="C311" s="22" t="s">
        <x:v>168</x:v>
      </x:c>
      <x:c r="D311" s="22" t="s">
        <x:v>607</x:v>
      </x:c>
      <x:c r="E311" s="22" t="s">
        <x:v>196</x:v>
      </x:c>
      <x:c r="F311" s="22" t="s">
        <x:v>195</x:v>
      </x:c>
      <x:c r="G311" s="22" t="s">
        <x:v>201</x:v>
      </x:c>
      <x:c r="H311" s="22">
        <x:v>1</x:v>
      </x:c>
      <x:c r="I311" s="22">
        <x:v>0</x:v>
      </x:c>
      <x:c r="J311" s="22">
        <x:v>0</x:v>
      </x:c>
      <x:c r="K311" s="23">
        <x:v>0</x:v>
      </x:c>
      <x:c r="L311" s="23">
        <x:v>0</x:v>
      </x:c>
      <x:c r="M311" s="23">
        <x:f>K311-L311</x:f>
      </x:c>
      <x:c r="N311" s="22" t="s">
        <x:v>406</x:v>
      </x:c>
      <x:c r="O311" s="24">
        <x:f>IFERROR(INDEX('تطبیق کل'!$J:$J,MATCH(A311&amp;"",'تطبیق کل'!$A:$A,0))&amp;"","")</x:f>
      </x:c>
      <x:c r="P311" s="24"/>
      <x:c r="Q311" s="24" t="s">
        <x:v>198</x:v>
      </x:c>
      <x:c r="R311" s="25"/>
      <x:c r="S311" s="26"/>
      <x:c r="T311" s="22">
        <x:f>IF(S311="","",IFERROR(INDEX('درخت جدید'!$C:$C,MATCH(S311&amp;"",'درخت جدید'!$B:$B,0)),"—"))</x:f>
      </x:c>
      <x:c r="U311" s="22">
        <x:f>IF(S311="",IF(N311="بله","الزامی — تکمیل نشده",""),IF(AND(O311&lt;&gt;"",LEFT(S311&amp;"",4)&lt;&gt;O311),"زیر کل دیگری است — کل یا معین را اصلاح کنید",IF(COUNTIFS('درخت جدید'!$B:$B,S311&amp;"",'درخت جدید'!$A:$A,"معین")=0,IF(V311="","کد در درخت نیست — نام برای تعریف را بنویسید","OK"),"OK")))</x:f>
      </x:c>
      <x:c r="V311" s="27"/>
      <x:c r="W311" s="28"/>
    </x:row>
    <x:row r="312" spans="1:23">
      <x:c r="A312" s="21" t="s">
        <x:v>167</x:v>
      </x:c>
      <x:c r="B312" s="22" t="s">
        <x:v>380</x:v>
      </x:c>
      <x:c r="C312" s="22" t="s">
        <x:v>168</x:v>
      </x:c>
      <x:c r="D312" s="22" t="s">
        <x:v>598</x:v>
      </x:c>
      <x:c r="E312" s="22" t="s">
        <x:v>196</x:v>
      </x:c>
      <x:c r="F312" s="22" t="s">
        <x:v>195</x:v>
      </x:c>
      <x:c r="G312" s="22" t="s">
        <x:v>201</x:v>
      </x:c>
      <x:c r="H312" s="22">
        <x:v>1</x:v>
      </x:c>
      <x:c r="I312" s="22">
        <x:v>0</x:v>
      </x:c>
      <x:c r="J312" s="22">
        <x:v>0</x:v>
      </x:c>
      <x:c r="K312" s="23">
        <x:v>0</x:v>
      </x:c>
      <x:c r="L312" s="23">
        <x:v>0</x:v>
      </x:c>
      <x:c r="M312" s="23">
        <x:f>K312-L312</x:f>
      </x:c>
      <x:c r="N312" s="22" t="s">
        <x:v>406</x:v>
      </x:c>
      <x:c r="O312" s="24">
        <x:f>IFERROR(INDEX('تطبیق کل'!$J:$J,MATCH(A312&amp;"",'تطبیق کل'!$A:$A,0))&amp;"","")</x:f>
      </x:c>
      <x:c r="P312" s="24"/>
      <x:c r="Q312" s="24" t="s">
        <x:v>198</x:v>
      </x:c>
      <x:c r="R312" s="25"/>
      <x:c r="S312" s="26"/>
      <x:c r="T312" s="22">
        <x:f>IF(S312="","",IFERROR(INDEX('درخت جدید'!$C:$C,MATCH(S312&amp;"",'درخت جدید'!$B:$B,0)),"—"))</x:f>
      </x:c>
      <x:c r="U312" s="22">
        <x:f>IF(S312="",IF(N312="بله","الزامی — تکمیل نشده",""),IF(AND(O312&lt;&gt;"",LEFT(S312&amp;"",4)&lt;&gt;O312),"زیر کل دیگری است — کل یا معین را اصلاح کنید",IF(COUNTIFS('درخت جدید'!$B:$B,S312&amp;"",'درخت جدید'!$A:$A,"معین")=0,IF(V312="","کد در درخت نیست — نام برای تعریف را بنویسید","OK"),"OK")))</x:f>
      </x:c>
      <x:c r="V312" s="27"/>
      <x:c r="W312" s="28"/>
    </x:row>
    <x:row r="313" spans="1:23">
      <x:c r="A313" s="29" t="s">
        <x:v>167</x:v>
      </x:c>
      <x:c r="B313" s="30" t="s">
        <x:v>599</x:v>
      </x:c>
      <x:c r="C313" s="30" t="s">
        <x:v>168</x:v>
      </x:c>
      <x:c r="D313" s="30" t="s">
        <x:v>608</x:v>
      </x:c>
      <x:c r="E313" s="30" t="s">
        <x:v>196</x:v>
      </x:c>
      <x:c r="F313" s="30" t="s">
        <x:v>195</x:v>
      </x:c>
      <x:c r="G313" s="30" t="s">
        <x:v>201</x:v>
      </x:c>
      <x:c r="H313" s="30">
        <x:v>1</x:v>
      </x:c>
      <x:c r="I313" s="30">
        <x:v>0</x:v>
      </x:c>
      <x:c r="J313" s="30">
        <x:v>0</x:v>
      </x:c>
      <x:c r="K313" s="31">
        <x:v>0</x:v>
      </x:c>
      <x:c r="L313" s="31">
        <x:v>0</x:v>
      </x:c>
      <x:c r="M313" s="31">
        <x:f>K313-L313</x:f>
      </x:c>
      <x:c r="N313" s="30" t="s">
        <x:v>406</x:v>
      </x:c>
      <x:c r="O313" s="32">
        <x:f>IFERROR(INDEX('تطبیق کل'!$J:$J,MATCH(A313&amp;"",'تطبیق کل'!$A:$A,0))&amp;"","")</x:f>
      </x:c>
      <x:c r="P313" s="32"/>
      <x:c r="Q313" s="32" t="s">
        <x:v>198</x:v>
      </x:c>
      <x:c r="R313" s="33"/>
      <x:c r="S313" s="34"/>
      <x:c r="T313" s="30">
        <x:f>IF(S313="","",IFERROR(INDEX('درخت جدید'!$C:$C,MATCH(S313&amp;"",'درخت جدید'!$B:$B,0)),"—"))</x:f>
      </x:c>
      <x:c r="U313" s="30">
        <x:f>IF(S313="",IF(N313="بله","الزامی — تکمیل نشده",""),IF(AND(O313&lt;&gt;"",LEFT(S313&amp;"",4)&lt;&gt;O313),"زیر کل دیگری است — کل یا معین را اصلاح کنید",IF(COUNTIFS('درخت جدید'!$B:$B,S313&amp;"",'درخت جدید'!$A:$A,"معین")=0,IF(V313="","کد در درخت نیست — نام برای تعریف را بنویسید","OK"),"OK")))</x:f>
      </x:c>
      <x:c r="V313" s="35"/>
      <x:c r="W313" s="36"/>
    </x:row>
  </x:sheetData>
  <x:autoFilter ref="A1:W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14"/>
  <x:sheetViews>
    <x:sheetView rightToLeft="1" workbookViewId="0">
      <x:pane xSplit="0" ySplit="1" topLeftCell="A2" activePane="bottomLeft" state="frozenSplit"/>
    </x:sheetView>
  </x:sheetViews>
  <x:sheetFormatPr defaultRowHeight="15"/>
  <x:cols>
    <x:col min="20"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30.710625" style="1" customWidth="1"/>
    <x:col min="18" max="18" width="26.710625" style="1" customWidth="1"/>
    <x:col min="19" max="19" width="30.710625" style="1" customWidth="1"/>
  </x:cols>
  <x:sheetData>
    <x:row r="1" spans="1:19" ht="45" customHeight="1">
      <x:c r="A1" s="11" t="s">
        <x:v>609</x:v>
      </x:c>
      <x:c r="B1" s="11" t="s">
        <x:v>0</x:v>
      </x:c>
      <x:c r="C1" s="11" t="s">
        <x:v>179</x:v>
      </x:c>
      <x:c r="D1" s="11" t="s">
        <x:v>610</x:v>
      </x:c>
      <x:c r="E1" s="11" t="s">
        <x:v>611</x:v>
      </x:c>
      <x:c r="F1" s="11" t="s">
        <x:v>180</x:v>
      </x:c>
      <x:c r="G1" s="11" t="s">
        <x:v>3</x:v>
      </x:c>
      <x:c r="H1" s="11" t="s">
        <x:v>4</x:v>
      </x:c>
      <x:c r="I1" s="11" t="s">
        <x:v>5</x:v>
      </x:c>
      <x:c r="J1" s="11" t="s">
        <x:v>186</x:v>
      </x:c>
      <x:c r="K1" s="11" t="s">
        <x:v>612</x:v>
      </x:c>
      <x:c r="L1" s="11" t="s">
        <x:v>613</x:v>
      </x:c>
      <x:c r="M1" s="11" t="s">
        <x:v>614</x:v>
      </x:c>
      <x:c r="N1" s="12" t="s">
        <x:v>615</x:v>
      </x:c>
      <x:c r="O1" s="12" t="s">
        <x:v>616</x:v>
      </x:c>
      <x:c r="P1" s="12" t="s">
        <x:v>617</x:v>
      </x:c>
      <x:c r="Q1" s="12" t="s">
        <x:v>618</x:v>
      </x:c>
      <x:c r="R1" s="11" t="s">
        <x:v>11</x:v>
      </x:c>
      <x:c r="S1" s="12" t="s">
        <x:v>13</x:v>
      </x:c>
    </x:row>
    <x:row r="2" spans="1:19">
      <x:c r="A2" s="13">
        <x:v>3</x:v>
      </x:c>
      <x:c r="B2" s="14" t="s">
        <x:v>14</x:v>
      </x:c>
      <x:c r="C2" s="14" t="s">
        <x:v>193</x:v>
      </x:c>
      <x:c r="D2" s="14" t="s">
        <x:v>619</x:v>
      </x:c>
      <x:c r="E2" s="14" t="s">
        <x:v>194</x:v>
      </x:c>
      <x:c r="F2" s="14" t="s">
        <x:v>194</x:v>
      </x:c>
      <x:c r="G2" s="14">
        <x:v>1</x:v>
      </x:c>
      <x:c r="H2" s="15">
        <x:v>0</x:v>
      </x:c>
      <x:c r="I2" s="15">
        <x:v>700000</x:v>
      </x:c>
      <x:c r="J2" s="15">
        <x:f>H2-I2</x:f>
      </x:c>
      <x:c r="K2" s="14">
        <x:v>2</x:v>
      </x:c>
      <x:c r="L2" s="16" t="s">
        <x:v>620</x:v>
      </x:c>
      <x:c r="M2" s="16"/>
      <x:c r="N2" s="19" t="s">
        <x:v>620</x:v>
      </x:c>
      <x:c r="O2" s="19"/>
      <x:c r="P2" s="18"/>
      <x:c r="Q2" s="19"/>
      <x:c r="R2" s="14">
        <x:f>IF(N2="","تکمیل نشده",IF(N2="ادغام با تفصیلی دیگر",IF(O2="","کلید مقصد خالی است",IF(IFERROR(MATCH(O2*1,$A:$A,0),0)=0,"کلید مقصد در این فهرست نیست",IF(O2*1=A2,"ادغام با خودش","OK"))),"OK"))</x:f>
      </x:c>
      <x:c r="S2" s="20"/>
    </x:row>
    <x:row r="3" spans="1:19">
      <x:c r="A3" s="21">
        <x:v>3724</x:v>
      </x:c>
      <x:c r="B3" s="22" t="s">
        <x:v>14</x:v>
      </x:c>
      <x:c r="C3" s="22" t="s">
        <x:v>193</x:v>
      </x:c>
      <x:c r="D3" s="22" t="s">
        <x:v>621</x:v>
      </x:c>
      <x:c r="E3" s="22" t="s">
        <x:v>622</x:v>
      </x:c>
      <x:c r="F3" s="22" t="s">
        <x:v>194</x:v>
      </x:c>
      <x:c r="G3" s="22">
        <x:v>8</x:v>
      </x:c>
      <x:c r="H3" s="23">
        <x:v>11</x:v>
      </x:c>
      <x:c r="I3" s="23">
        <x:v>100000200003108</x:v>
      </x:c>
      <x:c r="J3" s="23">
        <x:f>H3-I3</x:f>
      </x:c>
      <x:c r="K3" s="22">
        <x:v>2</x:v>
      </x:c>
      <x:c r="L3" s="24" t="s">
        <x:v>623</x:v>
      </x:c>
      <x:c r="M3" s="24"/>
      <x:c r="N3" s="27" t="s">
        <x:v>623</x:v>
      </x:c>
      <x:c r="O3" s="27"/>
      <x:c r="P3" s="26"/>
      <x:c r="Q3" s="27"/>
      <x:c r="R3" s="22">
        <x:f>IF(N3="","تکمیل نشده",IF(N3="ادغام با تفصیلی دیگر",IF(O3="","کلید مقصد خالی است",IF(IFERROR(MATCH(O3*1,$A:$A,0),0)=0,"کلید مقصد در این فهرست نیست",IF(O3*1=A3,"ادغام با خودش","OK"))),"OK"))</x:f>
      </x:c>
      <x:c r="S3" s="28"/>
    </x:row>
    <x:row r="4" spans="1:19">
      <x:c r="A4" s="21">
        <x:v>4</x:v>
      </x:c>
      <x:c r="B4" s="22" t="s">
        <x:v>14</x:v>
      </x:c>
      <x:c r="C4" s="22" t="s">
        <x:v>193</x:v>
      </x:c>
      <x:c r="D4" s="22" t="s">
        <x:v>624</x:v>
      </x:c>
      <x:c r="E4" s="22" t="s">
        <x:v>194</x:v>
      </x:c>
      <x:c r="F4" s="22" t="s">
        <x:v>194</x:v>
      </x:c>
      <x:c r="G4" s="22">
        <x:v>9</x:v>
      </x:c>
      <x:c r="H4" s="23">
        <x:v>10030</x:v>
      </x:c>
      <x:c r="I4" s="23">
        <x:v>9750158</x:v>
      </x:c>
      <x:c r="J4" s="23">
        <x:f>H4-I4</x:f>
      </x:c>
      <x:c r="K4" s="22">
        <x:v>2</x:v>
      </x:c>
      <x:c r="L4" s="24" t="s">
        <x:v>620</x:v>
      </x:c>
      <x:c r="M4" s="24"/>
      <x:c r="N4" s="27" t="s">
        <x:v>620</x:v>
      </x:c>
      <x:c r="O4" s="27"/>
      <x:c r="P4" s="26"/>
      <x:c r="Q4" s="27"/>
      <x:c r="R4" s="22">
        <x:f>IF(N4="","تکمیل نشده",IF(N4="ادغام با تفصیلی دیگر",IF(O4="","کلید مقصد خالی است",IF(IFERROR(MATCH(O4*1,$A:$A,0),0)=0,"کلید مقصد در این فهرست نیست",IF(O4*1=A4,"ادغام با خودش","OK"))),"OK"))</x:f>
      </x:c>
      <x:c r="S4" s="28"/>
    </x:row>
    <x:row r="5" spans="1:19">
      <x:c r="A5" s="21">
        <x:v>3816</x:v>
      </x:c>
      <x:c r="B5" s="22" t="s">
        <x:v>14</x:v>
      </x:c>
      <x:c r="C5" s="22" t="s">
        <x:v>193</x:v>
      </x:c>
      <x:c r="D5" s="22" t="s">
        <x:v>625</x:v>
      </x:c>
      <x:c r="E5" s="22" t="s">
        <x:v>626</x:v>
      </x:c>
      <x:c r="F5" s="22" t="s">
        <x:v>194</x:v>
      </x:c>
      <x:c r="G5" s="22">
        <x:v>2</x:v>
      </x:c>
      <x:c r="H5" s="23">
        <x:v>0</x:v>
      </x:c>
      <x:c r="I5" s="23">
        <x:v>9004</x:v>
      </x:c>
      <x:c r="J5" s="23">
        <x:f>H5-I5</x:f>
      </x:c>
      <x:c r="K5" s="22">
        <x:v>2</x:v>
      </x:c>
      <x:c r="L5" s="24" t="s">
        <x:v>623</x:v>
      </x:c>
      <x:c r="M5" s="24"/>
      <x:c r="N5" s="27" t="s">
        <x:v>623</x:v>
      </x:c>
      <x:c r="O5" s="27"/>
      <x:c r="P5" s="26"/>
      <x:c r="Q5" s="27"/>
      <x:c r="R5" s="22">
        <x:f>IF(N5="","تکمیل نشده",IF(N5="ادغام با تفصیلی دیگر",IF(O5="","کلید مقصد خالی است",IF(IFERROR(MATCH(O5*1,$A:$A,0),0)=0,"کلید مقصد در این فهرست نیست",IF(O5*1=A5,"ادغام با خودش","OK"))),"OK"))</x:f>
      </x:c>
      <x:c r="S5" s="28"/>
    </x:row>
    <x:row r="6" spans="1:19">
      <x:c r="A6" s="21">
        <x:v>9</x:v>
      </x:c>
      <x:c r="B6" s="22" t="s">
        <x:v>24</x:v>
      </x:c>
      <x:c r="C6" s="22" t="s">
        <x:v>199</x:v>
      </x:c>
      <x:c r="D6" s="22" t="s">
        <x:v>619</x:v>
      </x:c>
      <x:c r="E6" s="22" t="s">
        <x:v>200</x:v>
      </x:c>
      <x:c r="F6" s="22" t="s">
        <x:v>200</x:v>
      </x:c>
      <x:c r="G6" s="22">
        <x:v>1</x:v>
      </x:c>
      <x:c r="H6" s="23">
        <x:v>0</x:v>
      </x:c>
      <x:c r="I6" s="23">
        <x:v>10</x:v>
      </x:c>
      <x:c r="J6" s="23">
        <x:f>H6-I6</x:f>
      </x:c>
      <x:c r="K6" s="22">
        <x:v>1</x:v>
      </x:c>
      <x:c r="L6" s="24" t="s">
        <x:v>620</x:v>
      </x:c>
      <x:c r="M6" s="24"/>
      <x:c r="N6" s="27" t="s">
        <x:v>620</x:v>
      </x:c>
      <x:c r="O6" s="27"/>
      <x:c r="P6" s="26"/>
      <x:c r="Q6" s="27"/>
      <x:c r="R6" s="22">
        <x:f>IF(N6="","تکمیل نشده",IF(N6="ادغام با تفصیلی دیگر",IF(O6="","کلید مقصد خالی است",IF(IFERROR(MATCH(O6*1,$A:$A,0),0)=0,"کلید مقصد در این فهرست نیست",IF(O6*1=A6,"ادغام با خودش","OK"))),"OK"))</x:f>
      </x:c>
      <x:c r="S6" s="28"/>
    </x:row>
    <x:row r="7" spans="1:19">
      <x:c r="A7" s="21">
        <x:v>23</x:v>
      </x:c>
      <x:c r="B7" s="22" t="s">
        <x:v>30</x:v>
      </x:c>
      <x:c r="C7" s="22" t="s">
        <x:v>202</x:v>
      </x:c>
      <x:c r="D7" s="22" t="s">
        <x:v>627</x:v>
      </x:c>
      <x:c r="E7" s="22" t="s">
        <x:v>628</x:v>
      </x:c>
      <x:c r="F7" s="22" t="s">
        <x:v>203</x:v>
      </x:c>
      <x:c r="G7" s="22">
        <x:v>129</x:v>
      </x:c>
      <x:c r="H7" s="23">
        <x:v>15454464736</x:v>
      </x:c>
      <x:c r="I7" s="23">
        <x:v>34561474393</x:v>
      </x:c>
      <x:c r="J7" s="23">
        <x:f>H7-I7</x:f>
      </x:c>
      <x:c r="K7" s="22">
        <x:v>1</x:v>
      </x:c>
      <x:c r="L7" s="24" t="s">
        <x:v>623</x:v>
      </x:c>
      <x:c r="M7" s="24"/>
      <x:c r="N7" s="27" t="s">
        <x:v>623</x:v>
      </x:c>
      <x:c r="O7" s="27"/>
      <x:c r="P7" s="26"/>
      <x:c r="Q7" s="27"/>
      <x:c r="R7" s="22">
        <x:f>IF(N7="","تکمیل نشده",IF(N7="ادغام با تفصیلی دیگر",IF(O7="","کلید مقصد خالی است",IF(IFERROR(MATCH(O7*1,$A:$A,0),0)=0,"کلید مقصد در این فهرست نیست",IF(O7*1=A7,"ادغام با خودش","OK"))),"OK"))</x:f>
      </x:c>
      <x:c r="S7" s="28"/>
    </x:row>
    <x:row r="8" spans="1:19">
      <x:c r="A8" s="21">
        <x:v>56</x:v>
      </x:c>
      <x:c r="B8" s="22" t="s">
        <x:v>34</x:v>
      </x:c>
      <x:c r="C8" s="22" t="s">
        <x:v>204</x:v>
      </x:c>
      <x:c r="D8" s="22" t="s">
        <x:v>619</x:v>
      </x:c>
      <x:c r="E8" s="22" t="s">
        <x:v>205</x:v>
      </x:c>
      <x:c r="F8" s="22" t="s">
        <x:v>205</x:v>
      </x:c>
      <x:c r="G8" s="22">
        <x:v>2</x:v>
      </x:c>
      <x:c r="H8" s="23">
        <x:v>0</x:v>
      </x:c>
      <x:c r="I8" s="23">
        <x:v>2250</x:v>
      </x:c>
      <x:c r="J8" s="23">
        <x:f>H8-I8</x:f>
      </x:c>
      <x:c r="K8" s="22">
        <x:v>1</x:v>
      </x:c>
      <x:c r="L8" s="24" t="s">
        <x:v>620</x:v>
      </x:c>
      <x:c r="M8" s="24"/>
      <x:c r="N8" s="27" t="s">
        <x:v>620</x:v>
      </x:c>
      <x:c r="O8" s="27"/>
      <x:c r="P8" s="26"/>
      <x:c r="Q8" s="27"/>
      <x:c r="R8" s="22">
        <x:f>IF(N8="","تکمیل نشده",IF(N8="ادغام با تفصیلی دیگر",IF(O8="","کلید مقصد خالی است",IF(IFERROR(MATCH(O8*1,$A:$A,0),0)=0,"کلید مقصد در این فهرست نیست",IF(O8*1=A8,"ادغام با خودش","OK"))),"OK"))</x:f>
      </x:c>
      <x:c r="S8" s="28"/>
    </x:row>
    <x:row r="9" spans="1:19">
      <x:c r="A9" s="21">
        <x:v>62</x:v>
      </x:c>
      <x:c r="B9" s="22" t="s">
        <x:v>34</x:v>
      </x:c>
      <x:c r="C9" s="22" t="s">
        <x:v>30</x:v>
      </x:c>
      <x:c r="D9" s="22" t="s">
        <x:v>619</x:v>
      </x:c>
      <x:c r="E9" s="22" t="s">
        <x:v>206</x:v>
      </x:c>
      <x:c r="F9" s="22" t="s">
        <x:v>206</x:v>
      </x:c>
      <x:c r="G9" s="22">
        <x:v>7</x:v>
      </x:c>
      <x:c r="H9" s="23">
        <x:v>5350000</x:v>
      </x:c>
      <x:c r="I9" s="23">
        <x:v>26750010</x:v>
      </x:c>
      <x:c r="J9" s="23">
        <x:f>H9-I9</x:f>
      </x:c>
      <x:c r="K9" s="22">
        <x:v>1</x:v>
      </x:c>
      <x:c r="L9" s="24" t="s">
        <x:v>620</x:v>
      </x:c>
      <x:c r="M9" s="24"/>
      <x:c r="N9" s="27" t="s">
        <x:v>620</x:v>
      </x:c>
      <x:c r="O9" s="27"/>
      <x:c r="P9" s="26"/>
      <x:c r="Q9" s="27"/>
      <x:c r="R9" s="22">
        <x:f>IF(N9="","تکمیل نشده",IF(N9="ادغام با تفصیلی دیگر",IF(O9="","کلید مقصد خالی است",IF(IFERROR(MATCH(O9*1,$A:$A,0),0)=0,"کلید مقصد در این فهرست نیست",IF(O9*1=A9,"ادغام با خودش","OK"))),"OK"))</x:f>
      </x:c>
      <x:c r="S9" s="28"/>
    </x:row>
    <x:row r="10" spans="1:19">
      <x:c r="A10" s="21">
        <x:v>64</x:v>
      </x:c>
      <x:c r="B10" s="22" t="s">
        <x:v>34</x:v>
      </x:c>
      <x:c r="C10" s="22" t="s">
        <x:v>207</x:v>
      </x:c>
      <x:c r="D10" s="22" t="s">
        <x:v>619</x:v>
      </x:c>
      <x:c r="E10" s="22" t="s">
        <x:v>208</x:v>
      </x:c>
      <x:c r="F10" s="22" t="s">
        <x:v>208</x:v>
      </x:c>
      <x:c r="G10" s="22">
        <x:v>5</x:v>
      </x:c>
      <x:c r="H10" s="23">
        <x:v>69193000</x:v>
      </x:c>
      <x:c r="I10" s="23">
        <x:v>276772000</x:v>
      </x:c>
      <x:c r="J10" s="23">
        <x:f>H10-I10</x:f>
      </x:c>
      <x:c r="K10" s="22">
        <x:v>1</x:v>
      </x:c>
      <x:c r="L10" s="24" t="s">
        <x:v>620</x:v>
      </x:c>
      <x:c r="M10" s="24"/>
      <x:c r="N10" s="27" t="s">
        <x:v>620</x:v>
      </x:c>
      <x:c r="O10" s="27"/>
      <x:c r="P10" s="26"/>
      <x:c r="Q10" s="27"/>
      <x:c r="R10" s="22">
        <x:f>IF(N10="","تکمیل نشده",IF(N10="ادغام با تفصیلی دیگر",IF(O10="","کلید مقصد خالی است",IF(IFERROR(MATCH(O10*1,$A:$A,0),0)=0,"کلید مقصد در این فهرست نیست",IF(O10*1=A10,"ادغام با خودش","OK"))),"OK"))</x:f>
      </x:c>
      <x:c r="S10" s="28"/>
    </x:row>
    <x:row r="11" spans="1:19">
      <x:c r="A11" s="21">
        <x:v>68</x:v>
      </x:c>
      <x:c r="B11" s="22" t="s">
        <x:v>34</x:v>
      </x:c>
      <x:c r="C11" s="22" t="s">
        <x:v>209</x:v>
      </x:c>
      <x:c r="D11" s="22" t="s">
        <x:v>619</x:v>
      </x:c>
      <x:c r="E11" s="22" t="s">
        <x:v>210</x:v>
      </x:c>
      <x:c r="F11" s="22" t="s">
        <x:v>210</x:v>
      </x:c>
      <x:c r="G11" s="22">
        <x:v>5</x:v>
      </x:c>
      <x:c r="H11" s="23">
        <x:v>92734300</x:v>
      </x:c>
      <x:c r="I11" s="23">
        <x:v>370937200</x:v>
      </x:c>
      <x:c r="J11" s="23">
        <x:f>H11-I11</x:f>
      </x:c>
      <x:c r="K11" s="22">
        <x:v>1</x:v>
      </x:c>
      <x:c r="L11" s="24" t="s">
        <x:v>620</x:v>
      </x:c>
      <x:c r="M11" s="24"/>
      <x:c r="N11" s="27" t="s">
        <x:v>620</x:v>
      </x:c>
      <x:c r="O11" s="27"/>
      <x:c r="P11" s="26"/>
      <x:c r="Q11" s="27"/>
      <x:c r="R11" s="22">
        <x:f>IF(N11="","تکمیل نشده",IF(N11="ادغام با تفصیلی دیگر",IF(O11="","کلید مقصد خالی است",IF(IFERROR(MATCH(O11*1,$A:$A,0),0)=0,"کلید مقصد در این فهرست نیست",IF(O11*1=A11,"ادغام با خودش","OK"))),"OK"))</x:f>
      </x:c>
      <x:c r="S11" s="28"/>
    </x:row>
    <x:row r="12" spans="1:19">
      <x:c r="A12" s="21">
        <x:v>70</x:v>
      </x:c>
      <x:c r="B12" s="22" t="s">
        <x:v>34</x:v>
      </x:c>
      <x:c r="C12" s="22" t="s">
        <x:v>211</x:v>
      </x:c>
      <x:c r="D12" s="22" t="s">
        <x:v>619</x:v>
      </x:c>
      <x:c r="E12" s="22" t="s">
        <x:v>212</x:v>
      </x:c>
      <x:c r="F12" s="22" t="s">
        <x:v>212</x:v>
      </x:c>
      <x:c r="G12" s="22">
        <x:v>5</x:v>
      </x:c>
      <x:c r="H12" s="23">
        <x:v>5830000</x:v>
      </x:c>
      <x:c r="I12" s="23">
        <x:v>23320000</x:v>
      </x:c>
      <x:c r="J12" s="23">
        <x:f>H12-I12</x:f>
      </x:c>
      <x:c r="K12" s="22">
        <x:v>1</x:v>
      </x:c>
      <x:c r="L12" s="24" t="s">
        <x:v>620</x:v>
      </x:c>
      <x:c r="M12" s="24"/>
      <x:c r="N12" s="27" t="s">
        <x:v>620</x:v>
      </x:c>
      <x:c r="O12" s="27"/>
      <x:c r="P12" s="26"/>
      <x:c r="Q12" s="27"/>
      <x:c r="R12" s="22">
        <x:f>IF(N12="","تکمیل نشده",IF(N12="ادغام با تفصیلی دیگر",IF(O12="","کلید مقصد خالی است",IF(IFERROR(MATCH(O12*1,$A:$A,0),0)=0,"کلید مقصد در این فهرست نیست",IF(O12*1=A12,"ادغام با خودش","OK"))),"OK"))</x:f>
      </x:c>
      <x:c r="S12" s="28"/>
    </x:row>
    <x:row r="13" spans="1:19">
      <x:c r="A13" s="21">
        <x:v>74</x:v>
      </x:c>
      <x:c r="B13" s="22" t="s">
        <x:v>34</x:v>
      </x:c>
      <x:c r="C13" s="22" t="s">
        <x:v>213</x:v>
      </x:c>
      <x:c r="D13" s="22" t="s">
        <x:v>619</x:v>
      </x:c>
      <x:c r="E13" s="22" t="s">
        <x:v>214</x:v>
      </x:c>
      <x:c r="F13" s="22" t="s">
        <x:v>214</x:v>
      </x:c>
      <x:c r="G13" s="22">
        <x:v>17</x:v>
      </x:c>
      <x:c r="H13" s="23">
        <x:v>4496786944</x:v>
      </x:c>
      <x:c r="I13" s="23">
        <x:v>17706726176</x:v>
      </x:c>
      <x:c r="J13" s="23">
        <x:f>H13-I13</x:f>
      </x:c>
      <x:c r="K13" s="22">
        <x:v>1</x:v>
      </x:c>
      <x:c r="L13" s="24" t="s">
        <x:v>620</x:v>
      </x:c>
      <x:c r="M13" s="24"/>
      <x:c r="N13" s="27" t="s">
        <x:v>620</x:v>
      </x:c>
      <x:c r="O13" s="27"/>
      <x:c r="P13" s="26"/>
      <x:c r="Q13" s="27"/>
      <x:c r="R13" s="22">
        <x:f>IF(N13="","تکمیل نشده",IF(N13="ادغام با تفصیلی دیگر",IF(O13="","کلید مقصد خالی است",IF(IFERROR(MATCH(O13*1,$A:$A,0),0)=0,"کلید مقصد در این فهرست نیست",IF(O13*1=A13,"ادغام با خودش","OK"))),"OK"))</x:f>
      </x:c>
      <x:c r="S13" s="28"/>
    </x:row>
    <x:row r="14" spans="1:19">
      <x:c r="A14" s="21">
        <x:v>11467</x:v>
      </x:c>
      <x:c r="B14" s="22" t="s">
        <x:v>34</x:v>
      </x:c>
      <x:c r="C14" s="22" t="s">
        <x:v>215</x:v>
      </x:c>
      <x:c r="D14" s="22" t="s">
        <x:v>630</x:v>
      </x:c>
      <x:c r="E14" s="22" t="s">
        <x:v>227</x:v>
      </x:c>
      <x:c r="F14" s="22" t="s">
        <x:v>216</x:v>
      </x:c>
      <x:c r="G14" s="22">
        <x:v>1</x:v>
      </x:c>
      <x:c r="H14" s="23">
        <x:v>44000</x:v>
      </x:c>
      <x:c r="I14" s="23">
        <x:v>0</x:v>
      </x:c>
      <x:c r="J14" s="23">
        <x:f>H14-I14</x:f>
      </x:c>
      <x:c r="K14" s="22">
        <x:v>1</x:v>
      </x:c>
      <x:c r="L14" s="24" t="s">
        <x:v>623</x:v>
      </x:c>
      <x:c r="M14" s="24"/>
      <x:c r="N14" s="27" t="s">
        <x:v>623</x:v>
      </x:c>
      <x:c r="O14" s="27"/>
      <x:c r="P14" s="26"/>
      <x:c r="Q14" s="27"/>
      <x:c r="R14" s="22">
        <x:f>IF(N14="","تکمیل نشده",IF(N14="ادغام با تفصیلی دیگر",IF(O14="","کلید مقصد خالی است",IF(IFERROR(MATCH(O14*1,$A:$A,0),0)=0,"کلید مقصد در این فهرست نیست",IF(O14*1=A14,"ادغام با خودش","OK"))),"OK"))</x:f>
      </x:c>
      <x:c r="S14" s="28" t="s">
        <x:v>629</x:v>
      </x:c>
    </x:row>
    <x:row r="15" spans="1:19">
      <x:c r="A15" s="21">
        <x:v>94</x:v>
      </x:c>
      <x:c r="B15" s="22" t="s">
        <x:v>41</x:v>
      </x:c>
      <x:c r="C15" s="22" t="s">
        <x:v>14</x:v>
      </x:c>
      <x:c r="D15" s="22" t="s">
        <x:v>619</x:v>
      </x:c>
      <x:c r="E15" s="22" t="s">
        <x:v>217</x:v>
      </x:c>
      <x:c r="F15" s="22" t="s">
        <x:v>217</x:v>
      </x:c>
      <x:c r="G15" s="22">
        <x:v>5</x:v>
      </x:c>
      <x:c r="H15" s="23">
        <x:v>40137000</x:v>
      </x:c>
      <x:c r="I15" s="23">
        <x:v>160548000</x:v>
      </x:c>
      <x:c r="J15" s="23">
        <x:f>H15-I15</x:f>
      </x:c>
      <x:c r="K15" s="22">
        <x:v>1</x:v>
      </x:c>
      <x:c r="L15" s="24" t="s">
        <x:v>620</x:v>
      </x:c>
      <x:c r="M15" s="24"/>
      <x:c r="N15" s="27" t="s">
        <x:v>620</x:v>
      </x:c>
      <x:c r="O15" s="27"/>
      <x:c r="P15" s="26"/>
      <x:c r="Q15" s="27"/>
      <x:c r="R15" s="22">
        <x:f>IF(N15="","تکمیل نشده",IF(N15="ادغام با تفصیلی دیگر",IF(O15="","کلید مقصد خالی است",IF(IFERROR(MATCH(O15*1,$A:$A,0),0)=0,"کلید مقصد در این فهرست نیست",IF(O15*1=A15,"ادغام با خودش","OK"))),"OK"))</x:f>
      </x:c>
      <x:c r="S15" s="28"/>
    </x:row>
    <x:row r="16" spans="1:19">
      <x:c r="A16" s="21">
        <x:v>103</x:v>
      </x:c>
      <x:c r="B16" s="22" t="s">
        <x:v>41</x:v>
      </x:c>
      <x:c r="C16" s="22" t="s">
        <x:v>18</x:v>
      </x:c>
      <x:c r="D16" s="22" t="s">
        <x:v>619</x:v>
      </x:c>
      <x:c r="E16" s="22" t="s">
        <x:v>220</x:v>
      </x:c>
      <x:c r="F16" s="22" t="s">
        <x:v>220</x:v>
      </x:c>
      <x:c r="G16" s="22">
        <x:v>5</x:v>
      </x:c>
      <x:c r="H16" s="23">
        <x:v>3818000</x:v>
      </x:c>
      <x:c r="I16" s="23">
        <x:v>15272000</x:v>
      </x:c>
      <x:c r="J16" s="23">
        <x:f>H16-I16</x:f>
      </x:c>
      <x:c r="K16" s="22">
        <x:v>1</x:v>
      </x:c>
      <x:c r="L16" s="24" t="s">
        <x:v>620</x:v>
      </x:c>
      <x:c r="M16" s="24"/>
      <x:c r="N16" s="27" t="s">
        <x:v>620</x:v>
      </x:c>
      <x:c r="O16" s="27"/>
      <x:c r="P16" s="26"/>
      <x:c r="Q16" s="27"/>
      <x:c r="R16" s="22">
        <x:f>IF(N16="","تکمیل نشده",IF(N16="ادغام با تفصیلی دیگر",IF(O16="","کلید مقصد خالی است",IF(IFERROR(MATCH(O16*1,$A:$A,0),0)=0,"کلید مقصد در این فهرست نیست",IF(O16*1=A16,"ادغام با خودش","OK"))),"OK"))</x:f>
      </x:c>
      <x:c r="S16" s="28"/>
    </x:row>
    <x:row r="17" spans="1:19">
      <x:c r="A17" s="21">
        <x:v>11466</x:v>
      </x:c>
      <x:c r="B17" s="22" t="s">
        <x:v>45</x:v>
      </x:c>
      <x:c r="C17" s="22" t="s">
        <x:v>30</x:v>
      </x:c>
      <x:c r="D17" s="22" t="s">
        <x:v>630</x:v>
      </x:c>
      <x:c r="E17" s="22" t="s">
        <x:v>227</x:v>
      </x:c>
      <x:c r="F17" s="22" t="s">
        <x:v>221</x:v>
      </x:c>
      <x:c r="G17" s="22">
        <x:v>1</x:v>
      </x:c>
      <x:c r="H17" s="23">
        <x:v>3000</x:v>
      </x:c>
      <x:c r="I17" s="23">
        <x:v>0</x:v>
      </x:c>
      <x:c r="J17" s="23">
        <x:f>H17-I17</x:f>
      </x:c>
      <x:c r="K17" s="22">
        <x:v>1</x:v>
      </x:c>
      <x:c r="L17" s="24" t="s">
        <x:v>623</x:v>
      </x:c>
      <x:c r="M17" s="24"/>
      <x:c r="N17" s="27" t="s">
        <x:v>623</x:v>
      </x:c>
      <x:c r="O17" s="27"/>
      <x:c r="P17" s="26"/>
      <x:c r="Q17" s="27"/>
      <x:c r="R17" s="22">
        <x:f>IF(N17="","تکمیل نشده",IF(N17="ادغام با تفصیلی دیگر",IF(O17="","کلید مقصد خالی است",IF(IFERROR(MATCH(O17*1,$A:$A,0),0)=0,"کلید مقصد در این فهرست نیست",IF(O17*1=A17,"ادغام با خودش","OK"))),"OK"))</x:f>
      </x:c>
      <x:c r="S17" s="28" t="s">
        <x:v>629</x:v>
      </x:c>
    </x:row>
    <x:row r="18" spans="1:19">
      <x:c r="A18" s="21">
        <x:v>11468</x:v>
      </x:c>
      <x:c r="B18" s="22" t="s">
        <x:v>45</x:v>
      </x:c>
      <x:c r="C18" s="22" t="s">
        <x:v>30</x:v>
      </x:c>
      <x:c r="D18" s="22" t="s">
        <x:v>631</x:v>
      </x:c>
      <x:c r="E18" s="22" t="s">
        <x:v>227</x:v>
      </x:c>
      <x:c r="F18" s="22" t="s">
        <x:v>221</x:v>
      </x:c>
      <x:c r="G18" s="22">
        <x:v>1</x:v>
      </x:c>
      <x:c r="H18" s="23">
        <x:v>5</x:v>
      </x:c>
      <x:c r="I18" s="23">
        <x:v>0</x:v>
      </x:c>
      <x:c r="J18" s="23">
        <x:f>H18-I18</x:f>
      </x:c>
      <x:c r="K18" s="22">
        <x:v>1</x:v>
      </x:c>
      <x:c r="L18" s="24" t="s">
        <x:v>623</x:v>
      </x:c>
      <x:c r="M18" s="24"/>
      <x:c r="N18" s="27" t="s">
        <x:v>623</x:v>
      </x:c>
      <x:c r="O18" s="27"/>
      <x:c r="P18" s="26"/>
      <x:c r="Q18" s="27"/>
      <x:c r="R18" s="22">
        <x:f>IF(N18="","تکمیل نشده",IF(N18="ادغام با تفصیلی دیگر",IF(O18="","کلید مقصد خالی است",IF(IFERROR(MATCH(O18*1,$A:$A,0),0)=0,"کلید مقصد در این فهرست نیست",IF(O18*1=A18,"ادغام با خودش","OK"))),"OK"))</x:f>
      </x:c>
      <x:c r="S18" s="28" t="s">
        <x:v>629</x:v>
      </x:c>
    </x:row>
    <x:row r="19" spans="1:19">
      <x:c r="A19" s="21">
        <x:v>177</x:v>
      </x:c>
      <x:c r="B19" s="22" t="s">
        <x:v>45</x:v>
      </x:c>
      <x:c r="C19" s="22" t="s">
        <x:v>30</x:v>
      </x:c>
      <x:c r="D19" s="22" t="s">
        <x:v>632</x:v>
      </x:c>
      <x:c r="E19" s="22" t="s">
        <x:v>633</x:v>
      </x:c>
      <x:c r="F19" s="22" t="s">
        <x:v>221</x:v>
      </x:c>
      <x:c r="G19" s="22">
        <x:v>3</x:v>
      </x:c>
      <x:c r="H19" s="23">
        <x:v>94757576</x:v>
      </x:c>
      <x:c r="I19" s="23">
        <x:v>0</x:v>
      </x:c>
      <x:c r="J19" s="23">
        <x:f>H19-I19</x:f>
      </x:c>
      <x:c r="K19" s="22">
        <x:v>1</x:v>
      </x:c>
      <x:c r="L19" s="24" t="s">
        <x:v>623</x:v>
      </x:c>
      <x:c r="M19" s="24"/>
      <x:c r="N19" s="27" t="s">
        <x:v>623</x:v>
      </x:c>
      <x:c r="O19" s="27"/>
      <x:c r="P19" s="26"/>
      <x:c r="Q19" s="27"/>
      <x:c r="R19" s="22">
        <x:f>IF(N19="","تکمیل نشده",IF(N19="ادغام با تفصیلی دیگر",IF(O19="","کلید مقصد خالی است",IF(IFERROR(MATCH(O19*1,$A:$A,0),0)=0,"کلید مقصد در این فهرست نیست",IF(O19*1=A19,"ادغام با خودش","OK"))),"OK"))</x:f>
      </x:c>
      <x:c r="S19" s="28"/>
    </x:row>
    <x:row r="20" spans="1:19">
      <x:c r="A20" s="21">
        <x:v>178</x:v>
      </x:c>
      <x:c r="B20" s="22" t="s">
        <x:v>45</x:v>
      </x:c>
      <x:c r="C20" s="22" t="s">
        <x:v>30</x:v>
      </x:c>
      <x:c r="D20" s="22" t="s">
        <x:v>634</x:v>
      </x:c>
      <x:c r="E20" s="22" t="s">
        <x:v>635</x:v>
      </x:c>
      <x:c r="F20" s="22" t="s">
        <x:v>221</x:v>
      </x:c>
      <x:c r="G20" s="22">
        <x:v>8</x:v>
      </x:c>
      <x:c r="H20" s="23">
        <x:v>39729117</x:v>
      </x:c>
      <x:c r="I20" s="23">
        <x:v>93955169</x:v>
      </x:c>
      <x:c r="J20" s="23">
        <x:f>H20-I20</x:f>
      </x:c>
      <x:c r="K20" s="22">
        <x:v>1</x:v>
      </x:c>
      <x:c r="L20" s="24" t="s">
        <x:v>623</x:v>
      </x:c>
      <x:c r="M20" s="24"/>
      <x:c r="N20" s="27" t="s">
        <x:v>623</x:v>
      </x:c>
      <x:c r="O20" s="27"/>
      <x:c r="P20" s="26"/>
      <x:c r="Q20" s="27"/>
      <x:c r="R20" s="22">
        <x:f>IF(N20="","تکمیل نشده",IF(N20="ادغام با تفصیلی دیگر",IF(O20="","کلید مقصد خالی است",IF(IFERROR(MATCH(O20*1,$A:$A,0),0)=0,"کلید مقصد در این فهرست نیست",IF(O20*1=A20,"ادغام با خودش","OK"))),"OK"))</x:f>
      </x:c>
      <x:c r="S20" s="28"/>
    </x:row>
    <x:row r="21" spans="1:19">
      <x:c r="A21" s="21">
        <x:v>188</x:v>
      </x:c>
      <x:c r="B21" s="22" t="s">
        <x:v>49</x:v>
      </x:c>
      <x:c r="C21" s="22" t="s">
        <x:v>14</x:v>
      </x:c>
      <x:c r="D21" s="22" t="s">
        <x:v>619</x:v>
      </x:c>
      <x:c r="E21" s="22" t="s">
        <x:v>224</x:v>
      </x:c>
      <x:c r="F21" s="22" t="s">
        <x:v>224</x:v>
      </x:c>
      <x:c r="G21" s="22">
        <x:v>168</x:v>
      </x:c>
      <x:c r="H21" s="23">
        <x:v>4527057580</x:v>
      </x:c>
      <x:c r="I21" s="23">
        <x:v>4989551181</x:v>
      </x:c>
      <x:c r="J21" s="23">
        <x:f>H21-I21</x:f>
      </x:c>
      <x:c r="K21" s="22">
        <x:v>1</x:v>
      </x:c>
      <x:c r="L21" s="24" t="s">
        <x:v>620</x:v>
      </x:c>
      <x:c r="M21" s="24"/>
      <x:c r="N21" s="27" t="s">
        <x:v>620</x:v>
      </x:c>
      <x:c r="O21" s="27"/>
      <x:c r="P21" s="26"/>
      <x:c r="Q21" s="27"/>
      <x:c r="R21" s="22">
        <x:f>IF(N21="","تکمیل نشده",IF(N21="ادغام با تفصیلی دیگر",IF(O21="","کلید مقصد خالی است",IF(IFERROR(MATCH(O21*1,$A:$A,0),0)=0,"کلید مقصد در این فهرست نیست",IF(O21*1=A21,"ادغام با خودش","OK"))),"OK"))</x:f>
      </x:c>
      <x:c r="S21" s="28"/>
    </x:row>
    <x:row r="22" spans="1:19">
      <x:c r="A22" s="21">
        <x:v>190</x:v>
      </x:c>
      <x:c r="B22" s="22" t="s">
        <x:v>49</x:v>
      </x:c>
      <x:c r="C22" s="22" t="s">
        <x:v>199</x:v>
      </x:c>
      <x:c r="D22" s="22" t="s">
        <x:v>619</x:v>
      </x:c>
      <x:c r="E22" s="22" t="s">
        <x:v>636</x:v>
      </x:c>
      <x:c r="F22" s="22" t="s">
        <x:v>225</x:v>
      </x:c>
      <x:c r="G22" s="22">
        <x:v>28</x:v>
      </x:c>
      <x:c r="H22" s="23">
        <x:v>5367717445</x:v>
      </x:c>
      <x:c r="I22" s="23">
        <x:v>3882407431</x:v>
      </x:c>
      <x:c r="J22" s="23">
        <x:f>H22-I22</x:f>
      </x:c>
      <x:c r="K22" s="22">
        <x:v>1</x:v>
      </x:c>
      <x:c r="L22" s="24" t="s">
        <x:v>620</x:v>
      </x:c>
      <x:c r="M22" s="24"/>
      <x:c r="N22" s="27" t="s">
        <x:v>620</x:v>
      </x:c>
      <x:c r="O22" s="27"/>
      <x:c r="P22" s="26"/>
      <x:c r="Q22" s="27"/>
      <x:c r="R22" s="22">
        <x:f>IF(N22="","تکمیل نشده",IF(N22="ادغام با تفصیلی دیگر",IF(O22="","کلید مقصد خالی است",IF(IFERROR(MATCH(O22*1,$A:$A,0),0)=0,"کلید مقصد در این فهرست نیست",IF(O22*1=A22,"ادغام با خودش","OK"))),"OK"))</x:f>
      </x:c>
      <x:c r="S22" s="28"/>
    </x:row>
    <x:row r="23" spans="1:19">
      <x:c r="A23" s="21">
        <x:v>200</x:v>
      </x:c>
      <x:c r="B23" s="22" t="s">
        <x:v>49</x:v>
      </x:c>
      <x:c r="C23" s="22" t="s">
        <x:v>209</x:v>
      </x:c>
      <x:c r="D23" s="22" t="s">
        <x:v>619</x:v>
      </x:c>
      <x:c r="E23" s="22" t="s">
        <x:v>226</x:v>
      </x:c>
      <x:c r="F23" s="22" t="s">
        <x:v>226</x:v>
      </x:c>
      <x:c r="G23" s="22">
        <x:v>179</x:v>
      </x:c>
      <x:c r="H23" s="23">
        <x:v>2967108324</x:v>
      </x:c>
      <x:c r="I23" s="23">
        <x:v>5990517171</x:v>
      </x:c>
      <x:c r="J23" s="23">
        <x:f>H23-I23</x:f>
      </x:c>
      <x:c r="K23" s="22">
        <x:v>1</x:v>
      </x:c>
      <x:c r="L23" s="24" t="s">
        <x:v>620</x:v>
      </x:c>
      <x:c r="M23" s="24"/>
      <x:c r="N23" s="27" t="s">
        <x:v>620</x:v>
      </x:c>
      <x:c r="O23" s="27"/>
      <x:c r="P23" s="26"/>
      <x:c r="Q23" s="27"/>
      <x:c r="R23" s="22">
        <x:f>IF(N23="","تکمیل نشده",IF(N23="ادغام با تفصیلی دیگر",IF(O23="","کلید مقصد خالی است",IF(IFERROR(MATCH(O23*1,$A:$A,0),0)=0,"کلید مقصد در این فهرست نیست",IF(O23*1=A23,"ادغام با خودش","OK"))),"OK"))</x:f>
      </x:c>
      <x:c r="S23" s="28"/>
    </x:row>
    <x:row r="24" spans="1:19">
      <x:c r="A24" s="21">
        <x:v>11404</x:v>
      </x:c>
      <x:c r="B24" s="22" t="s">
        <x:v>49</x:v>
      </x:c>
      <x:c r="C24" s="22" t="s">
        <x:v>82</x:v>
      </x:c>
      <x:c r="D24" s="22" t="s">
        <x:v>619</x:v>
      </x:c>
      <x:c r="E24" s="22" t="s">
        <x:v>227</x:v>
      </x:c>
      <x:c r="F24" s="22" t="s">
        <x:v>227</x:v>
      </x:c>
      <x:c r="G24" s="22">
        <x:v>5</x:v>
      </x:c>
      <x:c r="H24" s="23">
        <x:v>150</x:v>
      </x:c>
      <x:c r="I24" s="23">
        <x:v>60</x:v>
      </x:c>
      <x:c r="J24" s="23">
        <x:f>H24-I24</x:f>
      </x:c>
      <x:c r="K24" s="22">
        <x:v>1</x:v>
      </x:c>
      <x:c r="L24" s="24" t="s">
        <x:v>620</x:v>
      </x:c>
      <x:c r="M24" s="24"/>
      <x:c r="N24" s="27" t="s">
        <x:v>620</x:v>
      </x:c>
      <x:c r="O24" s="27"/>
      <x:c r="P24" s="26"/>
      <x:c r="Q24" s="27"/>
      <x:c r="R24" s="22">
        <x:f>IF(N24="","تکمیل نشده",IF(N24="ادغام با تفصیلی دیگر",IF(O24="","کلید مقصد خالی است",IF(IFERROR(MATCH(O24*1,$A:$A,0),0)=0,"کلید مقصد در این فهرست نیست",IF(O24*1=A24,"ادغام با خودش","OK"))),"OK"))</x:f>
      </x:c>
      <x:c r="S24" s="28"/>
    </x:row>
    <x:row r="25" spans="1:19">
      <x:c r="A25" s="21">
        <x:v>203</x:v>
      </x:c>
      <x:c r="B25" s="22" t="s">
        <x:v>49</x:v>
      </x:c>
      <x:c r="C25" s="22" t="s">
        <x:v>211</x:v>
      </x:c>
      <x:c r="D25" s="22" t="s">
        <x:v>619</x:v>
      </x:c>
      <x:c r="E25" s="22" t="s">
        <x:v>228</x:v>
      </x:c>
      <x:c r="F25" s="22" t="s">
        <x:v>228</x:v>
      </x:c>
      <x:c r="G25" s="22">
        <x:v>3</x:v>
      </x:c>
      <x:c r="H25" s="23">
        <x:v>110</x:v>
      </x:c>
      <x:c r="I25" s="23">
        <x:v>100000</x:v>
      </x:c>
      <x:c r="J25" s="23">
        <x:f>H25-I25</x:f>
      </x:c>
      <x:c r="K25" s="22">
        <x:v>1</x:v>
      </x:c>
      <x:c r="L25" s="24" t="s">
        <x:v>620</x:v>
      </x:c>
      <x:c r="M25" s="24"/>
      <x:c r="N25" s="27" t="s">
        <x:v>620</x:v>
      </x:c>
      <x:c r="O25" s="27"/>
      <x:c r="P25" s="26"/>
      <x:c r="Q25" s="27"/>
      <x:c r="R25" s="22">
        <x:f>IF(N25="","تکمیل نشده",IF(N25="ادغام با تفصیلی دیگر",IF(O25="","کلید مقصد خالی است",IF(IFERROR(MATCH(O25*1,$A:$A,0),0)=0,"کلید مقصد در این فهرست نیست",IF(O25*1=A25,"ادغام با خودش","OK"))),"OK"))</x:f>
      </x:c>
      <x:c r="S25" s="28"/>
    </x:row>
    <x:row r="26" spans="1:19">
      <x:c r="A26" s="21">
        <x:v>205</x:v>
      </x:c>
      <x:c r="B26" s="22" t="s">
        <x:v>49</x:v>
      </x:c>
      <x:c r="C26" s="22" t="s">
        <x:v>86</x:v>
      </x:c>
      <x:c r="D26" s="22" t="s">
        <x:v>619</x:v>
      </x:c>
      <x:c r="E26" s="22" t="s">
        <x:v>231</x:v>
      </x:c>
      <x:c r="F26" s="22" t="s">
        <x:v>231</x:v>
      </x:c>
      <x:c r="G26" s="22">
        <x:v>169</x:v>
      </x:c>
      <x:c r="H26" s="23">
        <x:v>24613281858</x:v>
      </x:c>
      <x:c r="I26" s="23">
        <x:v>35725409700</x:v>
      </x:c>
      <x:c r="J26" s="23">
        <x:f>H26-I26</x:f>
      </x:c>
      <x:c r="K26" s="22">
        <x:v>1</x:v>
      </x:c>
      <x:c r="L26" s="24" t="s">
        <x:v>620</x:v>
      </x:c>
      <x:c r="M26" s="24"/>
      <x:c r="N26" s="27" t="s">
        <x:v>620</x:v>
      </x:c>
      <x:c r="O26" s="27"/>
      <x:c r="P26" s="26"/>
      <x:c r="Q26" s="27"/>
      <x:c r="R26" s="22">
        <x:f>IF(N26="","تکمیل نشده",IF(N26="ادغام با تفصیلی دیگر",IF(O26="","کلید مقصد خالی است",IF(IFERROR(MATCH(O26*1,$A:$A,0),0)=0,"کلید مقصد در این فهرست نیست",IF(O26*1=A26,"ادغام با خودش","OK"))),"OK"))</x:f>
      </x:c>
      <x:c r="S26" s="28"/>
    </x:row>
    <x:row r="27" spans="1:19">
      <x:c r="A27" s="21">
        <x:v>207</x:v>
      </x:c>
      <x:c r="B27" s="22" t="s">
        <x:v>49</x:v>
      </x:c>
      <x:c r="C27" s="22" t="s">
        <x:v>213</x:v>
      </x:c>
      <x:c r="D27" s="22" t="s">
        <x:v>619</x:v>
      </x:c>
      <x:c r="E27" s="22" t="s">
        <x:v>637</x:v>
      </x:c>
      <x:c r="F27" s="22" t="s">
        <x:v>232</x:v>
      </x:c>
      <x:c r="G27" s="22">
        <x:v>40</x:v>
      </x:c>
      <x:c r="H27" s="23">
        <x:v>24909033794</x:v>
      </x:c>
      <x:c r="I27" s="23">
        <x:v>29597749495</x:v>
      </x:c>
      <x:c r="J27" s="23">
        <x:f>H27-I27</x:f>
      </x:c>
      <x:c r="K27" s="22">
        <x:v>1</x:v>
      </x:c>
      <x:c r="L27" s="24" t="s">
        <x:v>620</x:v>
      </x:c>
      <x:c r="M27" s="24"/>
      <x:c r="N27" s="27" t="s">
        <x:v>620</x:v>
      </x:c>
      <x:c r="O27" s="27"/>
      <x:c r="P27" s="26"/>
      <x:c r="Q27" s="27"/>
      <x:c r="R27" s="22">
        <x:f>IF(N27="","تکمیل نشده",IF(N27="ادغام با تفصیلی دیگر",IF(O27="","کلید مقصد خالی است",IF(IFERROR(MATCH(O27*1,$A:$A,0),0)=0,"کلید مقصد در این فهرست نیست",IF(O27*1=A27,"ادغام با خودش","OK"))),"OK"))</x:f>
      </x:c>
      <x:c r="S27" s="28"/>
    </x:row>
    <x:row r="28" spans="1:19">
      <x:c r="A28" s="21">
        <x:v>214</x:v>
      </x:c>
      <x:c r="B28" s="22" t="s">
        <x:v>49</x:v>
      </x:c>
      <x:c r="C28" s="22" t="s">
        <x:v>136</x:v>
      </x:c>
      <x:c r="D28" s="22" t="s">
        <x:v>619</x:v>
      </x:c>
      <x:c r="E28" s="22" t="s">
        <x:v>233</x:v>
      </x:c>
      <x:c r="F28" s="22" t="s">
        <x:v>233</x:v>
      </x:c>
      <x:c r="G28" s="22">
        <x:v>1</x:v>
      </x:c>
      <x:c r="H28" s="23">
        <x:v>10</x:v>
      </x:c>
      <x:c r="I28" s="23">
        <x:v>0</x:v>
      </x:c>
      <x:c r="J28" s="23">
        <x:f>H28-I28</x:f>
      </x:c>
      <x:c r="K28" s="22">
        <x:v>1</x:v>
      </x:c>
      <x:c r="L28" s="24" t="s">
        <x:v>620</x:v>
      </x:c>
      <x:c r="M28" s="24"/>
      <x:c r="N28" s="27" t="s">
        <x:v>620</x:v>
      </x:c>
      <x:c r="O28" s="27"/>
      <x:c r="P28" s="26"/>
      <x:c r="Q28" s="27"/>
      <x:c r="R28" s="22">
        <x:f>IF(N28="","تکمیل نشده",IF(N28="ادغام با تفصیلی دیگر",IF(O28="","کلید مقصد خالی است",IF(IFERROR(MATCH(O28*1,$A:$A,0),0)=0,"کلید مقصد در این فهرست نیست",IF(O28*1=A28,"ادغام با خودش","OK"))),"OK"))</x:f>
      </x:c>
      <x:c r="S28" s="28"/>
    </x:row>
    <x:row r="29" spans="1:19">
      <x:c r="A29" s="21">
        <x:v>217</x:v>
      </x:c>
      <x:c r="B29" s="22" t="s">
        <x:v>49</x:v>
      </x:c>
      <x:c r="C29" s="22" t="s">
        <x:v>136</x:v>
      </x:c>
      <x:c r="D29" s="22" t="s">
        <x:v>638</x:v>
      </x:c>
      <x:c r="E29" s="22" t="s">
        <x:v>639</x:v>
      </x:c>
      <x:c r="F29" s="22" t="s">
        <x:v>233</x:v>
      </x:c>
      <x:c r="G29" s="22">
        <x:v>1</x:v>
      </x:c>
      <x:c r="H29" s="23">
        <x:v>10</x:v>
      </x:c>
      <x:c r="I29" s="23">
        <x:v>0</x:v>
      </x:c>
      <x:c r="J29" s="23">
        <x:f>H29-I29</x:f>
      </x:c>
      <x:c r="K29" s="22">
        <x:v>1</x:v>
      </x:c>
      <x:c r="L29" s="24" t="s">
        <x:v>623</x:v>
      </x:c>
      <x:c r="M29" s="24"/>
      <x:c r="N29" s="27" t="s">
        <x:v>623</x:v>
      </x:c>
      <x:c r="O29" s="27"/>
      <x:c r="P29" s="26"/>
      <x:c r="Q29" s="27"/>
      <x:c r="R29" s="22">
        <x:f>IF(N29="","تکمیل نشده",IF(N29="ادغام با تفصیلی دیگر",IF(O29="","کلید مقصد خالی است",IF(IFERROR(MATCH(O29*1,$A:$A,0),0)=0,"کلید مقصد در این فهرست نیست",IF(O29*1=A29,"ادغام با خودش","OK"))),"OK"))</x:f>
      </x:c>
      <x:c r="S29" s="28"/>
    </x:row>
    <x:row r="30" spans="1:19">
      <x:c r="A30" s="21">
        <x:v>231</x:v>
      </x:c>
      <x:c r="B30" s="22" t="s">
        <x:v>49</x:v>
      </x:c>
      <x:c r="C30" s="22" t="s">
        <x:v>136</x:v>
      </x:c>
      <x:c r="D30" s="22" t="s">
        <x:v>640</x:v>
      </x:c>
      <x:c r="E30" s="22" t="s">
        <x:v>641</x:v>
      </x:c>
      <x:c r="F30" s="22" t="s">
        <x:v>233</x:v>
      </x:c>
      <x:c r="G30" s="22">
        <x:v>18</x:v>
      </x:c>
      <x:c r="H30" s="23">
        <x:v>12571764</x:v>
      </x:c>
      <x:c r="I30" s="23">
        <x:v>45760527</x:v>
      </x:c>
      <x:c r="J30" s="23">
        <x:f>H30-I30</x:f>
      </x:c>
      <x:c r="K30" s="22">
        <x:v>1</x:v>
      </x:c>
      <x:c r="L30" s="24" t="s">
        <x:v>623</x:v>
      </x:c>
      <x:c r="M30" s="24"/>
      <x:c r="N30" s="27" t="s">
        <x:v>623</x:v>
      </x:c>
      <x:c r="O30" s="27"/>
      <x:c r="P30" s="26"/>
      <x:c r="Q30" s="27"/>
      <x:c r="R30" s="22">
        <x:f>IF(N30="","تکمیل نشده",IF(N30="ادغام با تفصیلی دیگر",IF(O30="","کلید مقصد خالی است",IF(IFERROR(MATCH(O30*1,$A:$A,0),0)=0,"کلید مقصد در این فهرست نیست",IF(O30*1=A30,"ادغام با خودش","OK"))),"OK"))</x:f>
      </x:c>
      <x:c r="S30" s="28"/>
    </x:row>
    <x:row r="31" spans="1:19">
      <x:c r="A31" s="21">
        <x:v>248</x:v>
      </x:c>
      <x:c r="B31" s="22" t="s">
        <x:v>49</x:v>
      </x:c>
      <x:c r="C31" s="22" t="s">
        <x:v>136</x:v>
      </x:c>
      <x:c r="D31" s="22" t="s">
        <x:v>642</x:v>
      </x:c>
      <x:c r="E31" s="22" t="s">
        <x:v>643</x:v>
      </x:c>
      <x:c r="F31" s="22" t="s">
        <x:v>233</x:v>
      </x:c>
      <x:c r="G31" s="22">
        <x:v>1</x:v>
      </x:c>
      <x:c r="H31" s="23">
        <x:v>100</x:v>
      </x:c>
      <x:c r="I31" s="23">
        <x:v>0</x:v>
      </x:c>
      <x:c r="J31" s="23">
        <x:f>H31-I31</x:f>
      </x:c>
      <x:c r="K31" s="22">
        <x:v>1</x:v>
      </x:c>
      <x:c r="L31" s="24" t="s">
        <x:v>623</x:v>
      </x:c>
      <x:c r="M31" s="24"/>
      <x:c r="N31" s="27" t="s">
        <x:v>623</x:v>
      </x:c>
      <x:c r="O31" s="27"/>
      <x:c r="P31" s="26"/>
      <x:c r="Q31" s="27"/>
      <x:c r="R31" s="22">
        <x:f>IF(N31="","تکمیل نشده",IF(N31="ادغام با تفصیلی دیگر",IF(O31="","کلید مقصد خالی است",IF(IFERROR(MATCH(O31*1,$A:$A,0),0)=0,"کلید مقصد در این فهرست نیست",IF(O31*1=A31,"ادغام با خودش","OK"))),"OK"))</x:f>
      </x:c>
      <x:c r="S31" s="28"/>
    </x:row>
    <x:row r="32" spans="1:19">
      <x:c r="A32" s="21">
        <x:v>251</x:v>
      </x:c>
      <x:c r="B32" s="22" t="s">
        <x:v>49</x:v>
      </x:c>
      <x:c r="C32" s="22" t="s">
        <x:v>136</x:v>
      </x:c>
      <x:c r="D32" s="22" t="s">
        <x:v>644</x:v>
      </x:c>
      <x:c r="E32" s="22" t="s">
        <x:v>645</x:v>
      </x:c>
      <x:c r="F32" s="22" t="s">
        <x:v>233</x:v>
      </x:c>
      <x:c r="G32" s="22">
        <x:v>6</x:v>
      </x:c>
      <x:c r="H32" s="23">
        <x:v>682913</x:v>
      </x:c>
      <x:c r="I32" s="23">
        <x:v>2734454</x:v>
      </x:c>
      <x:c r="J32" s="23">
        <x:f>H32-I32</x:f>
      </x:c>
      <x:c r="K32" s="22">
        <x:v>1</x:v>
      </x:c>
      <x:c r="L32" s="24" t="s">
        <x:v>623</x:v>
      </x:c>
      <x:c r="M32" s="24"/>
      <x:c r="N32" s="27" t="s">
        <x:v>623</x:v>
      </x:c>
      <x:c r="O32" s="27"/>
      <x:c r="P32" s="26"/>
      <x:c r="Q32" s="27"/>
      <x:c r="R32" s="22">
        <x:f>IF(N32="","تکمیل نشده",IF(N32="ادغام با تفصیلی دیگر",IF(O32="","کلید مقصد خالی است",IF(IFERROR(MATCH(O32*1,$A:$A,0),0)=0,"کلید مقصد در این فهرست نیست",IF(O32*1=A32,"ادغام با خودش","OK"))),"OK"))</x:f>
      </x:c>
      <x:c r="S32" s="28"/>
    </x:row>
    <x:row r="33" spans="1:19">
      <x:c r="A33" s="21">
        <x:v>264</x:v>
      </x:c>
      <x:c r="B33" s="22" t="s">
        <x:v>49</x:v>
      </x:c>
      <x:c r="C33" s="22" t="s">
        <x:v>136</x:v>
      </x:c>
      <x:c r="D33" s="22" t="s">
        <x:v>646</x:v>
      </x:c>
      <x:c r="E33" s="22" t="s">
        <x:v>647</x:v>
      </x:c>
      <x:c r="F33" s="22" t="s">
        <x:v>233</x:v>
      </x:c>
      <x:c r="G33" s="22">
        <x:v>1</x:v>
      </x:c>
      <x:c r="H33" s="23">
        <x:v>9576670</x:v>
      </x:c>
      <x:c r="I33" s="23">
        <x:v>0</x:v>
      </x:c>
      <x:c r="J33" s="23">
        <x:f>H33-I33</x:f>
      </x:c>
      <x:c r="K33" s="22">
        <x:v>1</x:v>
      </x:c>
      <x:c r="L33" s="24" t="s">
        <x:v>623</x:v>
      </x:c>
      <x:c r="M33" s="24"/>
      <x:c r="N33" s="27" t="s">
        <x:v>623</x:v>
      </x:c>
      <x:c r="O33" s="27"/>
      <x:c r="P33" s="26"/>
      <x:c r="Q33" s="27"/>
      <x:c r="R33" s="22">
        <x:f>IF(N33="","تکمیل نشده",IF(N33="ادغام با تفصیلی دیگر",IF(O33="","کلید مقصد خالی است",IF(IFERROR(MATCH(O33*1,$A:$A,0),0)=0,"کلید مقصد در این فهرست نیست",IF(O33*1=A33,"ادغام با خودش","OK"))),"OK"))</x:f>
      </x:c>
      <x:c r="S33" s="28"/>
    </x:row>
    <x:row r="34" spans="1:19">
      <x:c r="A34" s="21">
        <x:v>265</x:v>
      </x:c>
      <x:c r="B34" s="22" t="s">
        <x:v>49</x:v>
      </x:c>
      <x:c r="C34" s="22" t="s">
        <x:v>136</x:v>
      </x:c>
      <x:c r="D34" s="22" t="s">
        <x:v>648</x:v>
      </x:c>
      <x:c r="E34" s="22" t="s">
        <x:v>649</x:v>
      </x:c>
      <x:c r="F34" s="22" t="s">
        <x:v>233</x:v>
      </x:c>
      <x:c r="G34" s="22">
        <x:v>1</x:v>
      </x:c>
      <x:c r="H34" s="23">
        <x:v>0</x:v>
      </x:c>
      <x:c r="I34" s="23">
        <x:v>10</x:v>
      </x:c>
      <x:c r="J34" s="23">
        <x:f>H34-I34</x:f>
      </x:c>
      <x:c r="K34" s="22">
        <x:v>1</x:v>
      </x:c>
      <x:c r="L34" s="24" t="s">
        <x:v>623</x:v>
      </x:c>
      <x:c r="M34" s="24"/>
      <x:c r="N34" s="27" t="s">
        <x:v>623</x:v>
      </x:c>
      <x:c r="O34" s="27"/>
      <x:c r="P34" s="26"/>
      <x:c r="Q34" s="27"/>
      <x:c r="R34" s="22">
        <x:f>IF(N34="","تکمیل نشده",IF(N34="ادغام با تفصیلی دیگر",IF(O34="","کلید مقصد خالی است",IF(IFERROR(MATCH(O34*1,$A:$A,0),0)=0,"کلید مقصد در این فهرست نیست",IF(O34*1=A34,"ادغام با خودش","OK"))),"OK"))</x:f>
      </x:c>
      <x:c r="S34" s="28"/>
    </x:row>
    <x:row r="35" spans="1:19">
      <x:c r="A35" s="21">
        <x:v>267</x:v>
      </x:c>
      <x:c r="B35" s="22" t="s">
        <x:v>49</x:v>
      </x:c>
      <x:c r="C35" s="22" t="s">
        <x:v>136</x:v>
      </x:c>
      <x:c r="D35" s="22" t="s">
        <x:v>650</x:v>
      </x:c>
      <x:c r="E35" s="22" t="s">
        <x:v>651</x:v>
      </x:c>
      <x:c r="F35" s="22" t="s">
        <x:v>233</x:v>
      </x:c>
      <x:c r="G35" s="22">
        <x:v>32</x:v>
      </x:c>
      <x:c r="H35" s="23">
        <x:v>249285027</x:v>
      </x:c>
      <x:c r="I35" s="23">
        <x:v>269467741</x:v>
      </x:c>
      <x:c r="J35" s="23">
        <x:f>H35-I35</x:f>
      </x:c>
      <x:c r="K35" s="22">
        <x:v>1</x:v>
      </x:c>
      <x:c r="L35" s="24" t="s">
        <x:v>623</x:v>
      </x:c>
      <x:c r="M35" s="24"/>
      <x:c r="N35" s="27" t="s">
        <x:v>623</x:v>
      </x:c>
      <x:c r="O35" s="27"/>
      <x:c r="P35" s="26"/>
      <x:c r="Q35" s="27"/>
      <x:c r="R35" s="22">
        <x:f>IF(N35="","تکمیل نشده",IF(N35="ادغام با تفصیلی دیگر",IF(O35="","کلید مقصد خالی است",IF(IFERROR(MATCH(O35*1,$A:$A,0),0)=0,"کلید مقصد در این فهرست نیست",IF(O35*1=A35,"ادغام با خودش","OK"))),"OK"))</x:f>
      </x:c>
      <x:c r="S35" s="28"/>
    </x:row>
    <x:row r="36" spans="1:19">
      <x:c r="A36" s="21">
        <x:v>274</x:v>
      </x:c>
      <x:c r="B36" s="22" t="s">
        <x:v>49</x:v>
      </x:c>
      <x:c r="C36" s="22" t="s">
        <x:v>136</x:v>
      </x:c>
      <x:c r="D36" s="22" t="s">
        <x:v>652</x:v>
      </x:c>
      <x:c r="E36" s="22" t="s">
        <x:v>653</x:v>
      </x:c>
      <x:c r="F36" s="22" t="s">
        <x:v>233</x:v>
      </x:c>
      <x:c r="G36" s="22">
        <x:v>14</x:v>
      </x:c>
      <x:c r="H36" s="23">
        <x:v>4932965</x:v>
      </x:c>
      <x:c r="I36" s="23">
        <x:v>19889886</x:v>
      </x:c>
      <x:c r="J36" s="23">
        <x:f>H36-I36</x:f>
      </x:c>
      <x:c r="K36" s="22">
        <x:v>1</x:v>
      </x:c>
      <x:c r="L36" s="24" t="s">
        <x:v>623</x:v>
      </x:c>
      <x:c r="M36" s="24"/>
      <x:c r="N36" s="27" t="s">
        <x:v>623</x:v>
      </x:c>
      <x:c r="O36" s="27"/>
      <x:c r="P36" s="26"/>
      <x:c r="Q36" s="27"/>
      <x:c r="R36" s="22">
        <x:f>IF(N36="","تکمیل نشده",IF(N36="ادغام با تفصیلی دیگر",IF(O36="","کلید مقصد خالی است",IF(IFERROR(MATCH(O36*1,$A:$A,0),0)=0,"کلید مقصد در این فهرست نیست",IF(O36*1=A36,"ادغام با خودش","OK"))),"OK"))</x:f>
      </x:c>
      <x:c r="S36" s="28"/>
    </x:row>
    <x:row r="37" spans="1:19">
      <x:c r="A37" s="21">
        <x:v>295</x:v>
      </x:c>
      <x:c r="B37" s="22" t="s">
        <x:v>49</x:v>
      </x:c>
      <x:c r="C37" s="22" t="s">
        <x:v>136</x:v>
      </x:c>
      <x:c r="D37" s="22" t="s">
        <x:v>654</x:v>
      </x:c>
      <x:c r="E37" s="22" t="s">
        <x:v>655</x:v>
      </x:c>
      <x:c r="F37" s="22" t="s">
        <x:v>233</x:v>
      </x:c>
      <x:c r="G37" s="22">
        <x:v>28</x:v>
      </x:c>
      <x:c r="H37" s="23">
        <x:v>101042122</x:v>
      </x:c>
      <x:c r="I37" s="23">
        <x:v>105287460</x:v>
      </x:c>
      <x:c r="J37" s="23">
        <x:f>H37-I37</x:f>
      </x:c>
      <x:c r="K37" s="22">
        <x:v>1</x:v>
      </x:c>
      <x:c r="L37" s="24" t="s">
        <x:v>623</x:v>
      </x:c>
      <x:c r="M37" s="24"/>
      <x:c r="N37" s="27" t="s">
        <x:v>623</x:v>
      </x:c>
      <x:c r="O37" s="27"/>
      <x:c r="P37" s="26"/>
      <x:c r="Q37" s="27"/>
      <x:c r="R37" s="22">
        <x:f>IF(N37="","تکمیل نشده",IF(N37="ادغام با تفصیلی دیگر",IF(O37="","کلید مقصد خالی است",IF(IFERROR(MATCH(O37*1,$A:$A,0),0)=0,"کلید مقصد در این فهرست نیست",IF(O37*1=A37,"ادغام با خودش","OK"))),"OK"))</x:f>
      </x:c>
      <x:c r="S37" s="28"/>
    </x:row>
    <x:row r="38" spans="1:19">
      <x:c r="A38" s="21">
        <x:v>315</x:v>
      </x:c>
      <x:c r="B38" s="22" t="s">
        <x:v>49</x:v>
      </x:c>
      <x:c r="C38" s="22" t="s">
        <x:v>136</x:v>
      </x:c>
      <x:c r="D38" s="22" t="s">
        <x:v>656</x:v>
      </x:c>
      <x:c r="E38" s="22" t="s">
        <x:v>657</x:v>
      </x:c>
      <x:c r="F38" s="22" t="s">
        <x:v>233</x:v>
      </x:c>
      <x:c r="G38" s="22">
        <x:v>30</x:v>
      </x:c>
      <x:c r="H38" s="23">
        <x:v>68966782</x:v>
      </x:c>
      <x:c r="I38" s="23">
        <x:v>107027450</x:v>
      </x:c>
      <x:c r="J38" s="23">
        <x:f>H38-I38</x:f>
      </x:c>
      <x:c r="K38" s="22">
        <x:v>1</x:v>
      </x:c>
      <x:c r="L38" s="24" t="s">
        <x:v>623</x:v>
      </x:c>
      <x:c r="M38" s="24"/>
      <x:c r="N38" s="27" t="s">
        <x:v>623</x:v>
      </x:c>
      <x:c r="O38" s="27"/>
      <x:c r="P38" s="26"/>
      <x:c r="Q38" s="27"/>
      <x:c r="R38" s="22">
        <x:f>IF(N38="","تکمیل نشده",IF(N38="ادغام با تفصیلی دیگر",IF(O38="","کلید مقصد خالی است",IF(IFERROR(MATCH(O38*1,$A:$A,0),0)=0,"کلید مقصد در این فهرست نیست",IF(O38*1=A38,"ادغام با خودش","OK"))),"OK"))</x:f>
      </x:c>
      <x:c r="S38" s="28"/>
    </x:row>
    <x:row r="39" spans="1:19">
      <x:c r="A39" s="21">
        <x:v>328</x:v>
      </x:c>
      <x:c r="B39" s="22" t="s">
        <x:v>49</x:v>
      </x:c>
      <x:c r="C39" s="22" t="s">
        <x:v>136</x:v>
      </x:c>
      <x:c r="D39" s="22" t="s">
        <x:v>658</x:v>
      </x:c>
      <x:c r="E39" s="22" t="s">
        <x:v>659</x:v>
      </x:c>
      <x:c r="F39" s="22" t="s">
        <x:v>233</x:v>
      </x:c>
      <x:c r="G39" s="22">
        <x:v>16</x:v>
      </x:c>
      <x:c r="H39" s="23">
        <x:v>487908628</x:v>
      </x:c>
      <x:c r="I39" s="23">
        <x:v>758298924</x:v>
      </x:c>
      <x:c r="J39" s="23">
        <x:f>H39-I39</x:f>
      </x:c>
      <x:c r="K39" s="22">
        <x:v>1</x:v>
      </x:c>
      <x:c r="L39" s="24" t="s">
        <x:v>623</x:v>
      </x:c>
      <x:c r="M39" s="24"/>
      <x:c r="N39" s="27" t="s">
        <x:v>623</x:v>
      </x:c>
      <x:c r="O39" s="27"/>
      <x:c r="P39" s="26"/>
      <x:c r="Q39" s="27"/>
      <x:c r="R39" s="22">
        <x:f>IF(N39="","تکمیل نشده",IF(N39="ادغام با تفصیلی دیگر",IF(O39="","کلید مقصد خالی است",IF(IFERROR(MATCH(O39*1,$A:$A,0),0)=0,"کلید مقصد در این فهرست نیست",IF(O39*1=A39,"ادغام با خودش","OK"))),"OK"))</x:f>
      </x:c>
      <x:c r="S39" s="28"/>
    </x:row>
    <x:row r="40" spans="1:19">
      <x:c r="A40" s="21">
        <x:v>331</x:v>
      </x:c>
      <x:c r="B40" s="22" t="s">
        <x:v>49</x:v>
      </x:c>
      <x:c r="C40" s="22" t="s">
        <x:v>136</x:v>
      </x:c>
      <x:c r="D40" s="22" t="s">
        <x:v>660</x:v>
      </x:c>
      <x:c r="E40" s="22" t="s">
        <x:v>661</x:v>
      </x:c>
      <x:c r="F40" s="22" t="s">
        <x:v>233</x:v>
      </x:c>
      <x:c r="G40" s="22">
        <x:v>32</x:v>
      </x:c>
      <x:c r="H40" s="23">
        <x:v>1433860065</x:v>
      </x:c>
      <x:c r="I40" s="23">
        <x:v>4829991370</x:v>
      </x:c>
      <x:c r="J40" s="23">
        <x:f>H40-I40</x:f>
      </x:c>
      <x:c r="K40" s="22">
        <x:v>1</x:v>
      </x:c>
      <x:c r="L40" s="24" t="s">
        <x:v>623</x:v>
      </x:c>
      <x:c r="M40" s="24"/>
      <x:c r="N40" s="27" t="s">
        <x:v>623</x:v>
      </x:c>
      <x:c r="O40" s="27"/>
      <x:c r="P40" s="26"/>
      <x:c r="Q40" s="27"/>
      <x:c r="R40" s="22">
        <x:f>IF(N40="","تکمیل نشده",IF(N40="ادغام با تفصیلی دیگر",IF(O40="","کلید مقصد خالی است",IF(IFERROR(MATCH(O40*1,$A:$A,0),0)=0,"کلید مقصد در این فهرست نیست",IF(O40*1=A40,"ادغام با خودش","OK"))),"OK"))</x:f>
      </x:c>
      <x:c r="S40" s="28"/>
    </x:row>
    <x:row r="41" spans="1:19">
      <x:c r="A41" s="21">
        <x:v>338</x:v>
      </x:c>
      <x:c r="B41" s="22" t="s">
        <x:v>49</x:v>
      </x:c>
      <x:c r="C41" s="22" t="s">
        <x:v>136</x:v>
      </x:c>
      <x:c r="D41" s="22" t="s">
        <x:v>662</x:v>
      </x:c>
      <x:c r="E41" s="22" t="s">
        <x:v>663</x:v>
      </x:c>
      <x:c r="F41" s="22" t="s">
        <x:v>233</x:v>
      </x:c>
      <x:c r="G41" s="22">
        <x:v>20</x:v>
      </x:c>
      <x:c r="H41" s="23">
        <x:v>82446833</x:v>
      </x:c>
      <x:c r="I41" s="23">
        <x:v>324557876</x:v>
      </x:c>
      <x:c r="J41" s="23">
        <x:f>H41-I41</x:f>
      </x:c>
      <x:c r="K41" s="22">
        <x:v>1</x:v>
      </x:c>
      <x:c r="L41" s="24" t="s">
        <x:v>623</x:v>
      </x:c>
      <x:c r="M41" s="24"/>
      <x:c r="N41" s="27" t="s">
        <x:v>623</x:v>
      </x:c>
      <x:c r="O41" s="27"/>
      <x:c r="P41" s="26"/>
      <x:c r="Q41" s="27"/>
      <x:c r="R41" s="22">
        <x:f>IF(N41="","تکمیل نشده",IF(N41="ادغام با تفصیلی دیگر",IF(O41="","کلید مقصد خالی است",IF(IFERROR(MATCH(O41*1,$A:$A,0),0)=0,"کلید مقصد در این فهرست نیست",IF(O41*1=A41,"ادغام با خودش","OK"))),"OK"))</x:f>
      </x:c>
      <x:c r="S41" s="28"/>
    </x:row>
    <x:row r="42" spans="1:19">
      <x:c r="A42" s="21">
        <x:v>344</x:v>
      </x:c>
      <x:c r="B42" s="22" t="s">
        <x:v>49</x:v>
      </x:c>
      <x:c r="C42" s="22" t="s">
        <x:v>215</x:v>
      </x:c>
      <x:c r="D42" s="22" t="s">
        <x:v>619</x:v>
      </x:c>
      <x:c r="E42" s="22" t="s">
        <x:v>664</x:v>
      </x:c>
      <x:c r="F42" s="22" t="s">
        <x:v>234</x:v>
      </x:c>
      <x:c r="G42" s="22">
        <x:v>16</x:v>
      </x:c>
      <x:c r="H42" s="23">
        <x:v>425591050</x:v>
      </x:c>
      <x:c r="I42" s="23">
        <x:v>745420850</x:v>
      </x:c>
      <x:c r="J42" s="23">
        <x:f>H42-I42</x:f>
      </x:c>
      <x:c r="K42" s="22">
        <x:v>1</x:v>
      </x:c>
      <x:c r="L42" s="24" t="s">
        <x:v>620</x:v>
      </x:c>
      <x:c r="M42" s="24"/>
      <x:c r="N42" s="27" t="s">
        <x:v>620</x:v>
      </x:c>
      <x:c r="O42" s="27"/>
      <x:c r="P42" s="26"/>
      <x:c r="Q42" s="27"/>
      <x:c r="R42" s="22">
        <x:f>IF(N42="","تکمیل نشده",IF(N42="ادغام با تفصیلی دیگر",IF(O42="","کلید مقصد خالی است",IF(IFERROR(MATCH(O42*1,$A:$A,0),0)=0,"کلید مقصد در این فهرست نیست",IF(O42*1=A42,"ادغام با خودش","OK"))),"OK"))</x:f>
      </x:c>
      <x:c r="S42" s="28"/>
    </x:row>
    <x:row r="43" spans="1:19">
      <x:c r="A43" s="21">
        <x:v>523</x:v>
      </x:c>
      <x:c r="B43" s="22" t="s">
        <x:v>53</x:v>
      </x:c>
      <x:c r="C43" s="22" t="s">
        <x:v>235</x:v>
      </x:c>
      <x:c r="D43" s="22" t="s">
        <x:v>619</x:v>
      </x:c>
      <x:c r="E43" s="22" t="s">
        <x:v>236</x:v>
      </x:c>
      <x:c r="F43" s="22" t="s">
        <x:v>236</x:v>
      </x:c>
      <x:c r="G43" s="22">
        <x:v>40</x:v>
      </x:c>
      <x:c r="H43" s="23">
        <x:v>192838263</x:v>
      </x:c>
      <x:c r="I43" s="23">
        <x:v>348747355</x:v>
      </x:c>
      <x:c r="J43" s="23">
        <x:f>H43-I43</x:f>
      </x:c>
      <x:c r="K43" s="22">
        <x:v>5</x:v>
      </x:c>
      <x:c r="L43" s="24" t="s">
        <x:v>620</x:v>
      </x:c>
      <x:c r="M43" s="24"/>
      <x:c r="N43" s="27" t="s">
        <x:v>620</x:v>
      </x:c>
      <x:c r="O43" s="27"/>
      <x:c r="P43" s="26"/>
      <x:c r="Q43" s="27"/>
      <x:c r="R43" s="22">
        <x:f>IF(N43="","تکمیل نشده",IF(N43="ادغام با تفصیلی دیگر",IF(O43="","کلید مقصد خالی است",IF(IFERROR(MATCH(O43*1,$A:$A,0),0)=0,"کلید مقصد در این فهرست نیست",IF(O43*1=A43,"ادغام با خودش","OK"))),"OK"))</x:f>
      </x:c>
      <x:c r="S43" s="28"/>
    </x:row>
    <x:row r="44" spans="1:19">
      <x:c r="A44" s="21">
        <x:v>524</x:v>
      </x:c>
      <x:c r="B44" s="22" t="s">
        <x:v>53</x:v>
      </x:c>
      <x:c r="C44" s="22" t="s">
        <x:v>235</x:v>
      </x:c>
      <x:c r="D44" s="22" t="s">
        <x:v>665</x:v>
      </x:c>
      <x:c r="E44" s="22" t="s">
        <x:v>666</x:v>
      </x:c>
      <x:c r="F44" s="22" t="s">
        <x:v>236</x:v>
      </x:c>
      <x:c r="G44" s="22">
        <x:v>14</x:v>
      </x:c>
      <x:c r="H44" s="23">
        <x:v>234200220</x:v>
      </x:c>
      <x:c r="I44" s="23">
        <x:v>702600660</x:v>
      </x:c>
      <x:c r="J44" s="23">
        <x:f>H44-I44</x:f>
      </x:c>
      <x:c r="K44" s="22">
        <x:v>1</x:v>
      </x:c>
      <x:c r="L44" s="24" t="s">
        <x:v>623</x:v>
      </x:c>
      <x:c r="M44" s="24"/>
      <x:c r="N44" s="27" t="s">
        <x:v>623</x:v>
      </x:c>
      <x:c r="O44" s="27"/>
      <x:c r="P44" s="26"/>
      <x:c r="Q44" s="27"/>
      <x:c r="R44" s="22">
        <x:f>IF(N44="","تکمیل نشده",IF(N44="ادغام با تفصیلی دیگر",IF(O44="","کلید مقصد خالی است",IF(IFERROR(MATCH(O44*1,$A:$A,0),0)=0,"کلید مقصد در این فهرست نیست",IF(O44*1=A44,"ادغام با خودش","OK"))),"OK"))</x:f>
      </x:c>
      <x:c r="S44" s="28"/>
    </x:row>
    <x:row r="45" spans="1:19">
      <x:c r="A45" s="21">
        <x:v>525</x:v>
      </x:c>
      <x:c r="B45" s="22" t="s">
        <x:v>53</x:v>
      </x:c>
      <x:c r="C45" s="22" t="s">
        <x:v>235</x:v>
      </x:c>
      <x:c r="D45" s="22" t="s">
        <x:v>667</x:v>
      </x:c>
      <x:c r="E45" s="22" t="s">
        <x:v>668</x:v>
      </x:c>
      <x:c r="F45" s="22" t="s">
        <x:v>236</x:v>
      </x:c>
      <x:c r="G45" s="22">
        <x:v>14</x:v>
      </x:c>
      <x:c r="H45" s="23">
        <x:v>471209668</x:v>
      </x:c>
      <x:c r="I45" s="23">
        <x:v>1413629004</x:v>
      </x:c>
      <x:c r="J45" s="23">
        <x:f>H45-I45</x:f>
      </x:c>
      <x:c r="K45" s="22">
        <x:v>1</x:v>
      </x:c>
      <x:c r="L45" s="24" t="s">
        <x:v>623</x:v>
      </x:c>
      <x:c r="M45" s="24"/>
      <x:c r="N45" s="27" t="s">
        <x:v>623</x:v>
      </x:c>
      <x:c r="O45" s="27"/>
      <x:c r="P45" s="26"/>
      <x:c r="Q45" s="27"/>
      <x:c r="R45" s="22">
        <x:f>IF(N45="","تکمیل نشده",IF(N45="ادغام با تفصیلی دیگر",IF(O45="","کلید مقصد خالی است",IF(IFERROR(MATCH(O45*1,$A:$A,0),0)=0,"کلید مقصد در این فهرست نیست",IF(O45*1=A45,"ادغام با خودش","OK"))),"OK"))</x:f>
      </x:c>
      <x:c r="S45" s="28"/>
    </x:row>
    <x:row r="46" spans="1:19">
      <x:c r="A46" s="21">
        <x:v>11321</x:v>
      </x:c>
      <x:c r="B46" s="22" t="s">
        <x:v>53</x:v>
      </x:c>
      <x:c r="C46" s="22" t="s">
        <x:v>235</x:v>
      </x:c>
      <x:c r="D46" s="22" t="s">
        <x:v>630</x:v>
      </x:c>
      <x:c r="E46" s="22" t="s">
        <x:v>227</x:v>
      </x:c>
      <x:c r="F46" s="22" t="s">
        <x:v>236</x:v>
      </x:c>
      <x:c r="G46" s="22">
        <x:v>4</x:v>
      </x:c>
      <x:c r="H46" s="23">
        <x:v>7300</x:v>
      </x:c>
      <x:c r="I46" s="23">
        <x:v>0</x:v>
      </x:c>
      <x:c r="J46" s="23">
        <x:f>H46-I46</x:f>
      </x:c>
      <x:c r="K46" s="22">
        <x:v>1</x:v>
      </x:c>
      <x:c r="L46" s="24" t="s">
        <x:v>623</x:v>
      </x:c>
      <x:c r="M46" s="24"/>
      <x:c r="N46" s="27" t="s">
        <x:v>623</x:v>
      </x:c>
      <x:c r="O46" s="27"/>
      <x:c r="P46" s="26"/>
      <x:c r="Q46" s="27"/>
      <x:c r="R46" s="22">
        <x:f>IF(N46="","تکمیل نشده",IF(N46="ادغام با تفصیلی دیگر",IF(O46="","کلید مقصد خالی است",IF(IFERROR(MATCH(O46*1,$A:$A,0),0)=0,"کلید مقصد در این فهرست نیست",IF(O46*1=A46,"ادغام با خودش","OK"))),"OK"))</x:f>
      </x:c>
      <x:c r="S46" s="28" t="s">
        <x:v>629</x:v>
      </x:c>
    </x:row>
    <x:row r="47" spans="1:19">
      <x:c r="A47" s="21">
        <x:v>527</x:v>
      </x:c>
      <x:c r="B47" s="22" t="s">
        <x:v>53</x:v>
      </x:c>
      <x:c r="C47" s="22" t="s">
        <x:v>235</x:v>
      </x:c>
      <x:c r="D47" s="22" t="s">
        <x:v>669</x:v>
      </x:c>
      <x:c r="E47" s="22" t="s">
        <x:v>670</x:v>
      </x:c>
      <x:c r="F47" s="22" t="s">
        <x:v>236</x:v>
      </x:c>
      <x:c r="G47" s="22">
        <x:v>22</x:v>
      </x:c>
      <x:c r="H47" s="23">
        <x:v>32246508</x:v>
      </x:c>
      <x:c r="I47" s="23">
        <x:v>76861236</x:v>
      </x:c>
      <x:c r="J47" s="23">
        <x:f>H47-I47</x:f>
      </x:c>
      <x:c r="K47" s="22">
        <x:v>1</x:v>
      </x:c>
      <x:c r="L47" s="24" t="s">
        <x:v>623</x:v>
      </x:c>
      <x:c r="M47" s="24"/>
      <x:c r="N47" s="27" t="s">
        <x:v>623</x:v>
      </x:c>
      <x:c r="O47" s="27"/>
      <x:c r="P47" s="26"/>
      <x:c r="Q47" s="27"/>
      <x:c r="R47" s="22">
        <x:f>IF(N47="","تکمیل نشده",IF(N47="ادغام با تفصیلی دیگر",IF(O47="","کلید مقصد خالی است",IF(IFERROR(MATCH(O47*1,$A:$A,0),0)=0,"کلید مقصد در این فهرست نیست",IF(O47*1=A47,"ادغام با خودش","OK"))),"OK"))</x:f>
      </x:c>
      <x:c r="S47" s="28"/>
    </x:row>
    <x:row r="48" spans="1:19">
      <x:c r="A48" s="21">
        <x:v>528</x:v>
      </x:c>
      <x:c r="B48" s="22" t="s">
        <x:v>53</x:v>
      </x:c>
      <x:c r="C48" s="22" t="s">
        <x:v>235</x:v>
      </x:c>
      <x:c r="D48" s="22" t="s">
        <x:v>671</x:v>
      </x:c>
      <x:c r="E48" s="22" t="s">
        <x:v>672</x:v>
      </x:c>
      <x:c r="F48" s="22" t="s">
        <x:v>236</x:v>
      </x:c>
      <x:c r="G48" s="22">
        <x:v>6</x:v>
      </x:c>
      <x:c r="H48" s="23">
        <x:v>31964668</x:v>
      </x:c>
      <x:c r="I48" s="23">
        <x:v>159823340</x:v>
      </x:c>
      <x:c r="J48" s="23">
        <x:f>H48-I48</x:f>
      </x:c>
      <x:c r="K48" s="22">
        <x:v>2</x:v>
      </x:c>
      <x:c r="L48" s="24" t="s">
        <x:v>623</x:v>
      </x:c>
      <x:c r="M48" s="24"/>
      <x:c r="N48" s="27" t="s">
        <x:v>623</x:v>
      </x:c>
      <x:c r="O48" s="27"/>
      <x:c r="P48" s="26"/>
      <x:c r="Q48" s="27"/>
      <x:c r="R48" s="22">
        <x:f>IF(N48="","تکمیل نشده",IF(N48="ادغام با تفصیلی دیگر",IF(O48="","کلید مقصد خالی است",IF(IFERROR(MATCH(O48*1,$A:$A,0),0)=0,"کلید مقصد در این فهرست نیست",IF(O48*1=A48,"ادغام با خودش","OK"))),"OK"))</x:f>
      </x:c>
      <x:c r="S48" s="28"/>
    </x:row>
    <x:row r="49" spans="1:19">
      <x:c r="A49" s="21">
        <x:v>3703</x:v>
      </x:c>
      <x:c r="B49" s="22" t="s">
        <x:v>53</x:v>
      </x:c>
      <x:c r="C49" s="22" t="s">
        <x:v>235</x:v>
      </x:c>
      <x:c r="D49" s="22" t="s">
        <x:v>673</x:v>
      </x:c>
      <x:c r="E49" s="22" t="s">
        <x:v>674</x:v>
      </x:c>
      <x:c r="F49" s="22" t="s">
        <x:v>236</x:v>
      </x:c>
      <x:c r="G49" s="22">
        <x:v>2</x:v>
      </x:c>
      <x:c r="H49" s="23">
        <x:v>34902466</x:v>
      </x:c>
      <x:c r="I49" s="23">
        <x:v>0</x:v>
      </x:c>
      <x:c r="J49" s="23">
        <x:f>H49-I49</x:f>
      </x:c>
      <x:c r="K49" s="22">
        <x:v>2</x:v>
      </x:c>
      <x:c r="L49" s="24" t="s">
        <x:v>675</x:v>
      </x:c>
      <x:c r="M49" s="24">
        <x:v>528</x:v>
      </x:c>
      <x:c r="N49" s="27" t="s">
        <x:v>675</x:v>
      </x:c>
      <x:c r="O49" s="27">
        <x:v>528</x:v>
      </x:c>
      <x:c r="P49" s="26"/>
      <x:c r="Q49" s="27"/>
      <x:c r="R49" s="22">
        <x:f>IF(N49="","تکمیل نشده",IF(N49="ادغام با تفصیلی دیگر",IF(O49="","کلید مقصد خالی است",IF(IFERROR(MATCH(O49*1,$A:$A,0),0)=0,"کلید مقصد در این فهرست نیست",IF(O49*1=A49,"ادغام با خودش","OK"))),"OK"))</x:f>
      </x:c>
      <x:c r="S49" s="28"/>
    </x:row>
    <x:row r="50" spans="1:19">
      <x:c r="A50" s="21">
        <x:v>529</x:v>
      </x:c>
      <x:c r="B50" s="22" t="s">
        <x:v>53</x:v>
      </x:c>
      <x:c r="C50" s="22" t="s">
        <x:v>235</x:v>
      </x:c>
      <x:c r="D50" s="22" t="s">
        <x:v>676</x:v>
      </x:c>
      <x:c r="E50" s="22" t="s">
        <x:v>677</x:v>
      </x:c>
      <x:c r="F50" s="22" t="s">
        <x:v>236</x:v>
      </x:c>
      <x:c r="G50" s="22">
        <x:v>5</x:v>
      </x:c>
      <x:c r="H50" s="23">
        <x:v>222935780</x:v>
      </x:c>
      <x:c r="I50" s="23">
        <x:v>891743120</x:v>
      </x:c>
      <x:c r="J50" s="23">
        <x:f>H50-I50</x:f>
      </x:c>
      <x:c r="K50" s="22">
        <x:v>1</x:v>
      </x:c>
      <x:c r="L50" s="24" t="s">
        <x:v>623</x:v>
      </x:c>
      <x:c r="M50" s="24"/>
      <x:c r="N50" s="27" t="s">
        <x:v>623</x:v>
      </x:c>
      <x:c r="O50" s="27"/>
      <x:c r="P50" s="26"/>
      <x:c r="Q50" s="27"/>
      <x:c r="R50" s="22">
        <x:f>IF(N50="","تکمیل نشده",IF(N50="ادغام با تفصیلی دیگر",IF(O50="","کلید مقصد خالی است",IF(IFERROR(MATCH(O50*1,$A:$A,0),0)=0,"کلید مقصد در این فهرست نیست",IF(O50*1=A50,"ادغام با خودش","OK"))),"OK"))</x:f>
      </x:c>
      <x:c r="S50" s="28"/>
    </x:row>
    <x:row r="51" spans="1:19">
      <x:c r="A51" s="21">
        <x:v>530</x:v>
      </x:c>
      <x:c r="B51" s="22" t="s">
        <x:v>53</x:v>
      </x:c>
      <x:c r="C51" s="22" t="s">
        <x:v>235</x:v>
      </x:c>
      <x:c r="D51" s="22" t="s">
        <x:v>678</x:v>
      </x:c>
      <x:c r="E51" s="22" t="s">
        <x:v>679</x:v>
      </x:c>
      <x:c r="F51" s="22" t="s">
        <x:v>236</x:v>
      </x:c>
      <x:c r="G51" s="22">
        <x:v>14</x:v>
      </x:c>
      <x:c r="H51" s="23">
        <x:v>249415768</x:v>
      </x:c>
      <x:c r="I51" s="23">
        <x:v>75448272</x:v>
      </x:c>
      <x:c r="J51" s="23">
        <x:f>H51-I51</x:f>
      </x:c>
      <x:c r="K51" s="22">
        <x:v>3</x:v>
      </x:c>
      <x:c r="L51" s="24" t="s">
        <x:v>623</x:v>
      </x:c>
      <x:c r="M51" s="24"/>
      <x:c r="N51" s="27" t="s">
        <x:v>623</x:v>
      </x:c>
      <x:c r="O51" s="27"/>
      <x:c r="P51" s="26"/>
      <x:c r="Q51" s="27"/>
      <x:c r="R51" s="22">
        <x:f>IF(N51="","تکمیل نشده",IF(N51="ادغام با تفصیلی دیگر",IF(O51="","کلید مقصد خالی است",IF(IFERROR(MATCH(O51*1,$A:$A,0),0)=0,"کلید مقصد در این فهرست نیست",IF(O51*1=A51,"ادغام با خودش","OK"))),"OK"))</x:f>
      </x:c>
      <x:c r="S51" s="28"/>
    </x:row>
    <x:row r="52" spans="1:19">
      <x:c r="A52" s="21">
        <x:v>531</x:v>
      </x:c>
      <x:c r="B52" s="22" t="s">
        <x:v>53</x:v>
      </x:c>
      <x:c r="C52" s="22" t="s">
        <x:v>235</x:v>
      </x:c>
      <x:c r="D52" s="22" t="s">
        <x:v>680</x:v>
      </x:c>
      <x:c r="E52" s="22" t="s">
        <x:v>681</x:v>
      </x:c>
      <x:c r="F52" s="22" t="s">
        <x:v>236</x:v>
      </x:c>
      <x:c r="G52" s="22">
        <x:v>10</x:v>
      </x:c>
      <x:c r="H52" s="23">
        <x:v>291583934</x:v>
      </x:c>
      <x:c r="I52" s="23">
        <x:v>118972800</x:v>
      </x:c>
      <x:c r="J52" s="23">
        <x:f>H52-I52</x:f>
      </x:c>
      <x:c r="K52" s="22">
        <x:v>1</x:v>
      </x:c>
      <x:c r="L52" s="24" t="s">
        <x:v>623</x:v>
      </x:c>
      <x:c r="M52" s="24"/>
      <x:c r="N52" s="27" t="s">
        <x:v>623</x:v>
      </x:c>
      <x:c r="O52" s="27"/>
      <x:c r="P52" s="26"/>
      <x:c r="Q52" s="27"/>
      <x:c r="R52" s="22">
        <x:f>IF(N52="","تکمیل نشده",IF(N52="ادغام با تفصیلی دیگر",IF(O52="","کلید مقصد خالی است",IF(IFERROR(MATCH(O52*1,$A:$A,0),0)=0,"کلید مقصد در این فهرست نیست",IF(O52*1=A52,"ادغام با خودش","OK"))),"OK"))</x:f>
      </x:c>
      <x:c r="S52" s="28"/>
    </x:row>
    <x:row r="53" spans="1:19">
      <x:c r="A53" s="21">
        <x:v>532</x:v>
      </x:c>
      <x:c r="B53" s="22" t="s">
        <x:v>53</x:v>
      </x:c>
      <x:c r="C53" s="22" t="s">
        <x:v>235</x:v>
      </x:c>
      <x:c r="D53" s="22" t="s">
        <x:v>682</x:v>
      </x:c>
      <x:c r="E53" s="22" t="s">
        <x:v>236</x:v>
      </x:c>
      <x:c r="F53" s="22" t="s">
        <x:v>236</x:v>
      </x:c>
      <x:c r="G53" s="22">
        <x:v>8</x:v>
      </x:c>
      <x:c r="H53" s="23">
        <x:v>53743117</x:v>
      </x:c>
      <x:c r="I53" s="23">
        <x:v>105579000</x:v>
      </x:c>
      <x:c r="J53" s="23">
        <x:f>H53-I53</x:f>
      </x:c>
      <x:c r="K53" s="22">
        <x:v>5</x:v>
      </x:c>
      <x:c r="L53" s="24" t="s">
        <x:v>620</x:v>
      </x:c>
      <x:c r="M53" s="24"/>
      <x:c r="N53" s="27" t="s">
        <x:v>620</x:v>
      </x:c>
      <x:c r="O53" s="27"/>
      <x:c r="P53" s="26"/>
      <x:c r="Q53" s="27"/>
      <x:c r="R53" s="22">
        <x:f>IF(N53="","تکمیل نشده",IF(N53="ادغام با تفصیلی دیگر",IF(O53="","کلید مقصد خالی است",IF(IFERROR(MATCH(O53*1,$A:$A,0),0)=0,"کلید مقصد در این فهرست نیست",IF(O53*1=A53,"ادغام با خودش","OK"))),"OK"))</x:f>
      </x:c>
      <x:c r="S53" s="28"/>
    </x:row>
    <x:row r="54" spans="1:19">
      <x:c r="A54" s="21">
        <x:v>533</x:v>
      </x:c>
      <x:c r="B54" s="22" t="s">
        <x:v>53</x:v>
      </x:c>
      <x:c r="C54" s="22" t="s">
        <x:v>235</x:v>
      </x:c>
      <x:c r="D54" s="22" t="s">
        <x:v>683</x:v>
      </x:c>
      <x:c r="E54" s="22" t="s">
        <x:v>684</x:v>
      </x:c>
      <x:c r="F54" s="22" t="s">
        <x:v>236</x:v>
      </x:c>
      <x:c r="G54" s="22">
        <x:v>24</x:v>
      </x:c>
      <x:c r="H54" s="23">
        <x:v>35871071</x:v>
      </x:c>
      <x:c r="I54" s="23">
        <x:v>59884985</x:v>
      </x:c>
      <x:c r="J54" s="23">
        <x:f>H54-I54</x:f>
      </x:c>
      <x:c r="K54" s="22">
        <x:v>1</x:v>
      </x:c>
      <x:c r="L54" s="24" t="s">
        <x:v>623</x:v>
      </x:c>
      <x:c r="M54" s="24"/>
      <x:c r="N54" s="27" t="s">
        <x:v>623</x:v>
      </x:c>
      <x:c r="O54" s="27"/>
      <x:c r="P54" s="26"/>
      <x:c r="Q54" s="27"/>
      <x:c r="R54" s="22">
        <x:f>IF(N54="","تکمیل نشده",IF(N54="ادغام با تفصیلی دیگر",IF(O54="","کلید مقصد خالی است",IF(IFERROR(MATCH(O54*1,$A:$A,0),0)=0,"کلید مقصد در این فهرست نیست",IF(O54*1=A54,"ادغام با خودش","OK"))),"OK"))</x:f>
      </x:c>
      <x:c r="S54" s="28"/>
    </x:row>
    <x:row r="55" spans="1:19">
      <x:c r="A55" s="21">
        <x:v>534</x:v>
      </x:c>
      <x:c r="B55" s="22" t="s">
        <x:v>53</x:v>
      </x:c>
      <x:c r="C55" s="22" t="s">
        <x:v>235</x:v>
      </x:c>
      <x:c r="D55" s="22" t="s">
        <x:v>685</x:v>
      </x:c>
      <x:c r="E55" s="22" t="s">
        <x:v>686</x:v>
      </x:c>
      <x:c r="F55" s="22" t="s">
        <x:v>236</x:v>
      </x:c>
      <x:c r="G55" s="22">
        <x:v>15</x:v>
      </x:c>
      <x:c r="H55" s="23">
        <x:v>34425780</x:v>
      </x:c>
      <x:c r="I55" s="23">
        <x:v>74332650</x:v>
      </x:c>
      <x:c r="J55" s="23">
        <x:f>H55-I55</x:f>
      </x:c>
      <x:c r="K55" s="22">
        <x:v>1</x:v>
      </x:c>
      <x:c r="L55" s="24" t="s">
        <x:v>623</x:v>
      </x:c>
      <x:c r="M55" s="24"/>
      <x:c r="N55" s="27" t="s">
        <x:v>623</x:v>
      </x:c>
      <x:c r="O55" s="27"/>
      <x:c r="P55" s="26"/>
      <x:c r="Q55" s="27"/>
      <x:c r="R55" s="22">
        <x:f>IF(N55="","تکمیل نشده",IF(N55="ادغام با تفصیلی دیگر",IF(O55="","کلید مقصد خالی است",IF(IFERROR(MATCH(O55*1,$A:$A,0),0)=0,"کلید مقصد در این فهرست نیست",IF(O55*1=A55,"ادغام با خودش","OK"))),"OK"))</x:f>
      </x:c>
      <x:c r="S55" s="28"/>
    </x:row>
    <x:row r="56" spans="1:19">
      <x:c r="A56" s="21">
        <x:v>535</x:v>
      </x:c>
      <x:c r="B56" s="22" t="s">
        <x:v>53</x:v>
      </x:c>
      <x:c r="C56" s="22" t="s">
        <x:v>235</x:v>
      </x:c>
      <x:c r="D56" s="22" t="s">
        <x:v>631</x:v>
      </x:c>
      <x:c r="E56" s="22" t="s">
        <x:v>687</x:v>
      </x:c>
      <x:c r="F56" s="22" t="s">
        <x:v>236</x:v>
      </x:c>
      <x:c r="G56" s="22">
        <x:v>2</x:v>
      </x:c>
      <x:c r="H56" s="23">
        <x:v>5</x:v>
      </x:c>
      <x:c r="I56" s="23">
        <x:v>5</x:v>
      </x:c>
      <x:c r="J56" s="23">
        <x:f>H56-I56</x:f>
      </x:c>
      <x:c r="K56" s="22">
        <x:v>1</x:v>
      </x:c>
      <x:c r="L56" s="24" t="s">
        <x:v>623</x:v>
      </x:c>
      <x:c r="M56" s="24"/>
      <x:c r="N56" s="27" t="s">
        <x:v>623</x:v>
      </x:c>
      <x:c r="O56" s="27"/>
      <x:c r="P56" s="26"/>
      <x:c r="Q56" s="27"/>
      <x:c r="R56" s="22">
        <x:f>IF(N56="","تکمیل نشده",IF(N56="ادغام با تفصیلی دیگر",IF(O56="","کلید مقصد خالی است",IF(IFERROR(MATCH(O56*1,$A:$A,0),0)=0,"کلید مقصد در این فهرست نیست",IF(O56*1=A56,"ادغام با خودش","OK"))),"OK"))</x:f>
      </x:c>
      <x:c r="S56" s="28"/>
    </x:row>
    <x:row r="57" spans="1:19">
      <x:c r="A57" s="21">
        <x:v>536</x:v>
      </x:c>
      <x:c r="B57" s="22" t="s">
        <x:v>53</x:v>
      </x:c>
      <x:c r="C57" s="22" t="s">
        <x:v>235</x:v>
      </x:c>
      <x:c r="D57" s="22" t="s">
        <x:v>688</x:v>
      </x:c>
      <x:c r="E57" s="22" t="s">
        <x:v>689</x:v>
      </x:c>
      <x:c r="F57" s="22" t="s">
        <x:v>236</x:v>
      </x:c>
      <x:c r="G57" s="22">
        <x:v>8</x:v>
      </x:c>
      <x:c r="H57" s="23">
        <x:v>12238750</x:v>
      </x:c>
      <x:c r="I57" s="23">
        <x:v>9553000</x:v>
      </x:c>
      <x:c r="J57" s="23">
        <x:f>H57-I57</x:f>
      </x:c>
      <x:c r="K57" s="22">
        <x:v>1</x:v>
      </x:c>
      <x:c r="L57" s="24" t="s">
        <x:v>623</x:v>
      </x:c>
      <x:c r="M57" s="24"/>
      <x:c r="N57" s="27" t="s">
        <x:v>623</x:v>
      </x:c>
      <x:c r="O57" s="27"/>
      <x:c r="P57" s="26"/>
      <x:c r="Q57" s="27"/>
      <x:c r="R57" s="22">
        <x:f>IF(N57="","تکمیل نشده",IF(N57="ادغام با تفصیلی دیگر",IF(O57="","کلید مقصد خالی است",IF(IFERROR(MATCH(O57*1,$A:$A,0),0)=0,"کلید مقصد در این فهرست نیست",IF(O57*1=A57,"ادغام با خودش","OK"))),"OK"))</x:f>
      </x:c>
      <x:c r="S57" s="28"/>
    </x:row>
    <x:row r="58" spans="1:19">
      <x:c r="A58" s="21">
        <x:v>537</x:v>
      </x:c>
      <x:c r="B58" s="22" t="s">
        <x:v>53</x:v>
      </x:c>
      <x:c r="C58" s="22" t="s">
        <x:v>235</x:v>
      </x:c>
      <x:c r="D58" s="22" t="s">
        <x:v>690</x:v>
      </x:c>
      <x:c r="E58" s="22" t="s">
        <x:v>691</x:v>
      </x:c>
      <x:c r="F58" s="22" t="s">
        <x:v>236</x:v>
      </x:c>
      <x:c r="G58" s="22">
        <x:v>34</x:v>
      </x:c>
      <x:c r="H58" s="23">
        <x:v>76816070</x:v>
      </x:c>
      <x:c r="I58" s="23">
        <x:v>163602375</x:v>
      </x:c>
      <x:c r="J58" s="23">
        <x:f>H58-I58</x:f>
      </x:c>
      <x:c r="K58" s="22">
        <x:v>1</x:v>
      </x:c>
      <x:c r="L58" s="24" t="s">
        <x:v>623</x:v>
      </x:c>
      <x:c r="M58" s="24"/>
      <x:c r="N58" s="27" t="s">
        <x:v>623</x:v>
      </x:c>
      <x:c r="O58" s="27"/>
      <x:c r="P58" s="26"/>
      <x:c r="Q58" s="27"/>
      <x:c r="R58" s="22">
        <x:f>IF(N58="","تکمیل نشده",IF(N58="ادغام با تفصیلی دیگر",IF(O58="","کلید مقصد خالی است",IF(IFERROR(MATCH(O58*1,$A:$A,0),0)=0,"کلید مقصد در این فهرست نیست",IF(O58*1=A58,"ادغام با خودش","OK"))),"OK"))</x:f>
      </x:c>
      <x:c r="S58" s="28"/>
    </x:row>
    <x:row r="59" spans="1:19">
      <x:c r="A59" s="21">
        <x:v>538</x:v>
      </x:c>
      <x:c r="B59" s="22" t="s">
        <x:v>53</x:v>
      </x:c>
      <x:c r="C59" s="22" t="s">
        <x:v>235</x:v>
      </x:c>
      <x:c r="D59" s="22" t="s">
        <x:v>692</x:v>
      </x:c>
      <x:c r="E59" s="22" t="s">
        <x:v>679</x:v>
      </x:c>
      <x:c r="F59" s="22" t="s">
        <x:v>236</x:v>
      </x:c>
      <x:c r="G59" s="22">
        <x:v>27</x:v>
      </x:c>
      <x:c r="H59" s="23">
        <x:v>18344776</x:v>
      </x:c>
      <x:c r="I59" s="23">
        <x:v>37159710</x:v>
      </x:c>
      <x:c r="J59" s="23">
        <x:f>H59-I59</x:f>
      </x:c>
      <x:c r="K59" s="22">
        <x:v>3</x:v>
      </x:c>
      <x:c r="L59" s="24" t="s">
        <x:v>675</x:v>
      </x:c>
      <x:c r="M59" s="24">
        <x:v>530</x:v>
      </x:c>
      <x:c r="N59" s="27" t="s">
        <x:v>675</x:v>
      </x:c>
      <x:c r="O59" s="27">
        <x:v>530</x:v>
      </x:c>
      <x:c r="P59" s="26"/>
      <x:c r="Q59" s="27"/>
      <x:c r="R59" s="22">
        <x:f>IF(N59="","تکمیل نشده",IF(N59="ادغام با تفصیلی دیگر",IF(O59="","کلید مقصد خالی است",IF(IFERROR(MATCH(O59*1,$A:$A,0),0)=0,"کلید مقصد در این فهرست نیست",IF(O59*1=A59,"ادغام با خودش","OK"))),"OK"))</x:f>
      </x:c>
      <x:c r="S59" s="28"/>
    </x:row>
    <x:row r="60" spans="1:19">
      <x:c r="A60" s="21">
        <x:v>539</x:v>
      </x:c>
      <x:c r="B60" s="22" t="s">
        <x:v>53</x:v>
      </x:c>
      <x:c r="C60" s="22" t="s">
        <x:v>235</x:v>
      </x:c>
      <x:c r="D60" s="22" t="s">
        <x:v>693</x:v>
      </x:c>
      <x:c r="E60" s="22" t="s">
        <x:v>694</x:v>
      </x:c>
      <x:c r="F60" s="22" t="s">
        <x:v>236</x:v>
      </x:c>
      <x:c r="G60" s="22">
        <x:v>34</x:v>
      </x:c>
      <x:c r="H60" s="23">
        <x:v>458974582</x:v>
      </x:c>
      <x:c r="I60" s="23">
        <x:v>563693305</x:v>
      </x:c>
      <x:c r="J60" s="23">
        <x:f>H60-I60</x:f>
      </x:c>
      <x:c r="K60" s="22">
        <x:v>1</x:v>
      </x:c>
      <x:c r="L60" s="24" t="s">
        <x:v>623</x:v>
      </x:c>
      <x:c r="M60" s="24"/>
      <x:c r="N60" s="27" t="s">
        <x:v>623</x:v>
      </x:c>
      <x:c r="O60" s="27"/>
      <x:c r="P60" s="26"/>
      <x:c r="Q60" s="27"/>
      <x:c r="R60" s="22">
        <x:f>IF(N60="","تکمیل نشده",IF(N60="ادغام با تفصیلی دیگر",IF(O60="","کلید مقصد خالی است",IF(IFERROR(MATCH(O60*1,$A:$A,0),0)=0,"کلید مقصد در این فهرست نیست",IF(O60*1=A60,"ادغام با خودش","OK"))),"OK"))</x:f>
      </x:c>
      <x:c r="S60" s="28"/>
    </x:row>
    <x:row r="61" spans="1:19">
      <x:c r="A61" s="21">
        <x:v>540</x:v>
      </x:c>
      <x:c r="B61" s="22" t="s">
        <x:v>53</x:v>
      </x:c>
      <x:c r="C61" s="22" t="s">
        <x:v>235</x:v>
      </x:c>
      <x:c r="D61" s="22" t="s">
        <x:v>695</x:v>
      </x:c>
      <x:c r="E61" s="22" t="s">
        <x:v>696</x:v>
      </x:c>
      <x:c r="F61" s="22" t="s">
        <x:v>236</x:v>
      </x:c>
      <x:c r="G61" s="22">
        <x:v>14</x:v>
      </x:c>
      <x:c r="H61" s="23">
        <x:v>21877561</x:v>
      </x:c>
      <x:c r="I61" s="23">
        <x:v>70442644</x:v>
      </x:c>
      <x:c r="J61" s="23">
        <x:f>H61-I61</x:f>
      </x:c>
      <x:c r="K61" s="22">
        <x:v>1</x:v>
      </x:c>
      <x:c r="L61" s="24" t="s">
        <x:v>623</x:v>
      </x:c>
      <x:c r="M61" s="24"/>
      <x:c r="N61" s="27" t="s">
        <x:v>623</x:v>
      </x:c>
      <x:c r="O61" s="27"/>
      <x:c r="P61" s="26"/>
      <x:c r="Q61" s="27"/>
      <x:c r="R61" s="22">
        <x:f>IF(N61="","تکمیل نشده",IF(N61="ادغام با تفصیلی دیگر",IF(O61="","کلید مقصد خالی است",IF(IFERROR(MATCH(O61*1,$A:$A,0),0)=0,"کلید مقصد در این فهرست نیست",IF(O61*1=A61,"ادغام با خودش","OK"))),"OK"))</x:f>
      </x:c>
      <x:c r="S61" s="28"/>
    </x:row>
    <x:row r="62" spans="1:19">
      <x:c r="A62" s="21">
        <x:v>541</x:v>
      </x:c>
      <x:c r="B62" s="22" t="s">
        <x:v>53</x:v>
      </x:c>
      <x:c r="C62" s="22" t="s">
        <x:v>235</x:v>
      </x:c>
      <x:c r="D62" s="22" t="s">
        <x:v>697</x:v>
      </x:c>
      <x:c r="E62" s="22" t="s">
        <x:v>236</x:v>
      </x:c>
      <x:c r="F62" s="22" t="s">
        <x:v>236</x:v>
      </x:c>
      <x:c r="G62" s="22">
        <x:v>20</x:v>
      </x:c>
      <x:c r="H62" s="23">
        <x:v>75529182</x:v>
      </x:c>
      <x:c r="I62" s="23">
        <x:v>180520455</x:v>
      </x:c>
      <x:c r="J62" s="23">
        <x:f>H62-I62</x:f>
      </x:c>
      <x:c r="K62" s="22">
        <x:v>5</x:v>
      </x:c>
      <x:c r="L62" s="24" t="s">
        <x:v>620</x:v>
      </x:c>
      <x:c r="M62" s="24"/>
      <x:c r="N62" s="27" t="s">
        <x:v>620</x:v>
      </x:c>
      <x:c r="O62" s="27"/>
      <x:c r="P62" s="26"/>
      <x:c r="Q62" s="27"/>
      <x:c r="R62" s="22">
        <x:f>IF(N62="","تکمیل نشده",IF(N62="ادغام با تفصیلی دیگر",IF(O62="","کلید مقصد خالی است",IF(IFERROR(MATCH(O62*1,$A:$A,0),0)=0,"کلید مقصد در این فهرست نیست",IF(O62*1=A62,"ادغام با خودش","OK"))),"OK"))</x:f>
      </x:c>
      <x:c r="S62" s="28"/>
    </x:row>
    <x:row r="63" spans="1:19">
      <x:c r="A63" s="21">
        <x:v>542</x:v>
      </x:c>
      <x:c r="B63" s="22" t="s">
        <x:v>53</x:v>
      </x:c>
      <x:c r="C63" s="22" t="s">
        <x:v>235</x:v>
      </x:c>
      <x:c r="D63" s="22" t="s">
        <x:v>698</x:v>
      </x:c>
      <x:c r="E63" s="22" t="s">
        <x:v>236</x:v>
      </x:c>
      <x:c r="F63" s="22" t="s">
        <x:v>236</x:v>
      </x:c>
      <x:c r="G63" s="22">
        <x:v>13</x:v>
      </x:c>
      <x:c r="H63" s="23">
        <x:v>1919004</x:v>
      </x:c>
      <x:c r="I63" s="23">
        <x:v>4797510</x:v>
      </x:c>
      <x:c r="J63" s="23">
        <x:f>H63-I63</x:f>
      </x:c>
      <x:c r="K63" s="22">
        <x:v>5</x:v>
      </x:c>
      <x:c r="L63" s="24" t="s">
        <x:v>620</x:v>
      </x:c>
      <x:c r="M63" s="24"/>
      <x:c r="N63" s="27" t="s">
        <x:v>620</x:v>
      </x:c>
      <x:c r="O63" s="27"/>
      <x:c r="P63" s="26"/>
      <x:c r="Q63" s="27"/>
      <x:c r="R63" s="22">
        <x:f>IF(N63="","تکمیل نشده",IF(N63="ادغام با تفصیلی دیگر",IF(O63="","کلید مقصد خالی است",IF(IFERROR(MATCH(O63*1,$A:$A,0),0)=0,"کلید مقصد در این فهرست نیست",IF(O63*1=A63,"ادغام با خودش","OK"))),"OK"))</x:f>
      </x:c>
      <x:c r="S63" s="28"/>
    </x:row>
    <x:row r="64" spans="1:19">
      <x:c r="A64" s="21">
        <x:v>543</x:v>
      </x:c>
      <x:c r="B64" s="22" t="s">
        <x:v>53</x:v>
      </x:c>
      <x:c r="C64" s="22" t="s">
        <x:v>235</x:v>
      </x:c>
      <x:c r="D64" s="22" t="s">
        <x:v>699</x:v>
      </x:c>
      <x:c r="E64" s="22" t="s">
        <x:v>700</x:v>
      </x:c>
      <x:c r="F64" s="22" t="s">
        <x:v>236</x:v>
      </x:c>
      <x:c r="G64" s="22">
        <x:v>13</x:v>
      </x:c>
      <x:c r="H64" s="23">
        <x:v>3313872</x:v>
      </x:c>
      <x:c r="I64" s="23">
        <x:v>8284680</x:v>
      </x:c>
      <x:c r="J64" s="23">
        <x:f>H64-I64</x:f>
      </x:c>
      <x:c r="K64" s="22">
        <x:v>1</x:v>
      </x:c>
      <x:c r="L64" s="24" t="s">
        <x:v>623</x:v>
      </x:c>
      <x:c r="M64" s="24"/>
      <x:c r="N64" s="27" t="s">
        <x:v>623</x:v>
      </x:c>
      <x:c r="O64" s="27"/>
      <x:c r="P64" s="26"/>
      <x:c r="Q64" s="27"/>
      <x:c r="R64" s="22">
        <x:f>IF(N64="","تکمیل نشده",IF(N64="ادغام با تفصیلی دیگر",IF(O64="","کلید مقصد خالی است",IF(IFERROR(MATCH(O64*1,$A:$A,0),0)=0,"کلید مقصد در این فهرست نیست",IF(O64*1=A64,"ادغام با خودش","OK"))),"OK"))</x:f>
      </x:c>
      <x:c r="S64" s="28"/>
    </x:row>
    <x:row r="65" spans="1:19">
      <x:c r="A65" s="21">
        <x:v>544</x:v>
      </x:c>
      <x:c r="B65" s="22" t="s">
        <x:v>53</x:v>
      </x:c>
      <x:c r="C65" s="22" t="s">
        <x:v>235</x:v>
      </x:c>
      <x:c r="D65" s="22" t="s">
        <x:v>632</x:v>
      </x:c>
      <x:c r="E65" s="22" t="s">
        <x:v>701</x:v>
      </x:c>
      <x:c r="F65" s="22" t="s">
        <x:v>236</x:v>
      </x:c>
      <x:c r="G65" s="22">
        <x:v>15</x:v>
      </x:c>
      <x:c r="H65" s="23">
        <x:v>19388000</x:v>
      </x:c>
      <x:c r="I65" s="23">
        <x:v>43590000</x:v>
      </x:c>
      <x:c r="J65" s="23">
        <x:f>H65-I65</x:f>
      </x:c>
      <x:c r="K65" s="22">
        <x:v>1</x:v>
      </x:c>
      <x:c r="L65" s="24" t="s">
        <x:v>623</x:v>
      </x:c>
      <x:c r="M65" s="24"/>
      <x:c r="N65" s="27" t="s">
        <x:v>623</x:v>
      </x:c>
      <x:c r="O65" s="27"/>
      <x:c r="P65" s="26"/>
      <x:c r="Q65" s="27"/>
      <x:c r="R65" s="22">
        <x:f>IF(N65="","تکمیل نشده",IF(N65="ادغام با تفصیلی دیگر",IF(O65="","کلید مقصد خالی است",IF(IFERROR(MATCH(O65*1,$A:$A,0),0)=0,"کلید مقصد در این فهرست نیست",IF(O65*1=A65,"ادغام با خودش","OK"))),"OK"))</x:f>
      </x:c>
      <x:c r="S65" s="28"/>
    </x:row>
    <x:row r="66" spans="1:19">
      <x:c r="A66" s="21">
        <x:v>545</x:v>
      </x:c>
      <x:c r="B66" s="22" t="s">
        <x:v>53</x:v>
      </x:c>
      <x:c r="C66" s="22" t="s">
        <x:v>235</x:v>
      </x:c>
      <x:c r="D66" s="22" t="s">
        <x:v>634</x:v>
      </x:c>
      <x:c r="E66" s="22" t="s">
        <x:v>702</x:v>
      </x:c>
      <x:c r="F66" s="22" t="s">
        <x:v>236</x:v>
      </x:c>
      <x:c r="G66" s="22">
        <x:v>13</x:v>
      </x:c>
      <x:c r="H66" s="23">
        <x:v>16275610</x:v>
      </x:c>
      <x:c r="I66" s="23">
        <x:v>40689025</x:v>
      </x:c>
      <x:c r="J66" s="23">
        <x:f>H66-I66</x:f>
      </x:c>
      <x:c r="K66" s="22">
        <x:v>1</x:v>
      </x:c>
      <x:c r="L66" s="24" t="s">
        <x:v>623</x:v>
      </x:c>
      <x:c r="M66" s="24"/>
      <x:c r="N66" s="27" t="s">
        <x:v>623</x:v>
      </x:c>
      <x:c r="O66" s="27"/>
      <x:c r="P66" s="26"/>
      <x:c r="Q66" s="27"/>
      <x:c r="R66" s="22">
        <x:f>IF(N66="","تکمیل نشده",IF(N66="ادغام با تفصیلی دیگر",IF(O66="","کلید مقصد خالی است",IF(IFERROR(MATCH(O66*1,$A:$A,0),0)=0,"کلید مقصد در این فهرست نیست",IF(O66*1=A66,"ادغام با خودش","OK"))),"OK"))</x:f>
      </x:c>
      <x:c r="S66" s="28"/>
    </x:row>
    <x:row r="67" spans="1:19">
      <x:c r="A67" s="21">
        <x:v>546</x:v>
      </x:c>
      <x:c r="B67" s="22" t="s">
        <x:v>53</x:v>
      </x:c>
      <x:c r="C67" s="22" t="s">
        <x:v>235</x:v>
      </x:c>
      <x:c r="D67" s="22" t="s">
        <x:v>703</x:v>
      </x:c>
      <x:c r="E67" s="22" t="s">
        <x:v>704</x:v>
      </x:c>
      <x:c r="F67" s="22" t="s">
        <x:v>236</x:v>
      </x:c>
      <x:c r="G67" s="22">
        <x:v>5</x:v>
      </x:c>
      <x:c r="H67" s="23">
        <x:v>3175020</x:v>
      </x:c>
      <x:c r="I67" s="23">
        <x:v>12700080</x:v>
      </x:c>
      <x:c r="J67" s="23">
        <x:f>H67-I67</x:f>
      </x:c>
      <x:c r="K67" s="22">
        <x:v>1</x:v>
      </x:c>
      <x:c r="L67" s="24" t="s">
        <x:v>623</x:v>
      </x:c>
      <x:c r="M67" s="24"/>
      <x:c r="N67" s="27" t="s">
        <x:v>623</x:v>
      </x:c>
      <x:c r="O67" s="27"/>
      <x:c r="P67" s="26"/>
      <x:c r="Q67" s="27"/>
      <x:c r="R67" s="22">
        <x:f>IF(N67="","تکمیل نشده",IF(N67="ادغام با تفصیلی دیگر",IF(O67="","کلید مقصد خالی است",IF(IFERROR(MATCH(O67*1,$A:$A,0),0)=0,"کلید مقصد در این فهرست نیست",IF(O67*1=A67,"ادغام با خودش","OK"))),"OK"))</x:f>
      </x:c>
      <x:c r="S67" s="28"/>
    </x:row>
    <x:row r="68" spans="1:19">
      <x:c r="A68" s="21">
        <x:v>547</x:v>
      </x:c>
      <x:c r="B68" s="22" t="s">
        <x:v>53</x:v>
      </x:c>
      <x:c r="C68" s="22" t="s">
        <x:v>235</x:v>
      </x:c>
      <x:c r="D68" s="22" t="s">
        <x:v>705</x:v>
      </x:c>
      <x:c r="E68" s="22" t="s">
        <x:v>706</x:v>
      </x:c>
      <x:c r="F68" s="22" t="s">
        <x:v>236</x:v>
      </x:c>
      <x:c r="G68" s="22">
        <x:v>25</x:v>
      </x:c>
      <x:c r="H68" s="23">
        <x:v>16440596</x:v>
      </x:c>
      <x:c r="I68" s="23">
        <x:v>26723990</x:v>
      </x:c>
      <x:c r="J68" s="23">
        <x:f>H68-I68</x:f>
      </x:c>
      <x:c r="K68" s="22">
        <x:v>1</x:v>
      </x:c>
      <x:c r="L68" s="24" t="s">
        <x:v>623</x:v>
      </x:c>
      <x:c r="M68" s="24"/>
      <x:c r="N68" s="27" t="s">
        <x:v>623</x:v>
      </x:c>
      <x:c r="O68" s="27"/>
      <x:c r="P68" s="26"/>
      <x:c r="Q68" s="27"/>
      <x:c r="R68" s="22">
        <x:f>IF(N68="","تکمیل نشده",IF(N68="ادغام با تفصیلی دیگر",IF(O68="","کلید مقصد خالی است",IF(IFERROR(MATCH(O68*1,$A:$A,0),0)=0,"کلید مقصد در این فهرست نیست",IF(O68*1=A68,"ادغام با خودش","OK"))),"OK"))</x:f>
      </x:c>
      <x:c r="S68" s="28"/>
    </x:row>
    <x:row r="69" spans="1:19">
      <x:c r="A69" s="21">
        <x:v>3770</x:v>
      </x:c>
      <x:c r="B69" s="22" t="s">
        <x:v>53</x:v>
      </x:c>
      <x:c r="C69" s="22" t="s">
        <x:v>235</x:v>
      </x:c>
      <x:c r="D69" s="22" t="s">
        <x:v>707</x:v>
      </x:c>
      <x:c r="E69" s="22" t="s">
        <x:v>708</x:v>
      </x:c>
      <x:c r="F69" s="22" t="s">
        <x:v>236</x:v>
      </x:c>
      <x:c r="G69" s="22">
        <x:v>2</x:v>
      </x:c>
      <x:c r="H69" s="23">
        <x:v>34745332</x:v>
      </x:c>
      <x:c r="I69" s="23">
        <x:v>0</x:v>
      </x:c>
      <x:c r="J69" s="23">
        <x:f>H69-I69</x:f>
      </x:c>
      <x:c r="K69" s="22">
        <x:v>1</x:v>
      </x:c>
      <x:c r="L69" s="24" t="s">
        <x:v>623</x:v>
      </x:c>
      <x:c r="M69" s="24"/>
      <x:c r="N69" s="27" t="s">
        <x:v>623</x:v>
      </x:c>
      <x:c r="O69" s="27"/>
      <x:c r="P69" s="26"/>
      <x:c r="Q69" s="27"/>
      <x:c r="R69" s="22">
        <x:f>IF(N69="","تکمیل نشده",IF(N69="ادغام با تفصیلی دیگر",IF(O69="","کلید مقصد خالی است",IF(IFERROR(MATCH(O69*1,$A:$A,0),0)=0,"کلید مقصد در این فهرست نیست",IF(O69*1=A69,"ادغام با خودش","OK"))),"OK"))</x:f>
      </x:c>
      <x:c r="S69" s="28"/>
    </x:row>
    <x:row r="70" spans="1:19">
      <x:c r="A70" s="21">
        <x:v>548</x:v>
      </x:c>
      <x:c r="B70" s="22" t="s">
        <x:v>53</x:v>
      </x:c>
      <x:c r="C70" s="22" t="s">
        <x:v>235</x:v>
      </x:c>
      <x:c r="D70" s="22" t="s">
        <x:v>709</x:v>
      </x:c>
      <x:c r="E70" s="22" t="s">
        <x:v>679</x:v>
      </x:c>
      <x:c r="F70" s="22" t="s">
        <x:v>236</x:v>
      </x:c>
      <x:c r="G70" s="22">
        <x:v>19</x:v>
      </x:c>
      <x:c r="H70" s="23">
        <x:v>22273344</x:v>
      </x:c>
      <x:c r="I70" s="23">
        <x:v>48326570</x:v>
      </x:c>
      <x:c r="J70" s="23">
        <x:f>H70-I70</x:f>
      </x:c>
      <x:c r="K70" s="22">
        <x:v>3</x:v>
      </x:c>
      <x:c r="L70" s="24" t="s">
        <x:v>675</x:v>
      </x:c>
      <x:c r="M70" s="24">
        <x:v>530</x:v>
      </x:c>
      <x:c r="N70" s="27" t="s">
        <x:v>675</x:v>
      </x:c>
      <x:c r="O70" s="27">
        <x:v>530</x:v>
      </x:c>
      <x:c r="P70" s="26"/>
      <x:c r="Q70" s="27"/>
      <x:c r="R70" s="22">
        <x:f>IF(N70="","تکمیل نشده",IF(N70="ادغام با تفصیلی دیگر",IF(O70="","کلید مقصد خالی است",IF(IFERROR(MATCH(O70*1,$A:$A,0),0)=0,"کلید مقصد در این فهرست نیست",IF(O70*1=A70,"ادغام با خودش","OK"))),"OK"))</x:f>
      </x:c>
      <x:c r="S70" s="28"/>
    </x:row>
    <x:row r="71" spans="1:19">
      <x:c r="A71" s="21">
        <x:v>549</x:v>
      </x:c>
      <x:c r="B71" s="22" t="s">
        <x:v>53</x:v>
      </x:c>
      <x:c r="C71" s="22" t="s">
        <x:v>235</x:v>
      </x:c>
      <x:c r="D71" s="22" t="s">
        <x:v>710</x:v>
      </x:c>
      <x:c r="E71" s="22" t="s">
        <x:v>711</x:v>
      </x:c>
      <x:c r="F71" s="22" t="s">
        <x:v>236</x:v>
      </x:c>
      <x:c r="G71" s="22">
        <x:v>26</x:v>
      </x:c>
      <x:c r="H71" s="23">
        <x:v>275130885</x:v>
      </x:c>
      <x:c r="I71" s="23">
        <x:v>598904780</x:v>
      </x:c>
      <x:c r="J71" s="23">
        <x:f>H71-I71</x:f>
      </x:c>
      <x:c r="K71" s="22">
        <x:v>1</x:v>
      </x:c>
      <x:c r="L71" s="24" t="s">
        <x:v>623</x:v>
      </x:c>
      <x:c r="M71" s="24"/>
      <x:c r="N71" s="27" t="s">
        <x:v>623</x:v>
      </x:c>
      <x:c r="O71" s="27"/>
      <x:c r="P71" s="26"/>
      <x:c r="Q71" s="27"/>
      <x:c r="R71" s="22">
        <x:f>IF(N71="","تکمیل نشده",IF(N71="ادغام با تفصیلی دیگر",IF(O71="","کلید مقصد خالی است",IF(IFERROR(MATCH(O71*1,$A:$A,0),0)=0,"کلید مقصد در این فهرست نیست",IF(O71*1=A71,"ادغام با خودش","OK"))),"OK"))</x:f>
      </x:c>
      <x:c r="S71" s="28"/>
    </x:row>
    <x:row r="72" spans="1:19">
      <x:c r="A72" s="21">
        <x:v>550</x:v>
      </x:c>
      <x:c r="B72" s="22" t="s">
        <x:v>53</x:v>
      </x:c>
      <x:c r="C72" s="22" t="s">
        <x:v>235</x:v>
      </x:c>
      <x:c r="D72" s="22" t="s">
        <x:v>712</x:v>
      </x:c>
      <x:c r="E72" s="22" t="s">
        <x:v>713</x:v>
      </x:c>
      <x:c r="F72" s="22" t="s">
        <x:v>236</x:v>
      </x:c>
      <x:c r="G72" s="22">
        <x:v>22</x:v>
      </x:c>
      <x:c r="H72" s="23">
        <x:v>268811835</x:v>
      </x:c>
      <x:c r="I72" s="23">
        <x:v>398972950</x:v>
      </x:c>
      <x:c r="J72" s="23">
        <x:f>H72-I72</x:f>
      </x:c>
      <x:c r="K72" s="22">
        <x:v>1</x:v>
      </x:c>
      <x:c r="L72" s="24" t="s">
        <x:v>623</x:v>
      </x:c>
      <x:c r="M72" s="24"/>
      <x:c r="N72" s="27" t="s">
        <x:v>623</x:v>
      </x:c>
      <x:c r="O72" s="27"/>
      <x:c r="P72" s="26"/>
      <x:c r="Q72" s="27"/>
      <x:c r="R72" s="22">
        <x:f>IF(N72="","تکمیل نشده",IF(N72="ادغام با تفصیلی دیگر",IF(O72="","کلید مقصد خالی است",IF(IFERROR(MATCH(O72*1,$A:$A,0),0)=0,"کلید مقصد در این فهرست نیست",IF(O72*1=A72,"ادغام با خودش","OK"))),"OK"))</x:f>
      </x:c>
      <x:c r="S72" s="28"/>
    </x:row>
    <x:row r="73" spans="1:19">
      <x:c r="A73" s="21">
        <x:v>551</x:v>
      </x:c>
      <x:c r="B73" s="22" t="s">
        <x:v>53</x:v>
      </x:c>
      <x:c r="C73" s="22" t="s">
        <x:v>235</x:v>
      </x:c>
      <x:c r="D73" s="22" t="s">
        <x:v>714</x:v>
      </x:c>
      <x:c r="E73" s="22" t="s">
        <x:v>715</x:v>
      </x:c>
      <x:c r="F73" s="22" t="s">
        <x:v>236</x:v>
      </x:c>
      <x:c r="G73" s="22">
        <x:v>13</x:v>
      </x:c>
      <x:c r="H73" s="23">
        <x:v>15542640</x:v>
      </x:c>
      <x:c r="I73" s="23">
        <x:v>38856600</x:v>
      </x:c>
      <x:c r="J73" s="23">
        <x:f>H73-I73</x:f>
      </x:c>
      <x:c r="K73" s="22">
        <x:v>1</x:v>
      </x:c>
      <x:c r="L73" s="24" t="s">
        <x:v>623</x:v>
      </x:c>
      <x:c r="M73" s="24"/>
      <x:c r="N73" s="27" t="s">
        <x:v>623</x:v>
      </x:c>
      <x:c r="O73" s="27"/>
      <x:c r="P73" s="26"/>
      <x:c r="Q73" s="27"/>
      <x:c r="R73" s="22">
        <x:f>IF(N73="","تکمیل نشده",IF(N73="ادغام با تفصیلی دیگر",IF(O73="","کلید مقصد خالی است",IF(IFERROR(MATCH(O73*1,$A:$A,0),0)=0,"کلید مقصد در این فهرست نیست",IF(O73*1=A73,"ادغام با خودش","OK"))),"OK"))</x:f>
      </x:c>
      <x:c r="S73" s="28"/>
    </x:row>
    <x:row r="74" spans="1:19">
      <x:c r="A74" s="21">
        <x:v>552</x:v>
      </x:c>
      <x:c r="B74" s="22" t="s">
        <x:v>53</x:v>
      </x:c>
      <x:c r="C74" s="22" t="s">
        <x:v>235</x:v>
      </x:c>
      <x:c r="D74" s="22" t="s">
        <x:v>716</x:v>
      </x:c>
      <x:c r="E74" s="22" t="s">
        <x:v>717</x:v>
      </x:c>
      <x:c r="F74" s="22" t="s">
        <x:v>236</x:v>
      </x:c>
      <x:c r="G74" s="22">
        <x:v>14</x:v>
      </x:c>
      <x:c r="H74" s="23">
        <x:v>13847940</x:v>
      </x:c>
      <x:c r="I74" s="23">
        <x:v>26114850</x:v>
      </x:c>
      <x:c r="J74" s="23">
        <x:f>H74-I74</x:f>
      </x:c>
      <x:c r="K74" s="22">
        <x:v>1</x:v>
      </x:c>
      <x:c r="L74" s="24" t="s">
        <x:v>623</x:v>
      </x:c>
      <x:c r="M74" s="24"/>
      <x:c r="N74" s="27" t="s">
        <x:v>623</x:v>
      </x:c>
      <x:c r="O74" s="27"/>
      <x:c r="P74" s="26"/>
      <x:c r="Q74" s="27"/>
      <x:c r="R74" s="22">
        <x:f>IF(N74="","تکمیل نشده",IF(N74="ادغام با تفصیلی دیگر",IF(O74="","کلید مقصد خالی است",IF(IFERROR(MATCH(O74*1,$A:$A,0),0)=0,"کلید مقصد در این فهرست نیست",IF(O74*1=A74,"ادغام با خودش","OK"))),"OK"))</x:f>
      </x:c>
      <x:c r="S74" s="28"/>
    </x:row>
    <x:row r="75" spans="1:19">
      <x:c r="A75" s="21">
        <x:v>3817</x:v>
      </x:c>
      <x:c r="B75" s="22" t="s">
        <x:v>53</x:v>
      </x:c>
      <x:c r="C75" s="22" t="s">
        <x:v>235</x:v>
      </x:c>
      <x:c r="D75" s="22" t="s">
        <x:v>625</x:v>
      </x:c>
      <x:c r="E75" s="22" t="s">
        <x:v>626</x:v>
      </x:c>
      <x:c r="F75" s="22" t="s">
        <x:v>236</x:v>
      </x:c>
      <x:c r="G75" s="22">
        <x:v>1</x:v>
      </x:c>
      <x:c r="H75" s="23">
        <x:v>4500000</x:v>
      </x:c>
      <x:c r="I75" s="23">
        <x:v>0</x:v>
      </x:c>
      <x:c r="J75" s="23">
        <x:f>H75-I75</x:f>
      </x:c>
      <x:c r="K75" s="22">
        <x:v>2</x:v>
      </x:c>
      <x:c r="L75" s="24" t="s">
        <x:v>675</x:v>
      </x:c>
      <x:c r="M75" s="24">
        <x:v>3816</x:v>
      </x:c>
      <x:c r="N75" s="27" t="s">
        <x:v>675</x:v>
      </x:c>
      <x:c r="O75" s="27">
        <x:v>3816</x:v>
      </x:c>
      <x:c r="P75" s="26"/>
      <x:c r="Q75" s="27"/>
      <x:c r="R75" s="22">
        <x:f>IF(N75="","تکمیل نشده",IF(N75="ادغام با تفصیلی دیگر",IF(O75="","کلید مقصد خالی است",IF(IFERROR(MATCH(O75*1,$A:$A,0),0)=0,"کلید مقصد در این فهرست نیست",IF(O75*1=A75,"ادغام با خودش","OK"))),"OK"))</x:f>
      </x:c>
      <x:c r="S75" s="28"/>
    </x:row>
    <x:row r="76" spans="1:19">
      <x:c r="A76" s="21">
        <x:v>553</x:v>
      </x:c>
      <x:c r="B76" s="22" t="s">
        <x:v>53</x:v>
      </x:c>
      <x:c r="C76" s="22" t="s">
        <x:v>235</x:v>
      </x:c>
      <x:c r="D76" s="22" t="s">
        <x:v>718</x:v>
      </x:c>
      <x:c r="E76" s="22" t="s">
        <x:v>236</x:v>
      </x:c>
      <x:c r="F76" s="22" t="s">
        <x:v>236</x:v>
      </x:c>
      <x:c r="G76" s="22">
        <x:v>22</x:v>
      </x:c>
      <x:c r="H76" s="23">
        <x:v>46837831</x:v>
      </x:c>
      <x:c r="I76" s="23">
        <x:v>26238345</x:v>
      </x:c>
      <x:c r="J76" s="23">
        <x:f>H76-I76</x:f>
      </x:c>
      <x:c r="K76" s="22">
        <x:v>5</x:v>
      </x:c>
      <x:c r="L76" s="24" t="s">
        <x:v>620</x:v>
      </x:c>
      <x:c r="M76" s="24"/>
      <x:c r="N76" s="27" t="s">
        <x:v>620</x:v>
      </x:c>
      <x:c r="O76" s="27"/>
      <x:c r="P76" s="26"/>
      <x:c r="Q76" s="27"/>
      <x:c r="R76" s="22">
        <x:f>IF(N76="","تکمیل نشده",IF(N76="ادغام با تفصیلی دیگر",IF(O76="","کلید مقصد خالی است",IF(IFERROR(MATCH(O76*1,$A:$A,0),0)=0,"کلید مقصد در این فهرست نیست",IF(O76*1=A76,"ادغام با خودش","OK"))),"OK"))</x:f>
      </x:c>
      <x:c r="S76" s="28"/>
    </x:row>
    <x:row r="77" spans="1:19">
      <x:c r="A77" s="21">
        <x:v>556</x:v>
      </x:c>
      <x:c r="B77" s="22" t="s">
        <x:v>53</x:v>
      </x:c>
      <x:c r="C77" s="22" t="s">
        <x:v>211</x:v>
      </x:c>
      <x:c r="D77" s="22" t="s">
        <x:v>719</x:v>
      </x:c>
      <x:c r="E77" s="22" t="s">
        <x:v>720</x:v>
      </x:c>
      <x:c r="F77" s="22" t="s">
        <x:v>237</x:v>
      </x:c>
      <x:c r="G77" s="22">
        <x:v>1</x:v>
      </x:c>
      <x:c r="H77" s="23">
        <x:v>0</x:v>
      </x:c>
      <x:c r="I77" s="23">
        <x:v>10000</x:v>
      </x:c>
      <x:c r="J77" s="23">
        <x:f>H77-I77</x:f>
      </x:c>
      <x:c r="K77" s="22">
        <x:v>1</x:v>
      </x:c>
      <x:c r="L77" s="24" t="s">
        <x:v>623</x:v>
      </x:c>
      <x:c r="M77" s="24"/>
      <x:c r="N77" s="27" t="s">
        <x:v>623</x:v>
      </x:c>
      <x:c r="O77" s="27"/>
      <x:c r="P77" s="26"/>
      <x:c r="Q77" s="27"/>
      <x:c r="R77" s="22">
        <x:f>IF(N77="","تکمیل نشده",IF(N77="ادغام با تفصیلی دیگر",IF(O77="","کلید مقصد خالی است",IF(IFERROR(MATCH(O77*1,$A:$A,0),0)=0,"کلید مقصد در این فهرست نیست",IF(O77*1=A77,"ادغام با خودش","OK"))),"OK"))</x:f>
      </x:c>
      <x:c r="S77" s="28"/>
    </x:row>
    <x:row r="78" spans="1:19">
      <x:c r="A78" s="21">
        <x:v>559</x:v>
      </x:c>
      <x:c r="B78" s="22" t="s">
        <x:v>53</x:v>
      </x:c>
      <x:c r="C78" s="22" t="s">
        <x:v>211</x:v>
      </x:c>
      <x:c r="D78" s="22" t="s">
        <x:v>721</x:v>
      </x:c>
      <x:c r="E78" s="22" t="s">
        <x:v>722</x:v>
      </x:c>
      <x:c r="F78" s="22" t="s">
        <x:v>237</x:v>
      </x:c>
      <x:c r="G78" s="22">
        <x:v>1</x:v>
      </x:c>
      <x:c r="H78" s="23">
        <x:v>0</x:v>
      </x:c>
      <x:c r="I78" s="23">
        <x:v>20</x:v>
      </x:c>
      <x:c r="J78" s="23">
        <x:f>H78-I78</x:f>
      </x:c>
      <x:c r="K78" s="22">
        <x:v>2</x:v>
      </x:c>
      <x:c r="L78" s="24" t="s">
        <x:v>623</x:v>
      </x:c>
      <x:c r="M78" s="24"/>
      <x:c r="N78" s="27" t="s">
        <x:v>623</x:v>
      </x:c>
      <x:c r="O78" s="27"/>
      <x:c r="P78" s="26"/>
      <x:c r="Q78" s="27"/>
      <x:c r="R78" s="22">
        <x:f>IF(N78="","تکمیل نشده",IF(N78="ادغام با تفصیلی دیگر",IF(O78="","کلید مقصد خالی است",IF(IFERROR(MATCH(O78*1,$A:$A,0),0)=0,"کلید مقصد در این فهرست نیست",IF(O78*1=A78,"ادغام با خودش","OK"))),"OK"))</x:f>
      </x:c>
      <x:c r="S78" s="28"/>
    </x:row>
    <x:row r="79" spans="1:19">
      <x:c r="A79" s="21">
        <x:v>560</x:v>
      </x:c>
      <x:c r="B79" s="22" t="s">
        <x:v>53</x:v>
      </x:c>
      <x:c r="C79" s="22" t="s">
        <x:v>211</x:v>
      </x:c>
      <x:c r="D79" s="22" t="s">
        <x:v>723</x:v>
      </x:c>
      <x:c r="E79" s="22" t="s">
        <x:v>724</x:v>
      </x:c>
      <x:c r="F79" s="22" t="s">
        <x:v>237</x:v>
      </x:c>
      <x:c r="G79" s="22">
        <x:v>3</x:v>
      </x:c>
      <x:c r="H79" s="23">
        <x:v>9820</x:v>
      </x:c>
      <x:c r="I79" s="23">
        <x:v>60000000</x:v>
      </x:c>
      <x:c r="J79" s="23">
        <x:f>H79-I79</x:f>
      </x:c>
      <x:c r="K79" s="22">
        <x:v>3</x:v>
      </x:c>
      <x:c r="L79" s="24" t="s">
        <x:v>623</x:v>
      </x:c>
      <x:c r="M79" s="24"/>
      <x:c r="N79" s="27" t="s">
        <x:v>623</x:v>
      </x:c>
      <x:c r="O79" s="27"/>
      <x:c r="P79" s="26"/>
      <x:c r="Q79" s="27"/>
      <x:c r="R79" s="22">
        <x:f>IF(N79="","تکمیل نشده",IF(N79="ادغام با تفصیلی دیگر",IF(O79="","کلید مقصد خالی است",IF(IFERROR(MATCH(O79*1,$A:$A,0),0)=0,"کلید مقصد در این فهرست نیست",IF(O79*1=A79,"ادغام با خودش","OK"))),"OK"))</x:f>
      </x:c>
      <x:c r="S79" s="28"/>
    </x:row>
    <x:row r="80" spans="1:19">
      <x:c r="A80" s="21">
        <x:v>561</x:v>
      </x:c>
      <x:c r="B80" s="22" t="s">
        <x:v>53</x:v>
      </x:c>
      <x:c r="C80" s="22" t="s">
        <x:v>211</x:v>
      </x:c>
      <x:c r="D80" s="22" t="s">
        <x:v>725</x:v>
      </x:c>
      <x:c r="E80" s="22" t="s">
        <x:v>726</x:v>
      </x:c>
      <x:c r="F80" s="22" t="s">
        <x:v>237</x:v>
      </x:c>
      <x:c r="G80" s="22">
        <x:v>2</x:v>
      </x:c>
      <x:c r="H80" s="23">
        <x:v>0</x:v>
      </x:c>
      <x:c r="I80" s="23">
        <x:v>110</x:v>
      </x:c>
      <x:c r="J80" s="23">
        <x:f>H80-I80</x:f>
      </x:c>
      <x:c r="K80" s="22">
        <x:v>1</x:v>
      </x:c>
      <x:c r="L80" s="24" t="s">
        <x:v>623</x:v>
      </x:c>
      <x:c r="M80" s="24"/>
      <x:c r="N80" s="27" t="s">
        <x:v>623</x:v>
      </x:c>
      <x:c r="O80" s="27"/>
      <x:c r="P80" s="26"/>
      <x:c r="Q80" s="27"/>
      <x:c r="R80" s="22">
        <x:f>IF(N80="","تکمیل نشده",IF(N80="ادغام با تفصیلی دیگر",IF(O80="","کلید مقصد خالی است",IF(IFERROR(MATCH(O80*1,$A:$A,0),0)=0,"کلید مقصد در این فهرست نیست",IF(O80*1=A80,"ادغام با خودش","OK"))),"OK"))</x:f>
      </x:c>
      <x:c r="S80" s="28"/>
    </x:row>
    <x:row r="81" spans="1:19">
      <x:c r="A81" s="21">
        <x:v>562</x:v>
      </x:c>
      <x:c r="B81" s="22" t="s">
        <x:v>53</x:v>
      </x:c>
      <x:c r="C81" s="22" t="s">
        <x:v>211</x:v>
      </x:c>
      <x:c r="D81" s="22" t="s">
        <x:v>727</x:v>
      </x:c>
      <x:c r="E81" s="22" t="s">
        <x:v>728</x:v>
      </x:c>
      <x:c r="F81" s="22" t="s">
        <x:v>237</x:v>
      </x:c>
      <x:c r="G81" s="22">
        <x:v>7</x:v>
      </x:c>
      <x:c r="H81" s="23">
        <x:v>229400</x:v>
      </x:c>
      <x:c r="I81" s="23">
        <x:v>1064000</x:v>
      </x:c>
      <x:c r="J81" s="23">
        <x:f>H81-I81</x:f>
      </x:c>
      <x:c r="K81" s="22">
        <x:v>3</x:v>
      </x:c>
      <x:c r="L81" s="24" t="s">
        <x:v>623</x:v>
      </x:c>
      <x:c r="M81" s="24"/>
      <x:c r="N81" s="27" t="s">
        <x:v>623</x:v>
      </x:c>
      <x:c r="O81" s="27"/>
      <x:c r="P81" s="26"/>
      <x:c r="Q81" s="27"/>
      <x:c r="R81" s="22">
        <x:f>IF(N81="","تکمیل نشده",IF(N81="ادغام با تفصیلی دیگر",IF(O81="","کلید مقصد خالی است",IF(IFERROR(MATCH(O81*1,$A:$A,0),0)=0,"کلید مقصد در این فهرست نیست",IF(O81*1=A81,"ادغام با خودش","OK"))),"OK"))</x:f>
      </x:c>
      <x:c r="S81" s="28"/>
    </x:row>
    <x:row r="82" spans="1:19">
      <x:c r="A82" s="21">
        <x:v>563</x:v>
      </x:c>
      <x:c r="B82" s="22" t="s">
        <x:v>53</x:v>
      </x:c>
      <x:c r="C82" s="22" t="s">
        <x:v>211</x:v>
      </x:c>
      <x:c r="D82" s="22" t="s">
        <x:v>729</x:v>
      </x:c>
      <x:c r="E82" s="22" t="s">
        <x:v>730</x:v>
      </x:c>
      <x:c r="F82" s="22" t="s">
        <x:v>237</x:v>
      </x:c>
      <x:c r="G82" s="22">
        <x:v>60</x:v>
      </x:c>
      <x:c r="H82" s="23">
        <x:v>1971048181</x:v>
      </x:c>
      <x:c r="I82" s="23">
        <x:v>1972568181</x:v>
      </x:c>
      <x:c r="J82" s="23">
        <x:f>H82-I82</x:f>
      </x:c>
      <x:c r="K82" s="22">
        <x:v>5</x:v>
      </x:c>
      <x:c r="L82" s="24" t="s">
        <x:v>623</x:v>
      </x:c>
      <x:c r="M82" s="24"/>
      <x:c r="N82" s="27" t="s">
        <x:v>623</x:v>
      </x:c>
      <x:c r="O82" s="27"/>
      <x:c r="P82" s="26"/>
      <x:c r="Q82" s="27"/>
      <x:c r="R82" s="22">
        <x:f>IF(N82="","تکمیل نشده",IF(N82="ادغام با تفصیلی دیگر",IF(O82="","کلید مقصد خالی است",IF(IFERROR(MATCH(O82*1,$A:$A,0),0)=0,"کلید مقصد در این فهرست نیست",IF(O82*1=A82,"ادغام با خودش","OK"))),"OK"))</x:f>
      </x:c>
      <x:c r="S82" s="28"/>
    </x:row>
    <x:row r="83" spans="1:19">
      <x:c r="A83" s="21">
        <x:v>564</x:v>
      </x:c>
      <x:c r="B83" s="22" t="s">
        <x:v>53</x:v>
      </x:c>
      <x:c r="C83" s="22" t="s">
        <x:v>211</x:v>
      </x:c>
      <x:c r="D83" s="22" t="s">
        <x:v>731</x:v>
      </x:c>
      <x:c r="E83" s="22" t="s">
        <x:v>732</x:v>
      </x:c>
      <x:c r="F83" s="22" t="s">
        <x:v>237</x:v>
      </x:c>
      <x:c r="G83" s="22">
        <x:v>2</x:v>
      </x:c>
      <x:c r="H83" s="23">
        <x:v>50000</x:v>
      </x:c>
      <x:c r="I83" s="23">
        <x:v>112893040</x:v>
      </x:c>
      <x:c r="J83" s="23">
        <x:f>H83-I83</x:f>
      </x:c>
      <x:c r="K83" s="22">
        <x:v>1</x:v>
      </x:c>
      <x:c r="L83" s="24" t="s">
        <x:v>623</x:v>
      </x:c>
      <x:c r="M83" s="24"/>
      <x:c r="N83" s="27" t="s">
        <x:v>623</x:v>
      </x:c>
      <x:c r="O83" s="27"/>
      <x:c r="P83" s="26"/>
      <x:c r="Q83" s="27"/>
      <x:c r="R83" s="22">
        <x:f>IF(N83="","تکمیل نشده",IF(N83="ادغام با تفصیلی دیگر",IF(O83="","کلید مقصد خالی است",IF(IFERROR(MATCH(O83*1,$A:$A,0),0)=0,"کلید مقصد در این فهرست نیست",IF(O83*1=A83,"ادغام با خودش","OK"))),"OK"))</x:f>
      </x:c>
      <x:c r="S83" s="28"/>
    </x:row>
    <x:row r="84" spans="1:19">
      <x:c r="A84" s="21">
        <x:v>576</x:v>
      </x:c>
      <x:c r="B84" s="22" t="s">
        <x:v>53</x:v>
      </x:c>
      <x:c r="C84" s="22" t="s">
        <x:v>211</x:v>
      </x:c>
      <x:c r="D84" s="22" t="s">
        <x:v>733</x:v>
      </x:c>
      <x:c r="E84" s="22" t="s">
        <x:v>734</x:v>
      </x:c>
      <x:c r="F84" s="22" t="s">
        <x:v>237</x:v>
      </x:c>
      <x:c r="G84" s="22">
        <x:v>8</x:v>
      </x:c>
      <x:c r="H84" s="23">
        <x:v>2277500</x:v>
      </x:c>
      <x:c r="I84" s="23">
        <x:v>9707500</x:v>
      </x:c>
      <x:c r="J84" s="23">
        <x:f>H84-I84</x:f>
      </x:c>
      <x:c r="K84" s="22">
        <x:v>4</x:v>
      </x:c>
      <x:c r="L84" s="24" t="s">
        <x:v>623</x:v>
      </x:c>
      <x:c r="M84" s="24"/>
      <x:c r="N84" s="27" t="s">
        <x:v>623</x:v>
      </x:c>
      <x:c r="O84" s="27"/>
      <x:c r="P84" s="26"/>
      <x:c r="Q84" s="27"/>
      <x:c r="R84" s="22">
        <x:f>IF(N84="","تکمیل نشده",IF(N84="ادغام با تفصیلی دیگر",IF(O84="","کلید مقصد خالی است",IF(IFERROR(MATCH(O84*1,$A:$A,0),0)=0,"کلید مقصد در این فهرست نیست",IF(O84*1=A84,"ادغام با خودش","OK"))),"OK"))</x:f>
      </x:c>
      <x:c r="S84" s="28"/>
    </x:row>
    <x:row r="85" spans="1:19">
      <x:c r="A85" s="21">
        <x:v>586</x:v>
      </x:c>
      <x:c r="B85" s="22" t="s">
        <x:v>53</x:v>
      </x:c>
      <x:c r="C85" s="22" t="s">
        <x:v>211</x:v>
      </x:c>
      <x:c r="D85" s="22" t="s">
        <x:v>735</x:v>
      </x:c>
      <x:c r="E85" s="22" t="s">
        <x:v>736</x:v>
      </x:c>
      <x:c r="F85" s="22" t="s">
        <x:v>237</x:v>
      </x:c>
      <x:c r="G85" s="22">
        <x:v>6</x:v>
      </x:c>
      <x:c r="H85" s="23">
        <x:v>72060</x:v>
      </x:c>
      <x:c r="I85" s="23">
        <x:v>360300</x:v>
      </x:c>
      <x:c r="J85" s="23">
        <x:f>H85-I85</x:f>
      </x:c>
      <x:c r="K85" s="22">
        <x:v>3</x:v>
      </x:c>
      <x:c r="L85" s="24" t="s">
        <x:v>623</x:v>
      </x:c>
      <x:c r="M85" s="24"/>
      <x:c r="N85" s="27" t="s">
        <x:v>623</x:v>
      </x:c>
      <x:c r="O85" s="27"/>
      <x:c r="P85" s="26"/>
      <x:c r="Q85" s="27"/>
      <x:c r="R85" s="22">
        <x:f>IF(N85="","تکمیل نشده",IF(N85="ادغام با تفصیلی دیگر",IF(O85="","کلید مقصد خالی است",IF(IFERROR(MATCH(O85*1,$A:$A,0),0)=0,"کلید مقصد در این فهرست نیست",IF(O85*1=A85,"ادغام با خودش","OK"))),"OK"))</x:f>
      </x:c>
      <x:c r="S85" s="28"/>
    </x:row>
    <x:row r="86" spans="1:19">
      <x:c r="A86" s="21">
        <x:v>587</x:v>
      </x:c>
      <x:c r="B86" s="22" t="s">
        <x:v>53</x:v>
      </x:c>
      <x:c r="C86" s="22" t="s">
        <x:v>211</x:v>
      </x:c>
      <x:c r="D86" s="22" t="s">
        <x:v>737</x:v>
      </x:c>
      <x:c r="E86" s="22" t="s">
        <x:v>738</x:v>
      </x:c>
      <x:c r="F86" s="22" t="s">
        <x:v>237</x:v>
      </x:c>
      <x:c r="G86" s="22">
        <x:v>6</x:v>
      </x:c>
      <x:c r="H86" s="23">
        <x:v>55404</x:v>
      </x:c>
      <x:c r="I86" s="23">
        <x:v>277020</x:v>
      </x:c>
      <x:c r="J86" s="23">
        <x:f>H86-I86</x:f>
      </x:c>
      <x:c r="K86" s="22">
        <x:v>3</x:v>
      </x:c>
      <x:c r="L86" s="24" t="s">
        <x:v>623</x:v>
      </x:c>
      <x:c r="M86" s="24"/>
      <x:c r="N86" s="27" t="s">
        <x:v>623</x:v>
      </x:c>
      <x:c r="O86" s="27"/>
      <x:c r="P86" s="26"/>
      <x:c r="Q86" s="27"/>
      <x:c r="R86" s="22">
        <x:f>IF(N86="","تکمیل نشده",IF(N86="ادغام با تفصیلی دیگر",IF(O86="","کلید مقصد خالی است",IF(IFERROR(MATCH(O86*1,$A:$A,0),0)=0,"کلید مقصد در این فهرست نیست",IF(O86*1=A86,"ادغام با خودش","OK"))),"OK"))</x:f>
      </x:c>
      <x:c r="S86" s="28"/>
    </x:row>
    <x:row r="87" spans="1:19">
      <x:c r="A87" s="21">
        <x:v>588</x:v>
      </x:c>
      <x:c r="B87" s="22" t="s">
        <x:v>53</x:v>
      </x:c>
      <x:c r="C87" s="22" t="s">
        <x:v>211</x:v>
      </x:c>
      <x:c r="D87" s="22" t="s">
        <x:v>739</x:v>
      </x:c>
      <x:c r="E87" s="22" t="s">
        <x:v>740</x:v>
      </x:c>
      <x:c r="F87" s="22" t="s">
        <x:v>237</x:v>
      </x:c>
      <x:c r="G87" s="22">
        <x:v>7</x:v>
      </x:c>
      <x:c r="H87" s="23">
        <x:v>504340</x:v>
      </x:c>
      <x:c r="I87" s="23">
        <x:v>986700</x:v>
      </x:c>
      <x:c r="J87" s="23">
        <x:f>H87-I87</x:f>
      </x:c>
      <x:c r="K87" s="22">
        <x:v>3</x:v>
      </x:c>
      <x:c r="L87" s="24" t="s">
        <x:v>623</x:v>
      </x:c>
      <x:c r="M87" s="24"/>
      <x:c r="N87" s="27" t="s">
        <x:v>623</x:v>
      </x:c>
      <x:c r="O87" s="27"/>
      <x:c r="P87" s="26"/>
      <x:c r="Q87" s="27"/>
      <x:c r="R87" s="22">
        <x:f>IF(N87="","تکمیل نشده",IF(N87="ادغام با تفصیلی دیگر",IF(O87="","کلید مقصد خالی است",IF(IFERROR(MATCH(O87*1,$A:$A,0),0)=0,"کلید مقصد در این فهرست نیست",IF(O87*1=A87,"ادغام با خودش","OK"))),"OK"))</x:f>
      </x:c>
      <x:c r="S87" s="28"/>
    </x:row>
    <x:row r="88" spans="1:19">
      <x:c r="A88" s="21">
        <x:v>3772</x:v>
      </x:c>
      <x:c r="B88" s="22" t="s">
        <x:v>53</x:v>
      </x:c>
      <x:c r="C88" s="22" t="s">
        <x:v>211</x:v>
      </x:c>
      <x:c r="D88" s="22" t="s">
        <x:v>741</x:v>
      </x:c>
      <x:c r="E88" s="22" t="s">
        <x:v>742</x:v>
      </x:c>
      <x:c r="F88" s="22" t="s">
        <x:v>237</x:v>
      </x:c>
      <x:c r="G88" s="22">
        <x:v>3</x:v>
      </x:c>
      <x:c r="H88" s="23">
        <x:v>13125020</x:v>
      </x:c>
      <x:c r="I88" s="23">
        <x:v>2918000</x:v>
      </x:c>
      <x:c r="J88" s="23">
        <x:f>H88-I88</x:f>
      </x:c>
      <x:c r="K88" s="22">
        <x:v>3</x:v>
      </x:c>
      <x:c r="L88" s="24" t="s">
        <x:v>623</x:v>
      </x:c>
      <x:c r="M88" s="24"/>
      <x:c r="N88" s="27" t="s">
        <x:v>623</x:v>
      </x:c>
      <x:c r="O88" s="27"/>
      <x:c r="P88" s="26"/>
      <x:c r="Q88" s="27"/>
      <x:c r="R88" s="22">
        <x:f>IF(N88="","تکمیل نشده",IF(N88="ادغام با تفصیلی دیگر",IF(O88="","کلید مقصد خالی است",IF(IFERROR(MATCH(O88*1,$A:$A,0),0)=0,"کلید مقصد در این فهرست نیست",IF(O88*1=A88,"ادغام با خودش","OK"))),"OK"))</x:f>
      </x:c>
      <x:c r="S88" s="28"/>
    </x:row>
    <x:row r="89" spans="1:19">
      <x:c r="A89" s="21">
        <x:v>3842</x:v>
      </x:c>
      <x:c r="B89" s="22" t="s">
        <x:v>53</x:v>
      </x:c>
      <x:c r="C89" s="22" t="s">
        <x:v>211</x:v>
      </x:c>
      <x:c r="D89" s="22" t="s">
        <x:v>743</x:v>
      </x:c>
      <x:c r="E89" s="22" t="s">
        <x:v>744</x:v>
      </x:c>
      <x:c r="F89" s="22" t="s">
        <x:v>237</x:v>
      </x:c>
      <x:c r="G89" s="22">
        <x:v>2</x:v>
      </x:c>
      <x:c r="H89" s="23">
        <x:v>4030000</x:v>
      </x:c>
      <x:c r="I89" s="23">
        <x:v>4030000</x:v>
      </x:c>
      <x:c r="J89" s="23">
        <x:f>H89-I89</x:f>
      </x:c>
      <x:c r="K89" s="22">
        <x:v>3</x:v>
      </x:c>
      <x:c r="L89" s="24" t="s">
        <x:v>623</x:v>
      </x:c>
      <x:c r="M89" s="24"/>
      <x:c r="N89" s="27" t="s">
        <x:v>623</x:v>
      </x:c>
      <x:c r="O89" s="27"/>
      <x:c r="P89" s="26"/>
      <x:c r="Q89" s="27"/>
      <x:c r="R89" s="22">
        <x:f>IF(N89="","تکمیل نشده",IF(N89="ادغام با تفصیلی دیگر",IF(O89="","کلید مقصد خالی است",IF(IFERROR(MATCH(O89*1,$A:$A,0),0)=0,"کلید مقصد در این فهرست نیست",IF(O89*1=A89,"ادغام با خودش","OK"))),"OK"))</x:f>
      </x:c>
      <x:c r="S89" s="28"/>
    </x:row>
    <x:row r="90" spans="1:19">
      <x:c r="A90" s="21">
        <x:v>3866</x:v>
      </x:c>
      <x:c r="B90" s="22" t="s">
        <x:v>53</x:v>
      </x:c>
      <x:c r="C90" s="22" t="s">
        <x:v>211</x:v>
      </x:c>
      <x:c r="D90" s="22" t="s">
        <x:v>745</x:v>
      </x:c>
      <x:c r="E90" s="22" t="s">
        <x:v>746</x:v>
      </x:c>
      <x:c r="F90" s="22" t="s">
        <x:v>237</x:v>
      </x:c>
      <x:c r="G90" s="22">
        <x:v>1</x:v>
      </x:c>
      <x:c r="H90" s="23">
        <x:v>15000000</x:v>
      </x:c>
      <x:c r="I90" s="23">
        <x:v>0</x:v>
      </x:c>
      <x:c r="J90" s="23">
        <x:f>H90-I90</x:f>
      </x:c>
      <x:c r="K90" s="22">
        <x:v>1</x:v>
      </x:c>
      <x:c r="L90" s="24" t="s">
        <x:v>623</x:v>
      </x:c>
      <x:c r="M90" s="24"/>
      <x:c r="N90" s="27" t="s">
        <x:v>623</x:v>
      </x:c>
      <x:c r="O90" s="27"/>
      <x:c r="P90" s="26"/>
      <x:c r="Q90" s="27"/>
      <x:c r="R90" s="22">
        <x:f>IF(N90="","تکمیل نشده",IF(N90="ادغام با تفصیلی دیگر",IF(O90="","کلید مقصد خالی است",IF(IFERROR(MATCH(O90*1,$A:$A,0),0)=0,"کلید مقصد در این فهرست نیست",IF(O90*1=A90,"ادغام با خودش","OK"))),"OK"))</x:f>
      </x:c>
      <x:c r="S90" s="28"/>
    </x:row>
    <x:row r="91" spans="1:19">
      <x:c r="A91" s="21">
        <x:v>3867</x:v>
      </x:c>
      <x:c r="B91" s="22" t="s">
        <x:v>53</x:v>
      </x:c>
      <x:c r="C91" s="22" t="s">
        <x:v>211</x:v>
      </x:c>
      <x:c r="D91" s="22" t="s">
        <x:v>747</x:v>
      </x:c>
      <x:c r="E91" s="22" t="s">
        <x:v>748</x:v>
      </x:c>
      <x:c r="F91" s="22" t="s">
        <x:v>237</x:v>
      </x:c>
      <x:c r="G91" s="22">
        <x:v>1</x:v>
      </x:c>
      <x:c r="H91" s="23">
        <x:v>45000000</x:v>
      </x:c>
      <x:c r="I91" s="23">
        <x:v>0</x:v>
      </x:c>
      <x:c r="J91" s="23">
        <x:f>H91-I91</x:f>
      </x:c>
      <x:c r="K91" s="22">
        <x:v>1</x:v>
      </x:c>
      <x:c r="L91" s="24" t="s">
        <x:v>623</x:v>
      </x:c>
      <x:c r="M91" s="24"/>
      <x:c r="N91" s="27" t="s">
        <x:v>623</x:v>
      </x:c>
      <x:c r="O91" s="27"/>
      <x:c r="P91" s="26"/>
      <x:c r="Q91" s="27"/>
      <x:c r="R91" s="22">
        <x:f>IF(N91="","تکمیل نشده",IF(N91="ادغام با تفصیلی دیگر",IF(O91="","کلید مقصد خالی است",IF(IFERROR(MATCH(O91*1,$A:$A,0),0)=0,"کلید مقصد در این فهرست نیست",IF(O91*1=A91,"ادغام با خودش","OK"))),"OK"))</x:f>
      </x:c>
      <x:c r="S91" s="28"/>
    </x:row>
    <x:row r="92" spans="1:19">
      <x:c r="A92" s="21">
        <x:v>3868</x:v>
      </x:c>
      <x:c r="B92" s="22" t="s">
        <x:v>53</x:v>
      </x:c>
      <x:c r="C92" s="22" t="s">
        <x:v>211</x:v>
      </x:c>
      <x:c r="D92" s="22" t="s">
        <x:v>749</x:v>
      </x:c>
      <x:c r="E92" s="22" t="s">
        <x:v>750</x:v>
      </x:c>
      <x:c r="F92" s="22" t="s">
        <x:v>237</x:v>
      </x:c>
      <x:c r="G92" s="22">
        <x:v>1</x:v>
      </x:c>
      <x:c r="H92" s="23">
        <x:v>15000000</x:v>
      </x:c>
      <x:c r="I92" s="23">
        <x:v>0</x:v>
      </x:c>
      <x:c r="J92" s="23">
        <x:f>H92-I92</x:f>
      </x:c>
      <x:c r="K92" s="22">
        <x:v>2</x:v>
      </x:c>
      <x:c r="L92" s="24" t="s">
        <x:v>623</x:v>
      </x:c>
      <x:c r="M92" s="24"/>
      <x:c r="N92" s="27" t="s">
        <x:v>623</x:v>
      </x:c>
      <x:c r="O92" s="27"/>
      <x:c r="P92" s="26"/>
      <x:c r="Q92" s="27"/>
      <x:c r="R92" s="22">
        <x:f>IF(N92="","تکمیل نشده",IF(N92="ادغام با تفصیلی دیگر",IF(O92="","کلید مقصد خالی است",IF(IFERROR(MATCH(O92*1,$A:$A,0),0)=0,"کلید مقصد در این فهرست نیست",IF(O92*1=A92,"ادغام با خودش","OK"))),"OK"))</x:f>
      </x:c>
      <x:c r="S92" s="28"/>
    </x:row>
    <x:row r="93" spans="1:19">
      <x:c r="A93" s="21">
        <x:v>633</x:v>
      </x:c>
      <x:c r="B93" s="22" t="s">
        <x:v>53</x:v>
      </x:c>
      <x:c r="C93" s="22" t="s">
        <x:v>211</x:v>
      </x:c>
      <x:c r="D93" s="22" t="s">
        <x:v>621</x:v>
      </x:c>
      <x:c r="E93" s="22" t="s">
        <x:v>751</x:v>
      </x:c>
      <x:c r="F93" s="22" t="s">
        <x:v>237</x:v>
      </x:c>
      <x:c r="G93" s="22">
        <x:v>1</x:v>
      </x:c>
      <x:c r="H93" s="23">
        <x:v>20</x:v>
      </x:c>
      <x:c r="I93" s="23">
        <x:v>0</x:v>
      </x:c>
      <x:c r="J93" s="23">
        <x:f>H93-I93</x:f>
      </x:c>
      <x:c r="K93" s="22">
        <x:v>1</x:v>
      </x:c>
      <x:c r="L93" s="24" t="s">
        <x:v>623</x:v>
      </x:c>
      <x:c r="M93" s="24"/>
      <x:c r="N93" s="27" t="s">
        <x:v>623</x:v>
      </x:c>
      <x:c r="O93" s="27"/>
      <x:c r="P93" s="26"/>
      <x:c r="Q93" s="27"/>
      <x:c r="R93" s="22">
        <x:f>IF(N93="","تکمیل نشده",IF(N93="ادغام با تفصیلی دیگر",IF(O93="","کلید مقصد خالی است",IF(IFERROR(MATCH(O93*1,$A:$A,0),0)=0,"کلید مقصد در این فهرست نیست",IF(O93*1=A93,"ادغام با خودش","OK"))),"OK"))</x:f>
      </x:c>
      <x:c r="S93" s="28"/>
    </x:row>
    <x:row r="94" spans="1:19">
      <x:c r="A94" s="21">
        <x:v>653</x:v>
      </x:c>
      <x:c r="B94" s="22" t="s">
        <x:v>53</x:v>
      </x:c>
      <x:c r="C94" s="22" t="s">
        <x:v>211</x:v>
      </x:c>
      <x:c r="D94" s="22" t="s">
        <x:v>752</x:v>
      </x:c>
      <x:c r="E94" s="22" t="s">
        <x:v>753</x:v>
      </x:c>
      <x:c r="F94" s="22" t="s">
        <x:v>237</x:v>
      </x:c>
      <x:c r="G94" s="22">
        <x:v>3</x:v>
      </x:c>
      <x:c r="H94" s="23">
        <x:v>40</x:v>
      </x:c>
      <x:c r="I94" s="23">
        <x:v>0</x:v>
      </x:c>
      <x:c r="J94" s="23">
        <x:f>H94-I94</x:f>
      </x:c>
      <x:c r="K94" s="22">
        <x:v>1</x:v>
      </x:c>
      <x:c r="L94" s="24" t="s">
        <x:v>623</x:v>
      </x:c>
      <x:c r="M94" s="24"/>
      <x:c r="N94" s="27" t="s">
        <x:v>623</x:v>
      </x:c>
      <x:c r="O94" s="27"/>
      <x:c r="P94" s="26"/>
      <x:c r="Q94" s="27"/>
      <x:c r="R94" s="22">
        <x:f>IF(N94="","تکمیل نشده",IF(N94="ادغام با تفصیلی دیگر",IF(O94="","کلید مقصد خالی است",IF(IFERROR(MATCH(O94*1,$A:$A,0),0)=0,"کلید مقصد در این فهرست نیست",IF(O94*1=A94,"ادغام با خودش","OK"))),"OK"))</x:f>
      </x:c>
      <x:c r="S94" s="28"/>
    </x:row>
    <x:row r="95" spans="1:19">
      <x:c r="A95" s="21">
        <x:v>657</x:v>
      </x:c>
      <x:c r="B95" s="22" t="s">
        <x:v>53</x:v>
      </x:c>
      <x:c r="C95" s="22" t="s">
        <x:v>211</x:v>
      </x:c>
      <x:c r="D95" s="22" t="s">
        <x:v>754</x:v>
      </x:c>
      <x:c r="E95" s="22" t="s">
        <x:v>755</x:v>
      </x:c>
      <x:c r="F95" s="22" t="s">
        <x:v>237</x:v>
      </x:c>
      <x:c r="G95" s="22">
        <x:v>77</x:v>
      </x:c>
      <x:c r="H95" s="23">
        <x:v>1226670938</x:v>
      </x:c>
      <x:c r="I95" s="23">
        <x:v>1277970090</x:v>
      </x:c>
      <x:c r="J95" s="23">
        <x:f>H95-I95</x:f>
      </x:c>
      <x:c r="K95" s="22">
        <x:v>2</x:v>
      </x:c>
      <x:c r="L95" s="24" t="s">
        <x:v>623</x:v>
      </x:c>
      <x:c r="M95" s="24"/>
      <x:c r="N95" s="27" t="s">
        <x:v>623</x:v>
      </x:c>
      <x:c r="O95" s="27"/>
      <x:c r="P95" s="26"/>
      <x:c r="Q95" s="27"/>
      <x:c r="R95" s="22">
        <x:f>IF(N95="","تکمیل نشده",IF(N95="ادغام با تفصیلی دیگر",IF(O95="","کلید مقصد خالی است",IF(IFERROR(MATCH(O95*1,$A:$A,0),0)=0,"کلید مقصد در این فهرست نیست",IF(O95*1=A95,"ادغام با خودش","OK"))),"OK"))</x:f>
      </x:c>
      <x:c r="S95" s="28"/>
    </x:row>
    <x:row r="96" spans="1:19">
      <x:c r="A96" s="21">
        <x:v>664</x:v>
      </x:c>
      <x:c r="B96" s="22" t="s">
        <x:v>53</x:v>
      </x:c>
      <x:c r="C96" s="22" t="s">
        <x:v>211</x:v>
      </x:c>
      <x:c r="D96" s="22" t="s">
        <x:v>756</x:v>
      </x:c>
      <x:c r="E96" s="22" t="s">
        <x:v>757</x:v>
      </x:c>
      <x:c r="F96" s="22" t="s">
        <x:v>237</x:v>
      </x:c>
      <x:c r="G96" s="22">
        <x:v>6</x:v>
      </x:c>
      <x:c r="H96" s="23">
        <x:v>209953</x:v>
      </x:c>
      <x:c r="I96" s="23">
        <x:v>1049765</x:v>
      </x:c>
      <x:c r="J96" s="23">
        <x:f>H96-I96</x:f>
      </x:c>
      <x:c r="K96" s="22">
        <x:v>3</x:v>
      </x:c>
      <x:c r="L96" s="24" t="s">
        <x:v>623</x:v>
      </x:c>
      <x:c r="M96" s="24"/>
      <x:c r="N96" s="27" t="s">
        <x:v>623</x:v>
      </x:c>
      <x:c r="O96" s="27"/>
      <x:c r="P96" s="26"/>
      <x:c r="Q96" s="27"/>
      <x:c r="R96" s="22">
        <x:f>IF(N96="","تکمیل نشده",IF(N96="ادغام با تفصیلی دیگر",IF(O96="","کلید مقصد خالی است",IF(IFERROR(MATCH(O96*1,$A:$A,0),0)=0,"کلید مقصد در این فهرست نیست",IF(O96*1=A96,"ادغام با خودش","OK"))),"OK"))</x:f>
      </x:c>
      <x:c r="S96" s="28"/>
    </x:row>
    <x:row r="97" spans="1:19">
      <x:c r="A97" s="21">
        <x:v>3818</x:v>
      </x:c>
      <x:c r="B97" s="22" t="s">
        <x:v>53</x:v>
      </x:c>
      <x:c r="C97" s="22" t="s">
        <x:v>211</x:v>
      </x:c>
      <x:c r="D97" s="22" t="s">
        <x:v>758</x:v>
      </x:c>
      <x:c r="E97" s="22" t="s">
        <x:v>759</x:v>
      </x:c>
      <x:c r="F97" s="22" t="s">
        <x:v>237</x:v>
      </x:c>
      <x:c r="G97" s="22">
        <x:v>2</x:v>
      </x:c>
      <x:c r="H97" s="23">
        <x:v>20146000</x:v>
      </x:c>
      <x:c r="I97" s="23">
        <x:v>2878000</x:v>
      </x:c>
      <x:c r="J97" s="23">
        <x:f>H97-I97</x:f>
      </x:c>
      <x:c r="K97" s="22">
        <x:v>3</x:v>
      </x:c>
      <x:c r="L97" s="24" t="s">
        <x:v>623</x:v>
      </x:c>
      <x:c r="M97" s="24"/>
      <x:c r="N97" s="27" t="s">
        <x:v>623</x:v>
      </x:c>
      <x:c r="O97" s="27"/>
      <x:c r="P97" s="26"/>
      <x:c r="Q97" s="27"/>
      <x:c r="R97" s="22">
        <x:f>IF(N97="","تکمیل نشده",IF(N97="ادغام با تفصیلی دیگر",IF(O97="","کلید مقصد خالی است",IF(IFERROR(MATCH(O97*1,$A:$A,0),0)=0,"کلید مقصد در این فهرست نیست",IF(O97*1=A97,"ادغام با خودش","OK"))),"OK"))</x:f>
      </x:c>
      <x:c r="S97" s="28"/>
    </x:row>
    <x:row r="98" spans="1:19">
      <x:c r="A98" s="21">
        <x:v>3813</x:v>
      </x:c>
      <x:c r="B98" s="22" t="s">
        <x:v>53</x:v>
      </x:c>
      <x:c r="C98" s="22" t="s">
        <x:v>211</x:v>
      </x:c>
      <x:c r="D98" s="22" t="s">
        <x:v>760</x:v>
      </x:c>
      <x:c r="E98" s="22" t="s">
        <x:v>394</x:v>
      </x:c>
      <x:c r="F98" s="22" t="s">
        <x:v>237</x:v>
      </x:c>
      <x:c r="G98" s="22">
        <x:v>2</x:v>
      </x:c>
      <x:c r="H98" s="23">
        <x:v>1853000</x:v>
      </x:c>
      <x:c r="I98" s="23">
        <x:v>1853000</x:v>
      </x:c>
      <x:c r="J98" s="23">
        <x:f>H98-I98</x:f>
      </x:c>
      <x:c r="K98" s="22">
        <x:v>2</x:v>
      </x:c>
      <x:c r="L98" s="24" t="s">
        <x:v>623</x:v>
      </x:c>
      <x:c r="M98" s="24"/>
      <x:c r="N98" s="27" t="s">
        <x:v>623</x:v>
      </x:c>
      <x:c r="O98" s="27"/>
      <x:c r="P98" s="26"/>
      <x:c r="Q98" s="27"/>
      <x:c r="R98" s="22">
        <x:f>IF(N98="","تکمیل نشده",IF(N98="ادغام با تفصیلی دیگر",IF(O98="","کلید مقصد خالی است",IF(IFERROR(MATCH(O98*1,$A:$A,0),0)=0,"کلید مقصد در این فهرست نیست",IF(O98*1=A98,"ادغام با خودش","OK"))),"OK"))</x:f>
      </x:c>
      <x:c r="S98" s="28"/>
    </x:row>
    <x:row r="99" spans="1:19">
      <x:c r="A99" s="21">
        <x:v>1196</x:v>
      </x:c>
      <x:c r="B99" s="22" t="s">
        <x:v>53</x:v>
      </x:c>
      <x:c r="C99" s="22" t="s">
        <x:v>90</x:v>
      </x:c>
      <x:c r="D99" s="22" t="s">
        <x:v>761</x:v>
      </x:c>
      <x:c r="E99" s="22" t="s">
        <x:v>238</x:v>
      </x:c>
      <x:c r="F99" s="22" t="s">
        <x:v>238</x:v>
      </x:c>
      <x:c r="G99" s="22">
        <x:v>15</x:v>
      </x:c>
      <x:c r="H99" s="23">
        <x:v>76649376</x:v>
      </x:c>
      <x:c r="I99" s="23">
        <x:v>83036824</x:v>
      </x:c>
      <x:c r="J99" s="23">
        <x:f>H99-I99</x:f>
      </x:c>
      <x:c r="K99" s="22">
        <x:v>1</x:v>
      </x:c>
      <x:c r="L99" s="24" t="s">
        <x:v>620</x:v>
      </x:c>
      <x:c r="M99" s="24"/>
      <x:c r="N99" s="27" t="s">
        <x:v>620</x:v>
      </x:c>
      <x:c r="O99" s="27"/>
      <x:c r="P99" s="26"/>
      <x:c r="Q99" s="27"/>
      <x:c r="R99" s="22">
        <x:f>IF(N99="","تکمیل نشده",IF(N99="ادغام با تفصیلی دیگر",IF(O99="","کلید مقصد خالی است",IF(IFERROR(MATCH(O99*1,$A:$A,0),0)=0,"کلید مقصد در این فهرست نیست",IF(O99*1=A99,"ادغام با خودش","OK"))),"OK"))</x:f>
      </x:c>
      <x:c r="S99" s="28"/>
    </x:row>
    <x:row r="100" spans="1:19">
      <x:c r="A100" s="21">
        <x:v>1197</x:v>
      </x:c>
      <x:c r="B100" s="22" t="s">
        <x:v>53</x:v>
      </x:c>
      <x:c r="C100" s="22" t="s">
        <x:v>90</x:v>
      </x:c>
      <x:c r="D100" s="22" t="s">
        <x:v>762</x:v>
      </x:c>
      <x:c r="E100" s="22" t="s">
        <x:v>763</x:v>
      </x:c>
      <x:c r="F100" s="22" t="s">
        <x:v>238</x:v>
      </x:c>
      <x:c r="G100" s="22">
        <x:v>15</x:v>
      </x:c>
      <x:c r="H100" s="23">
        <x:v>218998213</x:v>
      </x:c>
      <x:c r="I100" s="23">
        <x:v>237248064</x:v>
      </x:c>
      <x:c r="J100" s="23">
        <x:f>H100-I100</x:f>
      </x:c>
      <x:c r="K100" s="22">
        <x:v>1</x:v>
      </x:c>
      <x:c r="L100" s="24" t="s">
        <x:v>623</x:v>
      </x:c>
      <x:c r="M100" s="24"/>
      <x:c r="N100" s="27" t="s">
        <x:v>623</x:v>
      </x:c>
      <x:c r="O100" s="27"/>
      <x:c r="P100" s="26"/>
      <x:c r="Q100" s="27"/>
      <x:c r="R100" s="22">
        <x:f>IF(N100="","تکمیل نشده",IF(N100="ادغام با تفصیلی دیگر",IF(O100="","کلید مقصد خالی است",IF(IFERROR(MATCH(O100*1,$A:$A,0),0)=0,"کلید مقصد در این فهرست نیست",IF(O100*1=A100,"ادغام با خودش","OK"))),"OK"))</x:f>
      </x:c>
      <x:c r="S100" s="28"/>
    </x:row>
    <x:row r="101" spans="1:19">
      <x:c r="A101" s="21">
        <x:v>1199</x:v>
      </x:c>
      <x:c r="B101" s="22" t="s">
        <x:v>53</x:v>
      </x:c>
      <x:c r="C101" s="22" t="s">
        <x:v>90</x:v>
      </x:c>
      <x:c r="D101" s="22" t="s">
        <x:v>737</x:v>
      </x:c>
      <x:c r="E101" s="22" t="s">
        <x:v>764</x:v>
      </x:c>
      <x:c r="F101" s="22" t="s">
        <x:v>238</x:v>
      </x:c>
      <x:c r="G101" s="22">
        <x:v>2</x:v>
      </x:c>
      <x:c r="H101" s="23">
        <x:v>225455748</x:v>
      </x:c>
      <x:c r="I101" s="23">
        <x:v>225455748</x:v>
      </x:c>
      <x:c r="J101" s="23">
        <x:f>H101-I101</x:f>
      </x:c>
      <x:c r="K101" s="22">
        <x:v>1</x:v>
      </x:c>
      <x:c r="L101" s="24" t="s">
        <x:v>623</x:v>
      </x:c>
      <x:c r="M101" s="24"/>
      <x:c r="N101" s="27" t="s">
        <x:v>623</x:v>
      </x:c>
      <x:c r="O101" s="27"/>
      <x:c r="P101" s="26"/>
      <x:c r="Q101" s="27"/>
      <x:c r="R101" s="22">
        <x:f>IF(N101="","تکمیل نشده",IF(N101="ادغام با تفصیلی دیگر",IF(O101="","کلید مقصد خالی است",IF(IFERROR(MATCH(O101*1,$A:$A,0),0)=0,"کلید مقصد در این فهرست نیست",IF(O101*1=A101,"ادغام با خودش","OK"))),"OK"))</x:f>
      </x:c>
      <x:c r="S101" s="28"/>
    </x:row>
    <x:row r="102" spans="1:19">
      <x:c r="A102" s="21">
        <x:v>1200</x:v>
      </x:c>
      <x:c r="B102" s="22" t="s">
        <x:v>53</x:v>
      </x:c>
      <x:c r="C102" s="22" t="s">
        <x:v>90</x:v>
      </x:c>
      <x:c r="D102" s="22" t="s">
        <x:v>765</x:v>
      </x:c>
      <x:c r="E102" s="22" t="s">
        <x:v>766</x:v>
      </x:c>
      <x:c r="F102" s="22" t="s">
        <x:v>238</x:v>
      </x:c>
      <x:c r="G102" s="22">
        <x:v>4</x:v>
      </x:c>
      <x:c r="H102" s="23">
        <x:v>30119206</x:v>
      </x:c>
      <x:c r="I102" s="23">
        <x:v>30119206</x:v>
      </x:c>
      <x:c r="J102" s="23">
        <x:f>H102-I102</x:f>
      </x:c>
      <x:c r="K102" s="22">
        <x:v>1</x:v>
      </x:c>
      <x:c r="L102" s="24" t="s">
        <x:v>623</x:v>
      </x:c>
      <x:c r="M102" s="24"/>
      <x:c r="N102" s="27" t="s">
        <x:v>623</x:v>
      </x:c>
      <x:c r="O102" s="27"/>
      <x:c r="P102" s="26"/>
      <x:c r="Q102" s="27"/>
      <x:c r="R102" s="22">
        <x:f>IF(N102="","تکمیل نشده",IF(N102="ادغام با تفصیلی دیگر",IF(O102="","کلید مقصد خالی است",IF(IFERROR(MATCH(O102*1,$A:$A,0),0)=0,"کلید مقصد در این فهرست نیست",IF(O102*1=A102,"ادغام با خودش","OK"))),"OK"))</x:f>
      </x:c>
      <x:c r="S102" s="28"/>
    </x:row>
    <x:row r="103" spans="1:19">
      <x:c r="A103" s="21">
        <x:v>1201</x:v>
      </x:c>
      <x:c r="B103" s="22" t="s">
        <x:v>53</x:v>
      </x:c>
      <x:c r="C103" s="22" t="s">
        <x:v>90</x:v>
      </x:c>
      <x:c r="D103" s="22" t="s">
        <x:v>767</x:v>
      </x:c>
      <x:c r="E103" s="22" t="s">
        <x:v>768</x:v>
      </x:c>
      <x:c r="F103" s="22" t="s">
        <x:v>238</x:v>
      </x:c>
      <x:c r="G103" s="22">
        <x:v>4</x:v>
      </x:c>
      <x:c r="H103" s="23">
        <x:v>86054873</x:v>
      </x:c>
      <x:c r="I103" s="23">
        <x:v>86054873</x:v>
      </x:c>
      <x:c r="J103" s="23">
        <x:f>H103-I103</x:f>
      </x:c>
      <x:c r="K103" s="22">
        <x:v>1</x:v>
      </x:c>
      <x:c r="L103" s="24" t="s">
        <x:v>623</x:v>
      </x:c>
      <x:c r="M103" s="24"/>
      <x:c r="N103" s="27" t="s">
        <x:v>623</x:v>
      </x:c>
      <x:c r="O103" s="27"/>
      <x:c r="P103" s="26"/>
      <x:c r="Q103" s="27"/>
      <x:c r="R103" s="22">
        <x:f>IF(N103="","تکمیل نشده",IF(N103="ادغام با تفصیلی دیگر",IF(O103="","کلید مقصد خالی است",IF(IFERROR(MATCH(O103*1,$A:$A,0),0)=0,"کلید مقصد در این فهرست نیست",IF(O103*1=A103,"ادغام با خودش","OK"))),"OK"))</x:f>
      </x:c>
      <x:c r="S103" s="28"/>
    </x:row>
    <x:row r="104" spans="1:19">
      <x:c r="A104" s="21">
        <x:v>1205</x:v>
      </x:c>
      <x:c r="B104" s="22" t="s">
        <x:v>53</x:v>
      </x:c>
      <x:c r="C104" s="22" t="s">
        <x:v>105</x:v>
      </x:c>
      <x:c r="D104" s="22" t="s">
        <x:v>719</x:v>
      </x:c>
      <x:c r="E104" s="22" t="s">
        <x:v>769</x:v>
      </x:c>
      <x:c r="F104" s="22" t="s">
        <x:v>239</x:v>
      </x:c>
      <x:c r="G104" s="22">
        <x:v>6</x:v>
      </x:c>
      <x:c r="H104" s="23">
        <x:v>249120</x:v>
      </x:c>
      <x:c r="I104" s="23">
        <x:v>1245600</x:v>
      </x:c>
      <x:c r="J104" s="23">
        <x:f>H104-I104</x:f>
      </x:c>
      <x:c r="K104" s="22">
        <x:v>1</x:v>
      </x:c>
      <x:c r="L104" s="24" t="s">
        <x:v>623</x:v>
      </x:c>
      <x:c r="M104" s="24"/>
      <x:c r="N104" s="27" t="s">
        <x:v>623</x:v>
      </x:c>
      <x:c r="O104" s="27"/>
      <x:c r="P104" s="26"/>
      <x:c r="Q104" s="27"/>
      <x:c r="R104" s="22">
        <x:f>IF(N104="","تکمیل نشده",IF(N104="ادغام با تفصیلی دیگر",IF(O104="","کلید مقصد خالی است",IF(IFERROR(MATCH(O104*1,$A:$A,0),0)=0,"کلید مقصد در این فهرست نیست",IF(O104*1=A104,"ادغام با خودش","OK"))),"OK"))</x:f>
      </x:c>
      <x:c r="S104" s="28"/>
    </x:row>
    <x:row r="105" spans="1:19">
      <x:c r="A105" s="21">
        <x:v>11102</x:v>
      </x:c>
      <x:c r="B105" s="22" t="s">
        <x:v>53</x:v>
      </x:c>
      <x:c r="C105" s="22" t="s">
        <x:v>163</x:v>
      </x:c>
      <x:c r="D105" s="22" t="s">
        <x:v>619</x:v>
      </x:c>
      <x:c r="E105" s="22" t="s">
        <x:v>240</x:v>
      </x:c>
      <x:c r="F105" s="22" t="s">
        <x:v>240</x:v>
      </x:c>
      <x:c r="G105" s="22">
        <x:v>300</x:v>
      </x:c>
      <x:c r="H105" s="23">
        <x:v>32948310413</x:v>
      </x:c>
      <x:c r="I105" s="23">
        <x:v>0</x:v>
      </x:c>
      <x:c r="J105" s="23">
        <x:f>H105-I105</x:f>
      </x:c>
      <x:c r="K105" s="22">
        <x:v>1</x:v>
      </x:c>
      <x:c r="L105" s="24" t="s">
        <x:v>620</x:v>
      </x:c>
      <x:c r="M105" s="24"/>
      <x:c r="N105" s="27" t="s">
        <x:v>620</x:v>
      </x:c>
      <x:c r="O105" s="27"/>
      <x:c r="P105" s="26"/>
      <x:c r="Q105" s="27"/>
      <x:c r="R105" s="22">
        <x:f>IF(N105="","تکمیل نشده",IF(N105="ادغام با تفصیلی دیگر",IF(O105="","کلید مقصد خالی است",IF(IFERROR(MATCH(O105*1,$A:$A,0),0)=0,"کلید مقصد در این فهرست نیست",IF(O105*1=A105,"ادغام با خودش","OK"))),"OK"))</x:f>
      </x:c>
      <x:c r="S105" s="28"/>
    </x:row>
    <x:row r="106" spans="1:19">
      <x:c r="A106" s="21">
        <x:v>1220</x:v>
      </x:c>
      <x:c r="B106" s="22" t="s">
        <x:v>60</x:v>
      </x:c>
      <x:c r="C106" s="22" t="s">
        <x:v>204</x:v>
      </x:c>
      <x:c r="D106" s="22" t="s">
        <x:v>627</x:v>
      </x:c>
      <x:c r="E106" s="22" t="s">
        <x:v>730</x:v>
      </x:c>
      <x:c r="F106" s="22" t="s">
        <x:v>241</x:v>
      </x:c>
      <x:c r="G106" s="22">
        <x:v>23</x:v>
      </x:c>
      <x:c r="H106" s="23">
        <x:v>500000000</x:v>
      </x:c>
      <x:c r="I106" s="23">
        <x:v>550000000</x:v>
      </x:c>
      <x:c r="J106" s="23">
        <x:f>H106-I106</x:f>
      </x:c>
      <x:c r="K106" s="22">
        <x:v>5</x:v>
      </x:c>
      <x:c r="L106" s="24" t="s">
        <x:v>675</x:v>
      </x:c>
      <x:c r="M106" s="24">
        <x:v>563</x:v>
      </x:c>
      <x:c r="N106" s="27" t="s">
        <x:v>675</x:v>
      </x:c>
      <x:c r="O106" s="27">
        <x:v>563</x:v>
      </x:c>
      <x:c r="P106" s="26"/>
      <x:c r="Q106" s="27"/>
      <x:c r="R106" s="22">
        <x:f>IF(N106="","تکمیل نشده",IF(N106="ادغام با تفصیلی دیگر",IF(O106="","کلید مقصد خالی است",IF(IFERROR(MATCH(O106*1,$A:$A,0),0)=0,"کلید مقصد در این فهرست نیست",IF(O106*1=A106,"ادغام با خودش","OK"))),"OK"))</x:f>
      </x:c>
      <x:c r="S106" s="28"/>
    </x:row>
    <x:row r="107" spans="1:19">
      <x:c r="A107" s="21">
        <x:v>1235</x:v>
      </x:c>
      <x:c r="B107" s="22" t="s">
        <x:v>64</x:v>
      </x:c>
      <x:c r="C107" s="22" t="s">
        <x:v>14</x:v>
      </x:c>
      <x:c r="D107" s="22" t="s">
        <x:v>770</x:v>
      </x:c>
      <x:c r="E107" s="22" t="s">
        <x:v>771</x:v>
      </x:c>
      <x:c r="F107" s="22" t="s">
        <x:v>242</x:v>
      </x:c>
      <x:c r="G107" s="22">
        <x:v>433</x:v>
      </x:c>
      <x:c r="H107" s="23">
        <x:v>1403809200</x:v>
      </x:c>
      <x:c r="I107" s="23">
        <x:v>1403809200</x:v>
      </x:c>
      <x:c r="J107" s="23">
        <x:f>H107-I107</x:f>
      </x:c>
      <x:c r="K107" s="22">
        <x:v>1</x:v>
      </x:c>
      <x:c r="L107" s="24" t="s">
        <x:v>623</x:v>
      </x:c>
      <x:c r="M107" s="24"/>
      <x:c r="N107" s="27" t="s">
        <x:v>623</x:v>
      </x:c>
      <x:c r="O107" s="27"/>
      <x:c r="P107" s="26"/>
      <x:c r="Q107" s="27"/>
      <x:c r="R107" s="22">
        <x:f>IF(N107="","تکمیل نشده",IF(N107="ادغام با تفصیلی دیگر",IF(O107="","کلید مقصد خالی است",IF(IFERROR(MATCH(O107*1,$A:$A,0),0)=0,"کلید مقصد در این فهرست نیست",IF(O107*1=A107,"ادغام با خودش","OK"))),"OK"))</x:f>
      </x:c>
      <x:c r="S107" s="28"/>
    </x:row>
    <x:row r="108" spans="1:19">
      <x:c r="A108" s="21">
        <x:v>1240</x:v>
      </x:c>
      <x:c r="B108" s="22" t="s">
        <x:v>64</x:v>
      </x:c>
      <x:c r="C108" s="22" t="s">
        <x:v>199</x:v>
      </x:c>
      <x:c r="D108" s="22" t="s">
        <x:v>770</x:v>
      </x:c>
      <x:c r="E108" s="22" t="s">
        <x:v>772</x:v>
      </x:c>
      <x:c r="F108" s="22" t="s">
        <x:v>245</x:v>
      </x:c>
      <x:c r="G108" s="22">
        <x:v>632</x:v>
      </x:c>
      <x:c r="H108" s="23">
        <x:v>156791549953</x:v>
      </x:c>
      <x:c r="I108" s="23">
        <x:v>168772213423</x:v>
      </x:c>
      <x:c r="J108" s="23">
        <x:f>H108-I108</x:f>
      </x:c>
      <x:c r="K108" s="22">
        <x:v>1</x:v>
      </x:c>
      <x:c r="L108" s="24" t="s">
        <x:v>623</x:v>
      </x:c>
      <x:c r="M108" s="24"/>
      <x:c r="N108" s="27" t="s">
        <x:v>623</x:v>
      </x:c>
      <x:c r="O108" s="27"/>
      <x:c r="P108" s="26"/>
      <x:c r="Q108" s="27"/>
      <x:c r="R108" s="22">
        <x:f>IF(N108="","تکمیل نشده",IF(N108="ادغام با تفصیلی دیگر",IF(O108="","کلید مقصد خالی است",IF(IFERROR(MATCH(O108*1,$A:$A,0),0)=0,"کلید مقصد در این فهرست نیست",IF(O108*1=A108,"ادغام با خودش","OK"))),"OK"))</x:f>
      </x:c>
      <x:c r="S108" s="28"/>
    </x:row>
    <x:row r="109" spans="1:19">
      <x:c r="A109" s="21">
        <x:v>3777</x:v>
      </x:c>
      <x:c r="B109" s="22" t="s">
        <x:v>64</x:v>
      </x:c>
      <x:c r="C109" s="22" t="s">
        <x:v>202</x:v>
      </x:c>
      <x:c r="D109" s="22" t="s">
        <x:v>773</x:v>
      </x:c>
      <x:c r="E109" s="22" t="s">
        <x:v>248</x:v>
      </x:c>
      <x:c r="F109" s="22" t="s">
        <x:v>248</x:v>
      </x:c>
      <x:c r="G109" s="22">
        <x:v>6</x:v>
      </x:c>
      <x:c r="H109" s="23">
        <x:v>260000000</x:v>
      </x:c>
      <x:c r="I109" s="23">
        <x:v>252961890</x:v>
      </x:c>
      <x:c r="J109" s="23">
        <x:f>H109-I109</x:f>
      </x:c>
      <x:c r="K109" s="22">
        <x:v>1</x:v>
      </x:c>
      <x:c r="L109" s="24" t="s">
        <x:v>620</x:v>
      </x:c>
      <x:c r="M109" s="24"/>
      <x:c r="N109" s="27" t="s">
        <x:v>620</x:v>
      </x:c>
      <x:c r="O109" s="27"/>
      <x:c r="P109" s="26"/>
      <x:c r="Q109" s="27"/>
      <x:c r="R109" s="22">
        <x:f>IF(N109="","تکمیل نشده",IF(N109="ادغام با تفصیلی دیگر",IF(O109="","کلید مقصد خالی است",IF(IFERROR(MATCH(O109*1,$A:$A,0),0)=0,"کلید مقصد در این فهرست نیست",IF(O109*1=A109,"ادغام با خودش","OK"))),"OK"))</x:f>
      </x:c>
      <x:c r="S109" s="28"/>
    </x:row>
    <x:row r="110" spans="1:19">
      <x:c r="A110" s="21">
        <x:v>1255</x:v>
      </x:c>
      <x:c r="B110" s="22" t="s">
        <x:v>71</x:v>
      </x:c>
      <x:c r="C110" s="22" t="s">
        <x:v>251</x:v>
      </x:c>
      <x:c r="D110" s="22" t="s">
        <x:v>719</x:v>
      </x:c>
      <x:c r="E110" s="22" t="s">
        <x:v>774</x:v>
      </x:c>
      <x:c r="F110" s="22" t="s">
        <x:v>252</x:v>
      </x:c>
      <x:c r="G110" s="22">
        <x:v>56</x:v>
      </x:c>
      <x:c r="H110" s="23">
        <x:v>8930821268</x:v>
      </x:c>
      <x:c r="I110" s="23">
        <x:v>8189750143</x:v>
      </x:c>
      <x:c r="J110" s="23">
        <x:f>H110-I110</x:f>
      </x:c>
      <x:c r="K110" s="22">
        <x:v>1</x:v>
      </x:c>
      <x:c r="L110" s="24" t="s">
        <x:v>623</x:v>
      </x:c>
      <x:c r="M110" s="24"/>
      <x:c r="N110" s="27" t="s">
        <x:v>623</x:v>
      </x:c>
      <x:c r="O110" s="27"/>
      <x:c r="P110" s="26"/>
      <x:c r="Q110" s="27"/>
      <x:c r="R110" s="22">
        <x:f>IF(N110="","تکمیل نشده",IF(N110="ادغام با تفصیلی دیگر",IF(O110="","کلید مقصد خالی است",IF(IFERROR(MATCH(O110*1,$A:$A,0),0)=0,"کلید مقصد در این فهرست نیست",IF(O110*1=A110,"ادغام با خودش","OK"))),"OK"))</x:f>
      </x:c>
      <x:c r="S110" s="28"/>
    </x:row>
    <x:row r="111" spans="1:19">
      <x:c r="A111" s="21">
        <x:v>1265</x:v>
      </x:c>
      <x:c r="B111" s="22" t="s">
        <x:v>71</x:v>
      </x:c>
      <x:c r="C111" s="22" t="s">
        <x:v>255</x:v>
      </x:c>
      <x:c r="D111" s="22" t="s">
        <x:v>719</x:v>
      </x:c>
      <x:c r="E111" s="22" t="s">
        <x:v>775</x:v>
      </x:c>
      <x:c r="F111" s="22" t="s">
        <x:v>256</x:v>
      </x:c>
      <x:c r="G111" s="22">
        <x:v>38</x:v>
      </x:c>
      <x:c r="H111" s="23">
        <x:v>9908144083</x:v>
      </x:c>
      <x:c r="I111" s="23">
        <x:v>9161700930</x:v>
      </x:c>
      <x:c r="J111" s="23">
        <x:f>H111-I111</x:f>
      </x:c>
      <x:c r="K111" s="22">
        <x:v>1</x:v>
      </x:c>
      <x:c r="L111" s="24" t="s">
        <x:v>623</x:v>
      </x:c>
      <x:c r="M111" s="24"/>
      <x:c r="N111" s="27" t="s">
        <x:v>623</x:v>
      </x:c>
      <x:c r="O111" s="27"/>
      <x:c r="P111" s="26"/>
      <x:c r="Q111" s="27"/>
      <x:c r="R111" s="22">
        <x:f>IF(N111="","تکمیل نشده",IF(N111="ادغام با تفصیلی دیگر",IF(O111="","کلید مقصد خالی است",IF(IFERROR(MATCH(O111*1,$A:$A,0),0)=0,"کلید مقصد در این فهرست نیست",IF(O111*1=A111,"ادغام با خودش","OK"))),"OK"))</x:f>
      </x:c>
      <x:c r="S111" s="28"/>
    </x:row>
    <x:row r="112" spans="1:19">
      <x:c r="A112" s="21">
        <x:v>1353</x:v>
      </x:c>
      <x:c r="B112" s="22" t="s">
        <x:v>71</x:v>
      </x:c>
      <x:c r="C112" s="22" t="s">
        <x:v>204</x:v>
      </x:c>
      <x:c r="D112" s="22" t="s">
        <x:v>719</x:v>
      </x:c>
      <x:c r="E112" s="22" t="s">
        <x:v>259</x:v>
      </x:c>
      <x:c r="F112" s="22" t="s">
        <x:v>259</x:v>
      </x:c>
      <x:c r="G112" s="22">
        <x:v>50</x:v>
      </x:c>
      <x:c r="H112" s="23">
        <x:v>747293450</x:v>
      </x:c>
      <x:c r="I112" s="23">
        <x:v>657246050</x:v>
      </x:c>
      <x:c r="J112" s="23">
        <x:f>H112-I112</x:f>
      </x:c>
      <x:c r="K112" s="22">
        <x:v>1</x:v>
      </x:c>
      <x:c r="L112" s="24" t="s">
        <x:v>620</x:v>
      </x:c>
      <x:c r="M112" s="24"/>
      <x:c r="N112" s="27" t="s">
        <x:v>620</x:v>
      </x:c>
      <x:c r="O112" s="27"/>
      <x:c r="P112" s="26"/>
      <x:c r="Q112" s="27"/>
      <x:c r="R112" s="22">
        <x:f>IF(N112="","تکمیل نشده",IF(N112="ادغام با تفصیلی دیگر",IF(O112="","کلید مقصد خالی است",IF(IFERROR(MATCH(O112*1,$A:$A,0),0)=0,"کلید مقصد در این فهرست نیست",IF(O112*1=A112,"ادغام با خودش","OK"))),"OK"))</x:f>
      </x:c>
      <x:c r="S112" s="28"/>
    </x:row>
    <x:row r="113" spans="1:19">
      <x:c r="A113" s="21">
        <x:v>1356</x:v>
      </x:c>
      <x:c r="B113" s="22" t="s">
        <x:v>71</x:v>
      </x:c>
      <x:c r="C113" s="22" t="s">
        <x:v>18</x:v>
      </x:c>
      <x:c r="D113" s="22" t="s">
        <x:v>719</x:v>
      </x:c>
      <x:c r="E113" s="22" t="s">
        <x:v>776</x:v>
      </x:c>
      <x:c r="F113" s="22" t="s">
        <x:v>260</x:v>
      </x:c>
      <x:c r="G113" s="22">
        <x:v>42</x:v>
      </x:c>
      <x:c r="H113" s="23">
        <x:v>3644821751</x:v>
      </x:c>
      <x:c r="I113" s="23">
        <x:v>3360612779</x:v>
      </x:c>
      <x:c r="J113" s="23">
        <x:f>H113-I113</x:f>
      </x:c>
      <x:c r="K113" s="22">
        <x:v>1</x:v>
      </x:c>
      <x:c r="L113" s="24" t="s">
        <x:v>623</x:v>
      </x:c>
      <x:c r="M113" s="24"/>
      <x:c r="N113" s="27" t="s">
        <x:v>623</x:v>
      </x:c>
      <x:c r="O113" s="27"/>
      <x:c r="P113" s="26"/>
      <x:c r="Q113" s="27"/>
      <x:c r="R113" s="22">
        <x:f>IF(N113="","تکمیل نشده",IF(N113="ادغام با تفصیلی دیگر",IF(O113="","کلید مقصد خالی است",IF(IFERROR(MATCH(O113*1,$A:$A,0),0)=0,"کلید مقصد در این فهرست نیست",IF(O113*1=A113,"ادغام با خودش","OK"))),"OK"))</x:f>
      </x:c>
      <x:c r="S113" s="28"/>
    </x:row>
    <x:row r="114" spans="1:19">
      <x:c r="A114" s="21">
        <x:v>1361</x:v>
      </x:c>
      <x:c r="B114" s="22" t="s">
        <x:v>71</x:v>
      </x:c>
      <x:c r="C114" s="22" t="s">
        <x:v>24</x:v>
      </x:c>
      <x:c r="D114" s="22" t="s">
        <x:v>719</x:v>
      </x:c>
      <x:c r="E114" s="22" t="s">
        <x:v>777</x:v>
      </x:c>
      <x:c r="F114" s="22" t="s">
        <x:v>261</x:v>
      </x:c>
      <x:c r="G114" s="22">
        <x:v>4</x:v>
      </x:c>
      <x:c r="H114" s="23">
        <x:v>9138576</x:v>
      </x:c>
      <x:c r="I114" s="23">
        <x:v>9138576</x:v>
      </x:c>
      <x:c r="J114" s="23">
        <x:f>H114-I114</x:f>
      </x:c>
      <x:c r="K114" s="22">
        <x:v>1</x:v>
      </x:c>
      <x:c r="L114" s="24" t="s">
        <x:v>623</x:v>
      </x:c>
      <x:c r="M114" s="24"/>
      <x:c r="N114" s="27" t="s">
        <x:v>623</x:v>
      </x:c>
      <x:c r="O114" s="27"/>
      <x:c r="P114" s="26"/>
      <x:c r="Q114" s="27"/>
      <x:c r="R114" s="22">
        <x:f>IF(N114="","تکمیل نشده",IF(N114="ادغام با تفصیلی دیگر",IF(O114="","کلید مقصد خالی است",IF(IFERROR(MATCH(O114*1,$A:$A,0),0)=0,"کلید مقصد در این فهرست نیست",IF(O114*1=A114,"ادغام با خودش","OK"))),"OK"))</x:f>
      </x:c>
      <x:c r="S114" s="28"/>
    </x:row>
    <x:row r="115" spans="1:19">
      <x:c r="A115" s="21">
        <x:v>1364</x:v>
      </x:c>
      <x:c r="B115" s="22" t="s">
        <x:v>71</x:v>
      </x:c>
      <x:c r="C115" s="22" t="s">
        <x:v>27</x:v>
      </x:c>
      <x:c r="D115" s="22" t="s">
        <x:v>719</x:v>
      </x:c>
      <x:c r="E115" s="22" t="s">
        <x:v>778</x:v>
      </x:c>
      <x:c r="F115" s="22" t="s">
        <x:v>264</x:v>
      </x:c>
      <x:c r="G115" s="22">
        <x:v>57</x:v>
      </x:c>
      <x:c r="H115" s="23">
        <x:v>2168275824</x:v>
      </x:c>
      <x:c r="I115" s="23">
        <x:v>2139409824</x:v>
      </x:c>
      <x:c r="J115" s="23">
        <x:f>H115-I115</x:f>
      </x:c>
      <x:c r="K115" s="22">
        <x:v>1</x:v>
      </x:c>
      <x:c r="L115" s="24" t="s">
        <x:v>623</x:v>
      </x:c>
      <x:c r="M115" s="24"/>
      <x:c r="N115" s="27" t="s">
        <x:v>623</x:v>
      </x:c>
      <x:c r="O115" s="27"/>
      <x:c r="P115" s="26"/>
      <x:c r="Q115" s="27"/>
      <x:c r="R115" s="22">
        <x:f>IF(N115="","تکمیل نشده",IF(N115="ادغام با تفصیلی دیگر",IF(O115="","کلید مقصد خالی است",IF(IFERROR(MATCH(O115*1,$A:$A,0),0)=0,"کلید مقصد در این فهرست نیست",IF(O115*1=A115,"ادغام با خودش","OK"))),"OK"))</x:f>
      </x:c>
      <x:c r="S115" s="28"/>
    </x:row>
    <x:row r="116" spans="1:19">
      <x:c r="A116" s="21">
        <x:v>1373</x:v>
      </x:c>
      <x:c r="B116" s="22" t="s">
        <x:v>71</x:v>
      </x:c>
      <x:c r="C116" s="22" t="s">
        <x:v>265</x:v>
      </x:c>
      <x:c r="D116" s="22" t="s">
        <x:v>627</x:v>
      </x:c>
      <x:c r="E116" s="22" t="s">
        <x:v>779</x:v>
      </x:c>
      <x:c r="F116" s="22" t="s">
        <x:v>266</x:v>
      </x:c>
      <x:c r="G116" s="22">
        <x:v>6</x:v>
      </x:c>
      <x:c r="H116" s="23">
        <x:v>4140000</x:v>
      </x:c>
      <x:c r="I116" s="23">
        <x:v>1150000</x:v>
      </x:c>
      <x:c r="J116" s="23">
        <x:f>H116-I116</x:f>
      </x:c>
      <x:c r="K116" s="22">
        <x:v>2</x:v>
      </x:c>
      <x:c r="L116" s="24" t="s">
        <x:v>623</x:v>
      </x:c>
      <x:c r="M116" s="24"/>
      <x:c r="N116" s="27" t="s">
        <x:v>623</x:v>
      </x:c>
      <x:c r="O116" s="27"/>
      <x:c r="P116" s="26"/>
      <x:c r="Q116" s="27"/>
      <x:c r="R116" s="22">
        <x:f>IF(N116="","تکمیل نشده",IF(N116="ادغام با تفصیلی دیگر",IF(O116="","کلید مقصد خالی است",IF(IFERROR(MATCH(O116*1,$A:$A,0),0)=0,"کلید مقصد در این فهرست نیست",IF(O116*1=A116,"ادغام با خودش","OK"))),"OK"))</x:f>
      </x:c>
      <x:c r="S116" s="28"/>
    </x:row>
    <x:row r="117" spans="1:19">
      <x:c r="A117" s="21">
        <x:v>1374</x:v>
      </x:c>
      <x:c r="B117" s="22" t="s">
        <x:v>71</x:v>
      </x:c>
      <x:c r="C117" s="22" t="s">
        <x:v>265</x:v>
      </x:c>
      <x:c r="D117" s="22" t="s">
        <x:v>780</x:v>
      </x:c>
      <x:c r="E117" s="22" t="s">
        <x:v>781</x:v>
      </x:c>
      <x:c r="F117" s="22" t="s">
        <x:v>266</x:v>
      </x:c>
      <x:c r="G117" s="22">
        <x:v>5</x:v>
      </x:c>
      <x:c r="H117" s="23">
        <x:v>25102000</x:v>
      </x:c>
      <x:c r="I117" s="23">
        <x:v>6275500</x:v>
      </x:c>
      <x:c r="J117" s="23">
        <x:f>H117-I117</x:f>
      </x:c>
      <x:c r="K117" s="22">
        <x:v>2</x:v>
      </x:c>
      <x:c r="L117" s="24" t="s">
        <x:v>623</x:v>
      </x:c>
      <x:c r="M117" s="24"/>
      <x:c r="N117" s="27" t="s">
        <x:v>623</x:v>
      </x:c>
      <x:c r="O117" s="27"/>
      <x:c r="P117" s="26"/>
      <x:c r="Q117" s="27"/>
      <x:c r="R117" s="22">
        <x:f>IF(N117="","تکمیل نشده",IF(N117="ادغام با تفصیلی دیگر",IF(O117="","کلید مقصد خالی است",IF(IFERROR(MATCH(O117*1,$A:$A,0),0)=0,"کلید مقصد در این فهرست نیست",IF(O117*1=A117,"ادغام با خودش","OK"))),"OK"))</x:f>
      </x:c>
      <x:c r="S117" s="28"/>
    </x:row>
    <x:row r="118" spans="1:19">
      <x:c r="A118" s="21">
        <x:v>1377</x:v>
      </x:c>
      <x:c r="B118" s="22" t="s">
        <x:v>71</x:v>
      </x:c>
      <x:c r="C118" s="22" t="s">
        <x:v>265</x:v>
      </x:c>
      <x:c r="D118" s="22" t="s">
        <x:v>725</x:v>
      </x:c>
      <x:c r="E118" s="22" t="s">
        <x:v>782</x:v>
      </x:c>
      <x:c r="F118" s="22" t="s">
        <x:v>266</x:v>
      </x:c>
      <x:c r="G118" s="22">
        <x:v>19</x:v>
      </x:c>
      <x:c r="H118" s="23">
        <x:v>100627500</x:v>
      </x:c>
      <x:c r="I118" s="23">
        <x:v>56545500</x:v>
      </x:c>
      <x:c r="J118" s="23">
        <x:f>H118-I118</x:f>
      </x:c>
      <x:c r="K118" s="22">
        <x:v>2</x:v>
      </x:c>
      <x:c r="L118" s="24" t="s">
        <x:v>623</x:v>
      </x:c>
      <x:c r="M118" s="24"/>
      <x:c r="N118" s="27" t="s">
        <x:v>623</x:v>
      </x:c>
      <x:c r="O118" s="27"/>
      <x:c r="P118" s="26"/>
      <x:c r="Q118" s="27"/>
      <x:c r="R118" s="22">
        <x:f>IF(N118="","تکمیل نشده",IF(N118="ادغام با تفصیلی دیگر",IF(O118="","کلید مقصد خالی است",IF(IFERROR(MATCH(O118*1,$A:$A,0),0)=0,"کلید مقصد در این فهرست نیست",IF(O118*1=A118,"ادغام با خودش","OK"))),"OK"))</x:f>
      </x:c>
      <x:c r="S118" s="28"/>
    </x:row>
    <x:row r="119" spans="1:19">
      <x:c r="A119" s="21">
        <x:v>3840</x:v>
      </x:c>
      <x:c r="B119" s="22" t="s">
        <x:v>71</x:v>
      </x:c>
      <x:c r="C119" s="22" t="s">
        <x:v>265</x:v>
      </x:c>
      <x:c r="D119" s="22" t="s">
        <x:v>727</x:v>
      </x:c>
      <x:c r="E119" s="22" t="s">
        <x:v>783</x:v>
      </x:c>
      <x:c r="F119" s="22" t="s">
        <x:v>266</x:v>
      </x:c>
      <x:c r="G119" s="22">
        <x:v>1</x:v>
      </x:c>
      <x:c r="H119" s="23">
        <x:v>0</x:v>
      </x:c>
      <x:c r="I119" s="23">
        <x:v>65500000</x:v>
      </x:c>
      <x:c r="J119" s="23">
        <x:f>H119-I119</x:f>
      </x:c>
      <x:c r="K119" s="22">
        <x:v>2</x:v>
      </x:c>
      <x:c r="L119" s="24" t="s">
        <x:v>623</x:v>
      </x:c>
      <x:c r="M119" s="24"/>
      <x:c r="N119" s="27" t="s">
        <x:v>623</x:v>
      </x:c>
      <x:c r="O119" s="27"/>
      <x:c r="P119" s="26"/>
      <x:c r="Q119" s="27"/>
      <x:c r="R119" s="22">
        <x:f>IF(N119="","تکمیل نشده",IF(N119="ادغام با تفصیلی دیگر",IF(O119="","کلید مقصد خالی است",IF(IFERROR(MATCH(O119*1,$A:$A,0),0)=0,"کلید مقصد در این فهرست نیست",IF(O119*1=A119,"ادغام با خودش","OK"))),"OK"))</x:f>
      </x:c>
      <x:c r="S119" s="28"/>
    </x:row>
    <x:row r="120" spans="1:19">
      <x:c r="A120" s="21">
        <x:v>3844</x:v>
      </x:c>
      <x:c r="B120" s="22" t="s">
        <x:v>71</x:v>
      </x:c>
      <x:c r="C120" s="22" t="s">
        <x:v>265</x:v>
      </x:c>
      <x:c r="D120" s="22" t="s">
        <x:v>729</x:v>
      </x:c>
      <x:c r="E120" s="22" t="s">
        <x:v>784</x:v>
      </x:c>
      <x:c r="F120" s="22" t="s">
        <x:v>266</x:v>
      </x:c>
      <x:c r="G120" s="22">
        <x:v>1</x:v>
      </x:c>
      <x:c r="H120" s="23">
        <x:v>0</x:v>
      </x:c>
      <x:c r="I120" s="23">
        <x:v>41500000</x:v>
      </x:c>
      <x:c r="J120" s="23">
        <x:f>H120-I120</x:f>
      </x:c>
      <x:c r="K120" s="22">
        <x:v>3</x:v>
      </x:c>
      <x:c r="L120" s="24" t="s">
        <x:v>623</x:v>
      </x:c>
      <x:c r="M120" s="24"/>
      <x:c r="N120" s="27" t="s">
        <x:v>623</x:v>
      </x:c>
      <x:c r="O120" s="27"/>
      <x:c r="P120" s="26"/>
      <x:c r="Q120" s="27"/>
      <x:c r="R120" s="22">
        <x:f>IF(N120="","تکمیل نشده",IF(N120="ادغام با تفصیلی دیگر",IF(O120="","کلید مقصد خالی است",IF(IFERROR(MATCH(O120*1,$A:$A,0),0)=0,"کلید مقصد در این فهرست نیست",IF(O120*1=A120,"ادغام با خودش","OK"))),"OK"))</x:f>
      </x:c>
      <x:c r="S120" s="28"/>
    </x:row>
    <x:row r="121" spans="1:19">
      <x:c r="A121" s="21">
        <x:v>1396</x:v>
      </x:c>
      <x:c r="B121" s="22" t="s">
        <x:v>71</x:v>
      </x:c>
      <x:c r="C121" s="22" t="s">
        <x:v>265</x:v>
      </x:c>
      <x:c r="D121" s="22" t="s">
        <x:v>785</x:v>
      </x:c>
      <x:c r="E121" s="22" t="s">
        <x:v>461</x:v>
      </x:c>
      <x:c r="F121" s="22" t="s">
        <x:v>266</x:v>
      </x:c>
      <x:c r="G121" s="22">
        <x:v>17</x:v>
      </x:c>
      <x:c r="H121" s="23">
        <x:v>38513220</x:v>
      </x:c>
      <x:c r="I121" s="23">
        <x:v>173994405</x:v>
      </x:c>
      <x:c r="J121" s="23">
        <x:f>H121-I121</x:f>
      </x:c>
      <x:c r="K121" s="22">
        <x:v>3</x:v>
      </x:c>
      <x:c r="L121" s="24" t="s">
        <x:v>623</x:v>
      </x:c>
      <x:c r="M121" s="24"/>
      <x:c r="N121" s="27" t="s">
        <x:v>623</x:v>
      </x:c>
      <x:c r="O121" s="27"/>
      <x:c r="P121" s="26"/>
      <x:c r="Q121" s="27"/>
      <x:c r="R121" s="22">
        <x:f>IF(N121="","تکمیل نشده",IF(N121="ادغام با تفصیلی دیگر",IF(O121="","کلید مقصد خالی است",IF(IFERROR(MATCH(O121*1,$A:$A,0),0)=0,"کلید مقصد در این فهرست نیست",IF(O121*1=A121,"ادغام با خودش","OK"))),"OK"))</x:f>
      </x:c>
      <x:c r="S121" s="28"/>
    </x:row>
    <x:row r="122" spans="1:19">
      <x:c r="A122" s="21">
        <x:v>1417</x:v>
      </x:c>
      <x:c r="B122" s="22" t="s">
        <x:v>71</x:v>
      </x:c>
      <x:c r="C122" s="22" t="s">
        <x:v>265</x:v>
      </x:c>
      <x:c r="D122" s="22" t="s">
        <x:v>786</x:v>
      </x:c>
      <x:c r="E122" s="22" t="s">
        <x:v>787</x:v>
      </x:c>
      <x:c r="F122" s="22" t="s">
        <x:v>266</x:v>
      </x:c>
      <x:c r="G122" s="22">
        <x:v>24</x:v>
      </x:c>
      <x:c r="H122" s="23">
        <x:v>140718085</x:v>
      </x:c>
      <x:c r="I122" s="23">
        <x:v>115789410</x:v>
      </x:c>
      <x:c r="J122" s="23">
        <x:f>H122-I122</x:f>
      </x:c>
      <x:c r="K122" s="22">
        <x:v>2</x:v>
      </x:c>
      <x:c r="L122" s="24" t="s">
        <x:v>623</x:v>
      </x:c>
      <x:c r="M122" s="24"/>
      <x:c r="N122" s="27" t="s">
        <x:v>623</x:v>
      </x:c>
      <x:c r="O122" s="27"/>
      <x:c r="P122" s="26"/>
      <x:c r="Q122" s="27"/>
      <x:c r="R122" s="22">
        <x:f>IF(N122="","تکمیل نشده",IF(N122="ادغام با تفصیلی دیگر",IF(O122="","کلید مقصد خالی است",IF(IFERROR(MATCH(O122*1,$A:$A,0),0)=0,"کلید مقصد در این فهرست نیست",IF(O122*1=A122,"ادغام با خودش","OK"))),"OK"))</x:f>
      </x:c>
      <x:c r="S122" s="28"/>
    </x:row>
    <x:row r="123" spans="1:19">
      <x:c r="A123" s="21">
        <x:v>1428</x:v>
      </x:c>
      <x:c r="B123" s="22" t="s">
        <x:v>71</x:v>
      </x:c>
      <x:c r="C123" s="22" t="s">
        <x:v>269</x:v>
      </x:c>
      <x:c r="D123" s="22" t="s">
        <x:v>627</x:v>
      </x:c>
      <x:c r="E123" s="22" t="s">
        <x:v>779</x:v>
      </x:c>
      <x:c r="F123" s="22" t="s">
        <x:v>270</x:v>
      </x:c>
      <x:c r="G123" s="22">
        <x:v>16</x:v>
      </x:c>
      <x:c r="H123" s="23">
        <x:v>8280000</x:v>
      </x:c>
      <x:c r="I123" s="23">
        <x:v>62660000</x:v>
      </x:c>
      <x:c r="J123" s="23">
        <x:f>H123-I123</x:f>
      </x:c>
      <x:c r="K123" s="22">
        <x:v>2</x:v>
      </x:c>
      <x:c r="L123" s="24" t="s">
        <x:v>675</x:v>
      </x:c>
      <x:c r="M123" s="24">
        <x:v>1373</x:v>
      </x:c>
      <x:c r="N123" s="27" t="s">
        <x:v>675</x:v>
      </x:c>
      <x:c r="O123" s="27">
        <x:v>1373</x:v>
      </x:c>
      <x:c r="P123" s="26"/>
      <x:c r="Q123" s="27"/>
      <x:c r="R123" s="22">
        <x:f>IF(N123="","تکمیل نشده",IF(N123="ادغام با تفصیلی دیگر",IF(O123="","کلید مقصد خالی است",IF(IFERROR(MATCH(O123*1,$A:$A,0),0)=0,"کلید مقصد در این فهرست نیست",IF(O123*1=A123,"ادغام با خودش","OK"))),"OK"))</x:f>
      </x:c>
      <x:c r="S123" s="28"/>
    </x:row>
    <x:row r="124" spans="1:19">
      <x:c r="A124" s="21">
        <x:v>1429</x:v>
      </x:c>
      <x:c r="B124" s="22" t="s">
        <x:v>71</x:v>
      </x:c>
      <x:c r="C124" s="22" t="s">
        <x:v>269</x:v>
      </x:c>
      <x:c r="D124" s="22" t="s">
        <x:v>780</x:v>
      </x:c>
      <x:c r="E124" s="22" t="s">
        <x:v>781</x:v>
      </x:c>
      <x:c r="F124" s="22" t="s">
        <x:v>270</x:v>
      </x:c>
      <x:c r="G124" s="22">
        <x:v>5</x:v>
      </x:c>
      <x:c r="H124" s="23">
        <x:v>50204000</x:v>
      </x:c>
      <x:c r="I124" s="23">
        <x:v>12551000</x:v>
      </x:c>
      <x:c r="J124" s="23">
        <x:f>H124-I124</x:f>
      </x:c>
      <x:c r="K124" s="22">
        <x:v>2</x:v>
      </x:c>
      <x:c r="L124" s="24" t="s">
        <x:v>675</x:v>
      </x:c>
      <x:c r="M124" s="24">
        <x:v>1374</x:v>
      </x:c>
      <x:c r="N124" s="27" t="s">
        <x:v>675</x:v>
      </x:c>
      <x:c r="O124" s="27">
        <x:v>1374</x:v>
      </x:c>
      <x:c r="P124" s="26"/>
      <x:c r="Q124" s="27"/>
      <x:c r="R124" s="22">
        <x:f>IF(N124="","تکمیل نشده",IF(N124="ادغام با تفصیلی دیگر",IF(O124="","کلید مقصد خالی است",IF(IFERROR(MATCH(O124*1,$A:$A,0),0)=0,"کلید مقصد در این فهرست نیست",IF(O124*1=A124,"ادغام با خودش","OK"))),"OK"))</x:f>
      </x:c>
      <x:c r="S124" s="28"/>
    </x:row>
    <x:row r="125" spans="1:19">
      <x:c r="A125" s="21">
        <x:v>1432</x:v>
      </x:c>
      <x:c r="B125" s="22" t="s">
        <x:v>71</x:v>
      </x:c>
      <x:c r="C125" s="22" t="s">
        <x:v>269</x:v>
      </x:c>
      <x:c r="D125" s="22" t="s">
        <x:v>725</x:v>
      </x:c>
      <x:c r="E125" s="22" t="s">
        <x:v>788</x:v>
      </x:c>
      <x:c r="F125" s="22" t="s">
        <x:v>270</x:v>
      </x:c>
      <x:c r="G125" s="22">
        <x:v>9</x:v>
      </x:c>
      <x:c r="H125" s="23">
        <x:v>201255000</x:v>
      </x:c>
      <x:c r="I125" s="23">
        <x:v>52731000</x:v>
      </x:c>
      <x:c r="J125" s="23">
        <x:f>H125-I125</x:f>
      </x:c>
      <x:c r="K125" s="22">
        <x:v>2</x:v>
      </x:c>
      <x:c r="L125" s="24" t="s">
        <x:v>675</x:v>
      </x:c>
      <x:c r="M125" s="24">
        <x:v>1377</x:v>
      </x:c>
      <x:c r="N125" s="27" t="s">
        <x:v>675</x:v>
      </x:c>
      <x:c r="O125" s="27">
        <x:v>1377</x:v>
      </x:c>
      <x:c r="P125" s="26"/>
      <x:c r="Q125" s="27"/>
      <x:c r="R125" s="22">
        <x:f>IF(N125="","تکمیل نشده",IF(N125="ادغام با تفصیلی دیگر",IF(O125="","کلید مقصد خالی است",IF(IFERROR(MATCH(O125*1,$A:$A,0),0)=0,"کلید مقصد در این فهرست نیست",IF(O125*1=A125,"ادغام با خودش","OK"))),"OK"))</x:f>
      </x:c>
      <x:c r="S125" s="28"/>
    </x:row>
    <x:row r="126" spans="1:19">
      <x:c r="A126" s="21">
        <x:v>3839</x:v>
      </x:c>
      <x:c r="B126" s="22" t="s">
        <x:v>71</x:v>
      </x:c>
      <x:c r="C126" s="22" t="s">
        <x:v>269</x:v>
      </x:c>
      <x:c r="D126" s="22" t="s">
        <x:v>727</x:v>
      </x:c>
      <x:c r="E126" s="22" t="s">
        <x:v>783</x:v>
      </x:c>
      <x:c r="F126" s="22" t="s">
        <x:v>270</x:v>
      </x:c>
      <x:c r="G126" s="22">
        <x:v>2</x:v>
      </x:c>
      <x:c r="H126" s="23">
        <x:v>0</x:v>
      </x:c>
      <x:c r="I126" s="23">
        <x:v>196500000</x:v>
      </x:c>
      <x:c r="J126" s="23">
        <x:f>H126-I126</x:f>
      </x:c>
      <x:c r="K126" s="22">
        <x:v>2</x:v>
      </x:c>
      <x:c r="L126" s="24" t="s">
        <x:v>675</x:v>
      </x:c>
      <x:c r="M126" s="24">
        <x:v>3840</x:v>
      </x:c>
      <x:c r="N126" s="27" t="s">
        <x:v>675</x:v>
      </x:c>
      <x:c r="O126" s="27">
        <x:v>3840</x:v>
      </x:c>
      <x:c r="P126" s="26"/>
      <x:c r="Q126" s="27"/>
      <x:c r="R126" s="22">
        <x:f>IF(N126="","تکمیل نشده",IF(N126="ادغام با تفصیلی دیگر",IF(O126="","کلید مقصد خالی است",IF(IFERROR(MATCH(O126*1,$A:$A,0),0)=0,"کلید مقصد در این فهرست نیست",IF(O126*1=A126,"ادغام با خودش","OK"))),"OK"))</x:f>
      </x:c>
      <x:c r="S126" s="28"/>
    </x:row>
    <x:row r="127" spans="1:19">
      <x:c r="A127" s="21">
        <x:v>3843</x:v>
      </x:c>
      <x:c r="B127" s="22" t="s">
        <x:v>71</x:v>
      </x:c>
      <x:c r="C127" s="22" t="s">
        <x:v>269</x:v>
      </x:c>
      <x:c r="D127" s="22" t="s">
        <x:v>729</x:v>
      </x:c>
      <x:c r="E127" s="22" t="s">
        <x:v>784</x:v>
      </x:c>
      <x:c r="F127" s="22" t="s">
        <x:v>270</x:v>
      </x:c>
      <x:c r="G127" s="22">
        <x:v>2</x:v>
      </x:c>
      <x:c r="H127" s="23">
        <x:v>0</x:v>
      </x:c>
      <x:c r="I127" s="23">
        <x:v>124500000</x:v>
      </x:c>
      <x:c r="J127" s="23">
        <x:f>H127-I127</x:f>
      </x:c>
      <x:c r="K127" s="22">
        <x:v>3</x:v>
      </x:c>
      <x:c r="L127" s="24" t="s">
        <x:v>675</x:v>
      </x:c>
      <x:c r="M127" s="24">
        <x:v>3844</x:v>
      </x:c>
      <x:c r="N127" s="27" t="s">
        <x:v>675</x:v>
      </x:c>
      <x:c r="O127" s="27">
        <x:v>3844</x:v>
      </x:c>
      <x:c r="P127" s="26"/>
      <x:c r="Q127" s="27"/>
      <x:c r="R127" s="22">
        <x:f>IF(N127="","تکمیل نشده",IF(N127="ادغام با تفصیلی دیگر",IF(O127="","کلید مقصد خالی است",IF(IFERROR(MATCH(O127*1,$A:$A,0),0)=0,"کلید مقصد در این فهرست نیست",IF(O127*1=A127,"ادغام با خودش","OK"))),"OK"))</x:f>
      </x:c>
      <x:c r="S127" s="28"/>
    </x:row>
    <x:row r="128" spans="1:19">
      <x:c r="A128" s="21">
        <x:v>1435</x:v>
      </x:c>
      <x:c r="B128" s="22" t="s">
        <x:v>71</x:v>
      </x:c>
      <x:c r="C128" s="22" t="s">
        <x:v>269</x:v>
      </x:c>
      <x:c r="D128" s="22" t="s">
        <x:v>789</x:v>
      </x:c>
      <x:c r="E128" s="22" t="s">
        <x:v>790</x:v>
      </x:c>
      <x:c r="F128" s="22" t="s">
        <x:v>270</x:v>
      </x:c>
      <x:c r="G128" s="22">
        <x:v>4</x:v>
      </x:c>
      <x:c r="H128" s="23">
        <x:v>0</x:v>
      </x:c>
      <x:c r="I128" s="23">
        <x:v>2373039</x:v>
      </x:c>
      <x:c r="J128" s="23">
        <x:f>H128-I128</x:f>
      </x:c>
      <x:c r="K128" s="22">
        <x:v>1</x:v>
      </x:c>
      <x:c r="L128" s="24" t="s">
        <x:v>623</x:v>
      </x:c>
      <x:c r="M128" s="24"/>
      <x:c r="N128" s="27" t="s">
        <x:v>623</x:v>
      </x:c>
      <x:c r="O128" s="27"/>
      <x:c r="P128" s="26"/>
      <x:c r="Q128" s="27"/>
      <x:c r="R128" s="22">
        <x:f>IF(N128="","تکمیل نشده",IF(N128="ادغام با تفصیلی دیگر",IF(O128="","کلید مقصد خالی است",IF(IFERROR(MATCH(O128*1,$A:$A,0),0)=0,"کلید مقصد در این فهرست نیست",IF(O128*1=A128,"ادغام با خودش","OK"))),"OK"))</x:f>
      </x:c>
      <x:c r="S128" s="28"/>
    </x:row>
    <x:row r="129" spans="1:19">
      <x:c r="A129" s="21">
        <x:v>1476</x:v>
      </x:c>
      <x:c r="B129" s="22" t="s">
        <x:v>71</x:v>
      </x:c>
      <x:c r="C129" s="22" t="s">
        <x:v>269</x:v>
      </x:c>
      <x:c r="D129" s="22" t="s">
        <x:v>786</x:v>
      </x:c>
      <x:c r="E129" s="22" t="s">
        <x:v>787</x:v>
      </x:c>
      <x:c r="F129" s="22" t="s">
        <x:v>270</x:v>
      </x:c>
      <x:c r="G129" s="22">
        <x:v>24</x:v>
      </x:c>
      <x:c r="H129" s="23">
        <x:v>281157630</x:v>
      </x:c>
      <x:c r="I129" s="23">
        <x:v>231467803</x:v>
      </x:c>
      <x:c r="J129" s="23">
        <x:f>H129-I129</x:f>
      </x:c>
      <x:c r="K129" s="22">
        <x:v>2</x:v>
      </x:c>
      <x:c r="L129" s="24" t="s">
        <x:v>675</x:v>
      </x:c>
      <x:c r="M129" s="24">
        <x:v>1417</x:v>
      </x:c>
      <x:c r="N129" s="27" t="s">
        <x:v>675</x:v>
      </x:c>
      <x:c r="O129" s="27">
        <x:v>1417</x:v>
      </x:c>
      <x:c r="P129" s="26"/>
      <x:c r="Q129" s="27"/>
      <x:c r="R129" s="22">
        <x:f>IF(N129="","تکمیل نشده",IF(N129="ادغام با تفصیلی دیگر",IF(O129="","کلید مقصد خالی است",IF(IFERROR(MATCH(O129*1,$A:$A,0),0)=0,"کلید مقصد در این فهرست نیست",IF(O129*1=A129,"ادغام با خودش","OK"))),"OK"))</x:f>
      </x:c>
      <x:c r="S129" s="28"/>
    </x:row>
    <x:row r="130" spans="1:19">
      <x:c r="A130" s="21">
        <x:v>1489</x:v>
      </x:c>
      <x:c r="B130" s="22" t="s">
        <x:v>71</x:v>
      </x:c>
      <x:c r="C130" s="22" t="s">
        <x:v>34</x:v>
      </x:c>
      <x:c r="D130" s="22" t="s">
        <x:v>719</x:v>
      </x:c>
      <x:c r="E130" s="22" t="s">
        <x:v>791</x:v>
      </x:c>
      <x:c r="F130" s="22" t="s">
        <x:v>271</x:v>
      </x:c>
      <x:c r="G130" s="22">
        <x:v>4</x:v>
      </x:c>
      <x:c r="H130" s="23">
        <x:v>30375840</x:v>
      </x:c>
      <x:c r="I130" s="23">
        <x:v>30375840</x:v>
      </x:c>
      <x:c r="J130" s="23">
        <x:f>H130-I130</x:f>
      </x:c>
      <x:c r="K130" s="22">
        <x:v>1</x:v>
      </x:c>
      <x:c r="L130" s="24" t="s">
        <x:v>623</x:v>
      </x:c>
      <x:c r="M130" s="24"/>
      <x:c r="N130" s="27" t="s">
        <x:v>623</x:v>
      </x:c>
      <x:c r="O130" s="27"/>
      <x:c r="P130" s="26"/>
      <x:c r="Q130" s="27"/>
      <x:c r="R130" s="22">
        <x:f>IF(N130="","تکمیل نشده",IF(N130="ادغام با تفصیلی دیگر",IF(O130="","کلید مقصد خالی است",IF(IFERROR(MATCH(O130*1,$A:$A,0),0)=0,"کلید مقصد در این فهرست نیست",IF(O130*1=A130,"ادغام با خودش","OK"))),"OK"))</x:f>
      </x:c>
      <x:c r="S130" s="28"/>
    </x:row>
    <x:row r="131" spans="1:19">
      <x:c r="A131" s="21">
        <x:v>1506</x:v>
      </x:c>
      <x:c r="B131" s="22" t="s">
        <x:v>71</x:v>
      </x:c>
      <x:c r="C131" s="22" t="s">
        <x:v>49</x:v>
      </x:c>
      <x:c r="D131" s="22" t="s">
        <x:v>619</x:v>
      </x:c>
      <x:c r="E131" s="22" t="s">
        <x:v>274</x:v>
      </x:c>
      <x:c r="F131" s="22" t="s">
        <x:v>274</x:v>
      </x:c>
      <x:c r="G131" s="22">
        <x:v>108</x:v>
      </x:c>
      <x:c r="H131" s="23">
        <x:v>23967732809</x:v>
      </x:c>
      <x:c r="I131" s="23">
        <x:v>19481042406</x:v>
      </x:c>
      <x:c r="J131" s="23">
        <x:f>H131-I131</x:f>
      </x:c>
      <x:c r="K131" s="22">
        <x:v>1</x:v>
      </x:c>
      <x:c r="L131" s="24" t="s">
        <x:v>620</x:v>
      </x:c>
      <x:c r="M131" s="24"/>
      <x:c r="N131" s="27" t="s">
        <x:v>620</x:v>
      </x:c>
      <x:c r="O131" s="27"/>
      <x:c r="P131" s="26"/>
      <x:c r="Q131" s="27"/>
      <x:c r="R131" s="22">
        <x:f>IF(N131="","تکمیل نشده",IF(N131="ادغام با تفصیلی دیگر",IF(O131="","کلید مقصد خالی است",IF(IFERROR(MATCH(O131*1,$A:$A,0),0)=0,"کلید مقصد در این فهرست نیست",IF(O131*1=A131,"ادغام با خودش","OK"))),"OK"))</x:f>
      </x:c>
      <x:c r="S131" s="28"/>
    </x:row>
    <x:row r="132" spans="1:19">
      <x:c r="A132" s="21">
        <x:v>11200</x:v>
      </x:c>
      <x:c r="B132" s="22" t="s">
        <x:v>71</x:v>
      </x:c>
      <x:c r="C132" s="22" t="s">
        <x:v>209</x:v>
      </x:c>
      <x:c r="D132" s="22" t="s">
        <x:v>619</x:v>
      </x:c>
      <x:c r="E132" s="22" t="s">
        <x:v>275</x:v>
      </x:c>
      <x:c r="F132" s="22" t="s">
        <x:v>275</x:v>
      </x:c>
      <x:c r="G132" s="22">
        <x:v>4</x:v>
      </x:c>
      <x:c r="H132" s="23">
        <x:v>15563993500</x:v>
      </x:c>
      <x:c r="I132" s="23">
        <x:v>3000</x:v>
      </x:c>
      <x:c r="J132" s="23">
        <x:f>H132-I132</x:f>
      </x:c>
      <x:c r="K132" s="22">
        <x:v>1</x:v>
      </x:c>
      <x:c r="L132" s="24" t="s">
        <x:v>620</x:v>
      </x:c>
      <x:c r="M132" s="24"/>
      <x:c r="N132" s="27" t="s">
        <x:v>620</x:v>
      </x:c>
      <x:c r="O132" s="27"/>
      <x:c r="P132" s="26"/>
      <x:c r="Q132" s="27"/>
      <x:c r="R132" s="22">
        <x:f>IF(N132="","تکمیل نشده",IF(N132="ادغام با تفصیلی دیگر",IF(O132="","کلید مقصد خالی است",IF(IFERROR(MATCH(O132*1,$A:$A,0),0)=0,"کلید مقصد در این فهرست نیست",IF(O132*1=A132,"ادغام با خودش","OK"))),"OK"))</x:f>
      </x:c>
      <x:c r="S132" s="28"/>
    </x:row>
    <x:row r="133" spans="1:19">
      <x:c r="A133" s="21">
        <x:v>1527</x:v>
      </x:c>
      <x:c r="B133" s="22" t="s">
        <x:v>71</x:v>
      </x:c>
      <x:c r="C133" s="22" t="s">
        <x:v>235</x:v>
      </x:c>
      <x:c r="D133" s="22" t="s">
        <x:v>792</x:v>
      </x:c>
      <x:c r="E133" s="22" t="s">
        <x:v>276</x:v>
      </x:c>
      <x:c r="F133" s="22" t="s">
        <x:v>276</x:v>
      </x:c>
      <x:c r="G133" s="22">
        <x:v>1</x:v>
      </x:c>
      <x:c r="H133" s="23">
        <x:v>0</x:v>
      </x:c>
      <x:c r="I133" s="23">
        <x:v>4732650</x:v>
      </x:c>
      <x:c r="J133" s="23">
        <x:f>H133-I133</x:f>
      </x:c>
      <x:c r="K133" s="22">
        <x:v>2</x:v>
      </x:c>
      <x:c r="L133" s="24" t="s">
        <x:v>620</x:v>
      </x:c>
      <x:c r="M133" s="24"/>
      <x:c r="N133" s="27" t="s">
        <x:v>620</x:v>
      </x:c>
      <x:c r="O133" s="27"/>
      <x:c r="P133" s="26"/>
      <x:c r="Q133" s="27"/>
      <x:c r="R133" s="22">
        <x:f>IF(N133="","تکمیل نشده",IF(N133="ادغام با تفصیلی دیگر",IF(O133="","کلید مقصد خالی است",IF(IFERROR(MATCH(O133*1,$A:$A,0),0)=0,"کلید مقصد در این فهرست نیست",IF(O133*1=A133,"ادغام با خودش","OK"))),"OK"))</x:f>
      </x:c>
      <x:c r="S133" s="28"/>
    </x:row>
    <x:row r="134" spans="1:19">
      <x:c r="A134" s="21">
        <x:v>1528</x:v>
      </x:c>
      <x:c r="B134" s="22" t="s">
        <x:v>71</x:v>
      </x:c>
      <x:c r="C134" s="22" t="s">
        <x:v>235</x:v>
      </x:c>
      <x:c r="D134" s="22" t="s">
        <x:v>793</x:v>
      </x:c>
      <x:c r="E134" s="22" t="s">
        <x:v>276</x:v>
      </x:c>
      <x:c r="F134" s="22" t="s">
        <x:v>276</x:v>
      </x:c>
      <x:c r="G134" s="22">
        <x:v>5</x:v>
      </x:c>
      <x:c r="H134" s="23">
        <x:v>73944000</x:v>
      </x:c>
      <x:c r="I134" s="23">
        <x:v>18486000</x:v>
      </x:c>
      <x:c r="J134" s="23">
        <x:f>H134-I134</x:f>
      </x:c>
      <x:c r="K134" s="22">
        <x:v>2</x:v>
      </x:c>
      <x:c r="L134" s="24" t="s">
        <x:v>620</x:v>
      </x:c>
      <x:c r="M134" s="24"/>
      <x:c r="N134" s="27" t="s">
        <x:v>620</x:v>
      </x:c>
      <x:c r="O134" s="27"/>
      <x:c r="P134" s="26"/>
      <x:c r="Q134" s="27"/>
      <x:c r="R134" s="22">
        <x:f>IF(N134="","تکمیل نشده",IF(N134="ادغام با تفصیلی دیگر",IF(O134="","کلید مقصد خالی است",IF(IFERROR(MATCH(O134*1,$A:$A,0),0)=0,"کلید مقصد در این فهرست نیست",IF(O134*1=A134,"ادغام با خودش","OK"))),"OK"))</x:f>
      </x:c>
      <x:c r="S134" s="28"/>
    </x:row>
    <x:row r="135" spans="1:19">
      <x:c r="A135" s="21">
        <x:v>1529</x:v>
      </x:c>
      <x:c r="B135" s="22" t="s">
        <x:v>71</x:v>
      </x:c>
      <x:c r="C135" s="22" t="s">
        <x:v>235</x:v>
      </x:c>
      <x:c r="D135" s="22" t="s">
        <x:v>794</x:v>
      </x:c>
      <x:c r="E135" s="22" t="s">
        <x:v>795</x:v>
      </x:c>
      <x:c r="F135" s="22" t="s">
        <x:v>276</x:v>
      </x:c>
      <x:c r="G135" s="22">
        <x:v>9</x:v>
      </x:c>
      <x:c r="H135" s="23">
        <x:v>39820500</x:v>
      </x:c>
      <x:c r="I135" s="23">
        <x:v>15612975</x:v>
      </x:c>
      <x:c r="J135" s="23">
        <x:f>H135-I135</x:f>
      </x:c>
      <x:c r="K135" s="22">
        <x:v>1</x:v>
      </x:c>
      <x:c r="L135" s="24" t="s">
        <x:v>623</x:v>
      </x:c>
      <x:c r="M135" s="24"/>
      <x:c r="N135" s="27" t="s">
        <x:v>623</x:v>
      </x:c>
      <x:c r="O135" s="27"/>
      <x:c r="P135" s="26"/>
      <x:c r="Q135" s="27"/>
      <x:c r="R135" s="22">
        <x:f>IF(N135="","تکمیل نشده",IF(N135="ادغام با تفصیلی دیگر",IF(O135="","کلید مقصد خالی است",IF(IFERROR(MATCH(O135*1,$A:$A,0),0)=0,"کلید مقصد در این فهرست نیست",IF(O135*1=A135,"ادغام با خودش","OK"))),"OK"))</x:f>
      </x:c>
      <x:c r="S135" s="28"/>
    </x:row>
    <x:row r="136" spans="1:19">
      <x:c r="A136" s="21">
        <x:v>1531</x:v>
      </x:c>
      <x:c r="B136" s="22" t="s">
        <x:v>71</x:v>
      </x:c>
      <x:c r="C136" s="22" t="s">
        <x:v>211</x:v>
      </x:c>
      <x:c r="D136" s="22" t="s">
        <x:v>619</x:v>
      </x:c>
      <x:c r="E136" s="22" t="s">
        <x:v>796</x:v>
      </x:c>
      <x:c r="F136" s="22" t="s">
        <x:v>237</x:v>
      </x:c>
      <x:c r="G136" s="22">
        <x:v>1</x:v>
      </x:c>
      <x:c r="H136" s="23">
        <x:v>100000</x:v>
      </x:c>
      <x:c r="I136" s="23">
        <x:v>0</x:v>
      </x:c>
      <x:c r="J136" s="23">
        <x:f>H136-I136</x:f>
      </x:c>
      <x:c r="K136" s="22">
        <x:v>2</x:v>
      </x:c>
      <x:c r="L136" s="24" t="s">
        <x:v>620</x:v>
      </x:c>
      <x:c r="M136" s="24"/>
      <x:c r="N136" s="27" t="s">
        <x:v>620</x:v>
      </x:c>
      <x:c r="O136" s="27"/>
      <x:c r="P136" s="26"/>
      <x:c r="Q136" s="27"/>
      <x:c r="R136" s="22">
        <x:f>IF(N136="","تکمیل نشده",IF(N136="ادغام با تفصیلی دیگر",IF(O136="","کلید مقصد خالی است",IF(IFERROR(MATCH(O136*1,$A:$A,0),0)=0,"کلید مقصد در این فهرست نیست",IF(O136*1=A136,"ادغام با خودش","OK"))),"OK"))</x:f>
      </x:c>
      <x:c r="S136" s="28"/>
    </x:row>
    <x:row r="137" spans="1:19">
      <x:c r="A137" s="21">
        <x:v>1532</x:v>
      </x:c>
      <x:c r="B137" s="22" t="s">
        <x:v>71</x:v>
      </x:c>
      <x:c r="C137" s="22" t="s">
        <x:v>211</x:v>
      </x:c>
      <x:c r="D137" s="22" t="s">
        <x:v>719</x:v>
      </x:c>
      <x:c r="E137" s="22" t="s">
        <x:v>237</x:v>
      </x:c>
      <x:c r="F137" s="22" t="s">
        <x:v>237</x:v>
      </x:c>
      <x:c r="G137" s="22">
        <x:v>4</x:v>
      </x:c>
      <x:c r="H137" s="23">
        <x:v>40001000</x:v>
      </x:c>
      <x:c r="I137" s="23">
        <x:v>500</x:v>
      </x:c>
      <x:c r="J137" s="23">
        <x:f>H137-I137</x:f>
      </x:c>
      <x:c r="K137" s="22">
        <x:v>2</x:v>
      </x:c>
      <x:c r="L137" s="24" t="s">
        <x:v>620</x:v>
      </x:c>
      <x:c r="M137" s="24"/>
      <x:c r="N137" s="27" t="s">
        <x:v>620</x:v>
      </x:c>
      <x:c r="O137" s="27"/>
      <x:c r="P137" s="26"/>
      <x:c r="Q137" s="27"/>
      <x:c r="R137" s="22">
        <x:f>IF(N137="","تکمیل نشده",IF(N137="ادغام با تفصیلی دیگر",IF(O137="","کلید مقصد خالی است",IF(IFERROR(MATCH(O137*1,$A:$A,0),0)=0,"کلید مقصد در این فهرست نیست",IF(O137*1=A137,"ادغام با خودش","OK"))),"OK"))</x:f>
      </x:c>
      <x:c r="S137" s="28"/>
    </x:row>
    <x:row r="138" spans="1:19">
      <x:c r="A138" s="21">
        <x:v>1533</x:v>
      </x:c>
      <x:c r="B138" s="22" t="s">
        <x:v>71</x:v>
      </x:c>
      <x:c r="C138" s="22" t="s">
        <x:v>211</x:v>
      </x:c>
      <x:c r="D138" s="22" t="s">
        <x:v>627</x:v>
      </x:c>
      <x:c r="E138" s="22" t="s">
        <x:v>722</x:v>
      </x:c>
      <x:c r="F138" s="22" t="s">
        <x:v>237</x:v>
      </x:c>
      <x:c r="G138" s="22">
        <x:v>1</x:v>
      </x:c>
      <x:c r="H138" s="23">
        <x:v>0</x:v>
      </x:c>
      <x:c r="I138" s="23">
        <x:v>40000000</x:v>
      </x:c>
      <x:c r="J138" s="23">
        <x:f>H138-I138</x:f>
      </x:c>
      <x:c r="K138" s="22">
        <x:v>2</x:v>
      </x:c>
      <x:c r="L138" s="24" t="s">
        <x:v>675</x:v>
      </x:c>
      <x:c r="M138" s="24">
        <x:v>559</x:v>
      </x:c>
      <x:c r="N138" s="27" t="s">
        <x:v>675</x:v>
      </x:c>
      <x:c r="O138" s="27">
        <x:v>559</x:v>
      </x:c>
      <x:c r="P138" s="26"/>
      <x:c r="Q138" s="27"/>
      <x:c r="R138" s="22">
        <x:f>IF(N138="","تکمیل نشده",IF(N138="ادغام با تفصیلی دیگر",IF(O138="","کلید مقصد خالی است",IF(IFERROR(MATCH(O138*1,$A:$A,0),0)=0,"کلید مقصد در این فهرست نیست",IF(O138*1=A138,"ادغام با خودش","OK"))),"OK"))</x:f>
      </x:c>
      <x:c r="S138" s="28"/>
    </x:row>
    <x:row r="139" spans="1:19">
      <x:c r="A139" s="21">
        <x:v>1534</x:v>
      </x:c>
      <x:c r="B139" s="22" t="s">
        <x:v>71</x:v>
      </x:c>
      <x:c r="C139" s="22" t="s">
        <x:v>211</x:v>
      </x:c>
      <x:c r="D139" s="22" t="s">
        <x:v>780</x:v>
      </x:c>
      <x:c r="E139" s="22" t="s">
        <x:v>797</x:v>
      </x:c>
      <x:c r="F139" s="22" t="s">
        <x:v>237</x:v>
      </x:c>
      <x:c r="G139" s="22">
        <x:v>4</x:v>
      </x:c>
      <x:c r="H139" s="23">
        <x:v>10040</x:v>
      </x:c>
      <x:c r="I139" s="23">
        <x:v>1000</x:v>
      </x:c>
      <x:c r="J139" s="23">
        <x:f>H139-I139</x:f>
      </x:c>
      <x:c r="K139" s="22">
        <x:v>3</x:v>
      </x:c>
      <x:c r="L139" s="24" t="s">
        <x:v>623</x:v>
      </x:c>
      <x:c r="M139" s="24"/>
      <x:c r="N139" s="27" t="s">
        <x:v>623</x:v>
      </x:c>
      <x:c r="O139" s="27"/>
      <x:c r="P139" s="26"/>
      <x:c r="Q139" s="27"/>
      <x:c r="R139" s="22">
        <x:f>IF(N139="","تکمیل نشده",IF(N139="ادغام با تفصیلی دیگر",IF(O139="","کلید مقصد خالی است",IF(IFERROR(MATCH(O139*1,$A:$A,0),0)=0,"کلید مقصد در این فهرست نیست",IF(O139*1=A139,"ادغام با خودش","OK"))),"OK"))</x:f>
      </x:c>
      <x:c r="S139" s="28"/>
    </x:row>
    <x:row r="140" spans="1:19">
      <x:c r="A140" s="21">
        <x:v>1535</x:v>
      </x:c>
      <x:c r="B140" s="22" t="s">
        <x:v>71</x:v>
      </x:c>
      <x:c r="C140" s="22" t="s">
        <x:v>211</x:v>
      </x:c>
      <x:c r="D140" s="22" t="s">
        <x:v>721</x:v>
      </x:c>
      <x:c r="E140" s="22" t="s">
        <x:v>798</x:v>
      </x:c>
      <x:c r="F140" s="22" t="s">
        <x:v>237</x:v>
      </x:c>
      <x:c r="G140" s="22">
        <x:v>9</x:v>
      </x:c>
      <x:c r="H140" s="23">
        <x:v>1046</x:v>
      </x:c>
      <x:c r="I140" s="23">
        <x:v>200025</x:v>
      </x:c>
      <x:c r="J140" s="23">
        <x:f>H140-I140</x:f>
      </x:c>
      <x:c r="K140" s="22">
        <x:v>1</x:v>
      </x:c>
      <x:c r="L140" s="24" t="s">
        <x:v>623</x:v>
      </x:c>
      <x:c r="M140" s="24"/>
      <x:c r="N140" s="27" t="s">
        <x:v>623</x:v>
      </x:c>
      <x:c r="O140" s="27"/>
      <x:c r="P140" s="26"/>
      <x:c r="Q140" s="27"/>
      <x:c r="R140" s="22">
        <x:f>IF(N140="","تکمیل نشده",IF(N140="ادغام با تفصیلی دیگر",IF(O140="","کلید مقصد خالی است",IF(IFERROR(MATCH(O140*1,$A:$A,0),0)=0,"کلید مقصد در این فهرست نیست",IF(O140*1=A140,"ادغام با خودش","OK"))),"OK"))</x:f>
      </x:c>
      <x:c r="S140" s="28"/>
    </x:row>
    <x:row r="141" spans="1:19">
      <x:c r="A141" s="21">
        <x:v>1536</x:v>
      </x:c>
      <x:c r="B141" s="22" t="s">
        <x:v>71</x:v>
      </x:c>
      <x:c r="C141" s="22" t="s">
        <x:v>211</x:v>
      </x:c>
      <x:c r="D141" s="22" t="s">
        <x:v>723</x:v>
      </x:c>
      <x:c r="E141" s="22" t="s">
        <x:v>799</x:v>
      </x:c>
      <x:c r="F141" s="22" t="s">
        <x:v>237</x:v>
      </x:c>
      <x:c r="G141" s="22">
        <x:v>8</x:v>
      </x:c>
      <x:c r="H141" s="23">
        <x:v>70</x:v>
      </x:c>
      <x:c r="I141" s="23">
        <x:v>181349640</x:v>
      </x:c>
      <x:c r="J141" s="23">
        <x:f>H141-I141</x:f>
      </x:c>
      <x:c r="K141" s="22">
        <x:v>1</x:v>
      </x:c>
      <x:c r="L141" s="24" t="s">
        <x:v>623</x:v>
      </x:c>
      <x:c r="M141" s="24"/>
      <x:c r="N141" s="27" t="s">
        <x:v>623</x:v>
      </x:c>
      <x:c r="O141" s="27"/>
      <x:c r="P141" s="26"/>
      <x:c r="Q141" s="27"/>
      <x:c r="R141" s="22">
        <x:f>IF(N141="","تکمیل نشده",IF(N141="ادغام با تفصیلی دیگر",IF(O141="","کلید مقصد خالی است",IF(IFERROR(MATCH(O141*1,$A:$A,0),0)=0,"کلید مقصد در این فهرست نیست",IF(O141*1=A141,"ادغام با خودش","OK"))),"OK"))</x:f>
      </x:c>
      <x:c r="S141" s="28"/>
    </x:row>
    <x:row r="142" spans="1:19">
      <x:c r="A142" s="21">
        <x:v>1537</x:v>
      </x:c>
      <x:c r="B142" s="22" t="s">
        <x:v>71</x:v>
      </x:c>
      <x:c r="C142" s="22" t="s">
        <x:v>211</x:v>
      </x:c>
      <x:c r="D142" s="22" t="s">
        <x:v>725</x:v>
      </x:c>
      <x:c r="E142" s="22" t="s">
        <x:v>800</x:v>
      </x:c>
      <x:c r="F142" s="22" t="s">
        <x:v>237</x:v>
      </x:c>
      <x:c r="G142" s="22">
        <x:v>3</x:v>
      </x:c>
      <x:c r="H142" s="23">
        <x:v>0</x:v>
      </x:c>
      <x:c r="I142" s="23">
        <x:v>202010</x:v>
      </x:c>
      <x:c r="J142" s="23">
        <x:f>H142-I142</x:f>
      </x:c>
      <x:c r="K142" s="22">
        <x:v>1</x:v>
      </x:c>
      <x:c r="L142" s="24" t="s">
        <x:v>623</x:v>
      </x:c>
      <x:c r="M142" s="24"/>
      <x:c r="N142" s="27" t="s">
        <x:v>623</x:v>
      </x:c>
      <x:c r="O142" s="27"/>
      <x:c r="P142" s="26"/>
      <x:c r="Q142" s="27"/>
      <x:c r="R142" s="22">
        <x:f>IF(N142="","تکمیل نشده",IF(N142="ادغام با تفصیلی دیگر",IF(O142="","کلید مقصد خالی است",IF(IFERROR(MATCH(O142*1,$A:$A,0),0)=0,"کلید مقصد در این فهرست نیست",IF(O142*1=A142,"ادغام با خودش","OK"))),"OK"))</x:f>
      </x:c>
      <x:c r="S142" s="28"/>
    </x:row>
    <x:row r="143" spans="1:19">
      <x:c r="A143" s="21">
        <x:v>1538</x:v>
      </x:c>
      <x:c r="B143" s="22" t="s">
        <x:v>71</x:v>
      </x:c>
      <x:c r="C143" s="22" t="s">
        <x:v>211</x:v>
      </x:c>
      <x:c r="D143" s="22" t="s">
        <x:v>727</x:v>
      </x:c>
      <x:c r="E143" s="22" t="s">
        <x:v>801</x:v>
      </x:c>
      <x:c r="F143" s="22" t="s">
        <x:v>237</x:v>
      </x:c>
      <x:c r="G143" s="22">
        <x:v>16</x:v>
      </x:c>
      <x:c r="H143" s="23">
        <x:v>17010021</x:v>
      </x:c>
      <x:c r="I143" s="23">
        <x:v>22012660</x:v>
      </x:c>
      <x:c r="J143" s="23">
        <x:f>H143-I143</x:f>
      </x:c>
      <x:c r="K143" s="22">
        <x:v>3</x:v>
      </x:c>
      <x:c r="L143" s="24" t="s">
        <x:v>623</x:v>
      </x:c>
      <x:c r="M143" s="24"/>
      <x:c r="N143" s="27" t="s">
        <x:v>623</x:v>
      </x:c>
      <x:c r="O143" s="27"/>
      <x:c r="P143" s="26"/>
      <x:c r="Q143" s="27"/>
      <x:c r="R143" s="22">
        <x:f>IF(N143="","تکمیل نشده",IF(N143="ادغام با تفصیلی دیگر",IF(O143="","کلید مقصد خالی است",IF(IFERROR(MATCH(O143*1,$A:$A,0),0)=0,"کلید مقصد در این فهرست نیست",IF(O143*1=A143,"ادغام با خودش","OK"))),"OK"))</x:f>
      </x:c>
      <x:c r="S143" s="28"/>
    </x:row>
    <x:row r="144" spans="1:19">
      <x:c r="A144" s="21">
        <x:v>1539</x:v>
      </x:c>
      <x:c r="B144" s="22" t="s">
        <x:v>71</x:v>
      </x:c>
      <x:c r="C144" s="22" t="s">
        <x:v>211</x:v>
      </x:c>
      <x:c r="D144" s="22" t="s">
        <x:v>729</x:v>
      </x:c>
      <x:c r="E144" s="22" t="s">
        <x:v>802</x:v>
      </x:c>
      <x:c r="F144" s="22" t="s">
        <x:v>237</x:v>
      </x:c>
      <x:c r="G144" s="22">
        <x:v>8</x:v>
      </x:c>
      <x:c r="H144" s="23">
        <x:v>28300120</x:v>
      </x:c>
      <x:c r="I144" s="23">
        <x:v>67903582591</x:v>
      </x:c>
      <x:c r="J144" s="23">
        <x:f>H144-I144</x:f>
      </x:c>
      <x:c r="K144" s="22">
        <x:v>1</x:v>
      </x:c>
      <x:c r="L144" s="24" t="s">
        <x:v>623</x:v>
      </x:c>
      <x:c r="M144" s="24"/>
      <x:c r="N144" s="27" t="s">
        <x:v>623</x:v>
      </x:c>
      <x:c r="O144" s="27"/>
      <x:c r="P144" s="26"/>
      <x:c r="Q144" s="27"/>
      <x:c r="R144" s="22">
        <x:f>IF(N144="","تکمیل نشده",IF(N144="ادغام با تفصیلی دیگر",IF(O144="","کلید مقصد خالی است",IF(IFERROR(MATCH(O144*1,$A:$A,0),0)=0,"کلید مقصد در این فهرست نیست",IF(O144*1=A144,"ادغام با خودش","OK"))),"OK"))</x:f>
      </x:c>
      <x:c r="S144" s="28"/>
    </x:row>
    <x:row r="145" spans="1:19">
      <x:c r="A145" s="21">
        <x:v>1540</x:v>
      </x:c>
      <x:c r="B145" s="22" t="s">
        <x:v>71</x:v>
      </x:c>
      <x:c r="C145" s="22" t="s">
        <x:v>211</x:v>
      </x:c>
      <x:c r="D145" s="22" t="s">
        <x:v>731</x:v>
      </x:c>
      <x:c r="E145" s="22" t="s">
        <x:v>803</x:v>
      </x:c>
      <x:c r="F145" s="22" t="s">
        <x:v>237</x:v>
      </x:c>
      <x:c r="G145" s="22">
        <x:v>2</x:v>
      </x:c>
      <x:c r="H145" s="23">
        <x:v>0</x:v>
      </x:c>
      <x:c r="I145" s="23">
        <x:v>8002040</x:v>
      </x:c>
      <x:c r="J145" s="23">
        <x:f>H145-I145</x:f>
      </x:c>
      <x:c r="K145" s="22">
        <x:v>1</x:v>
      </x:c>
      <x:c r="L145" s="24" t="s">
        <x:v>623</x:v>
      </x:c>
      <x:c r="M145" s="24"/>
      <x:c r="N145" s="27" t="s">
        <x:v>623</x:v>
      </x:c>
      <x:c r="O145" s="27"/>
      <x:c r="P145" s="26"/>
      <x:c r="Q145" s="27"/>
      <x:c r="R145" s="22">
        <x:f>IF(N145="","تکمیل نشده",IF(N145="ادغام با تفصیلی دیگر",IF(O145="","کلید مقصد خالی است",IF(IFERROR(MATCH(O145*1,$A:$A,0),0)=0,"کلید مقصد در این فهرست نیست",IF(O145*1=A145,"ادغام با خودش","OK"))),"OK"))</x:f>
      </x:c>
      <x:c r="S145" s="28"/>
    </x:row>
    <x:row r="146" spans="1:19">
      <x:c r="A146" s="21">
        <x:v>1541</x:v>
      </x:c>
      <x:c r="B146" s="22" t="s">
        <x:v>71</x:v>
      </x:c>
      <x:c r="C146" s="22" t="s">
        <x:v>211</x:v>
      </x:c>
      <x:c r="D146" s="22" t="s">
        <x:v>804</x:v>
      </x:c>
      <x:c r="E146" s="22" t="s">
        <x:v>805</x:v>
      </x:c>
      <x:c r="F146" s="22" t="s">
        <x:v>237</x:v>
      </x:c>
      <x:c r="G146" s="22">
        <x:v>3</x:v>
      </x:c>
      <x:c r="H146" s="23">
        <x:v>1000000000</x:v>
      </x:c>
      <x:c r="I146" s="23">
        <x:v>3020</x:v>
      </x:c>
      <x:c r="J146" s="23">
        <x:f>H146-I146</x:f>
      </x:c>
      <x:c r="K146" s="22">
        <x:v>1</x:v>
      </x:c>
      <x:c r="L146" s="24" t="s">
        <x:v>623</x:v>
      </x:c>
      <x:c r="M146" s="24"/>
      <x:c r="N146" s="27" t="s">
        <x:v>623</x:v>
      </x:c>
      <x:c r="O146" s="27"/>
      <x:c r="P146" s="26"/>
      <x:c r="Q146" s="27"/>
      <x:c r="R146" s="22">
        <x:f>IF(N146="","تکمیل نشده",IF(N146="ادغام با تفصیلی دیگر",IF(O146="","کلید مقصد خالی است",IF(IFERROR(MATCH(O146*1,$A:$A,0),0)=0,"کلید مقصد در این فهرست نیست",IF(O146*1=A146,"ادغام با خودش","OK"))),"OK"))</x:f>
      </x:c>
      <x:c r="S146" s="28"/>
    </x:row>
    <x:row r="147" spans="1:19">
      <x:c r="A147" s="21">
        <x:v>1543</x:v>
      </x:c>
      <x:c r="B147" s="22" t="s">
        <x:v>71</x:v>
      </x:c>
      <x:c r="C147" s="22" t="s">
        <x:v>211</x:v>
      </x:c>
      <x:c r="D147" s="22" t="s">
        <x:v>806</x:v>
      </x:c>
      <x:c r="E147" s="22" t="s">
        <x:v>807</x:v>
      </x:c>
      <x:c r="F147" s="22" t="s">
        <x:v>237</x:v>
      </x:c>
      <x:c r="G147" s="22">
        <x:v>1</x:v>
      </x:c>
      <x:c r="H147" s="23">
        <x:v>0</x:v>
      </x:c>
      <x:c r="I147" s="23">
        <x:v>5</x:v>
      </x:c>
      <x:c r="J147" s="23">
        <x:f>H147-I147</x:f>
      </x:c>
      <x:c r="K147" s="22">
        <x:v>1</x:v>
      </x:c>
      <x:c r="L147" s="24" t="s">
        <x:v>623</x:v>
      </x:c>
      <x:c r="M147" s="24"/>
      <x:c r="N147" s="27" t="s">
        <x:v>623</x:v>
      </x:c>
      <x:c r="O147" s="27"/>
      <x:c r="P147" s="26"/>
      <x:c r="Q147" s="27"/>
      <x:c r="R147" s="22">
        <x:f>IF(N147="","تکمیل نشده",IF(N147="ادغام با تفصیلی دیگر",IF(O147="","کلید مقصد خالی است",IF(IFERROR(MATCH(O147*1,$A:$A,0),0)=0,"کلید مقصد در این فهرست نیست",IF(O147*1=A147,"ادغام با خودش","OK"))),"OK"))</x:f>
      </x:c>
      <x:c r="S147" s="28"/>
    </x:row>
    <x:row r="148" spans="1:19">
      <x:c r="A148" s="21">
        <x:v>1551</x:v>
      </x:c>
      <x:c r="B148" s="22" t="s">
        <x:v>71</x:v>
      </x:c>
      <x:c r="C148" s="22" t="s">
        <x:v>211</x:v>
      </x:c>
      <x:c r="D148" s="22" t="s">
        <x:v>761</x:v>
      </x:c>
      <x:c r="E148" s="22" t="s">
        <x:v>808</x:v>
      </x:c>
      <x:c r="F148" s="22" t="s">
        <x:v>237</x:v>
      </x:c>
      <x:c r="G148" s="22">
        <x:v>4</x:v>
      </x:c>
      <x:c r="H148" s="23">
        <x:v>4268400</x:v>
      </x:c>
      <x:c r="I148" s="23">
        <x:v>9959600</x:v>
      </x:c>
      <x:c r="J148" s="23">
        <x:f>H148-I148</x:f>
      </x:c>
      <x:c r="K148" s="22">
        <x:v>3</x:v>
      </x:c>
      <x:c r="L148" s="24" t="s">
        <x:v>623</x:v>
      </x:c>
      <x:c r="M148" s="24"/>
      <x:c r="N148" s="27" t="s">
        <x:v>623</x:v>
      </x:c>
      <x:c r="O148" s="27"/>
      <x:c r="P148" s="26"/>
      <x:c r="Q148" s="27"/>
      <x:c r="R148" s="22">
        <x:f>IF(N148="","تکمیل نشده",IF(N148="ادغام با تفصیلی دیگر",IF(O148="","کلید مقصد خالی است",IF(IFERROR(MATCH(O148*1,$A:$A,0),0)=0,"کلید مقصد در این فهرست نیست",IF(O148*1=A148,"ادغام با خودش","OK"))),"OK"))</x:f>
      </x:c>
      <x:c r="S148" s="28"/>
    </x:row>
    <x:row r="149" spans="1:19">
      <x:c r="A149" s="21">
        <x:v>1553</x:v>
      </x:c>
      <x:c r="B149" s="22" t="s">
        <x:v>71</x:v>
      </x:c>
      <x:c r="C149" s="22" t="s">
        <x:v>211</x:v>
      </x:c>
      <x:c r="D149" s="22" t="s">
        <x:v>733</x:v>
      </x:c>
      <x:c r="E149" s="22" t="s">
        <x:v>730</x:v>
      </x:c>
      <x:c r="F149" s="22" t="s">
        <x:v>237</x:v>
      </x:c>
      <x:c r="G149" s="22">
        <x:v>9</x:v>
      </x:c>
      <x:c r="H149" s="23">
        <x:v>25590420</x:v>
      </x:c>
      <x:c r="I149" s="23">
        <x:v>31742420</x:v>
      </x:c>
      <x:c r="J149" s="23">
        <x:f>H149-I149</x:f>
      </x:c>
      <x:c r="K149" s="22">
        <x:v>5</x:v>
      </x:c>
      <x:c r="L149" s="24" t="s">
        <x:v>675</x:v>
      </x:c>
      <x:c r="M149" s="24">
        <x:v>563</x:v>
      </x:c>
      <x:c r="N149" s="27" t="s">
        <x:v>675</x:v>
      </x:c>
      <x:c r="O149" s="27">
        <x:v>563</x:v>
      </x:c>
      <x:c r="P149" s="26"/>
      <x:c r="Q149" s="27"/>
      <x:c r="R149" s="22">
        <x:f>IF(N149="","تکمیل نشده",IF(N149="ادغام با تفصیلی دیگر",IF(O149="","کلید مقصد خالی است",IF(IFERROR(MATCH(O149*1,$A:$A,0),0)=0,"کلید مقصد در این فهرست نیست",IF(O149*1=A149,"ادغام با خودش","OK"))),"OK"))</x:f>
      </x:c>
      <x:c r="S149" s="28"/>
    </x:row>
    <x:row r="150" spans="1:19">
      <x:c r="A150" s="21">
        <x:v>1585</x:v>
      </x:c>
      <x:c r="B150" s="22" t="s">
        <x:v>71</x:v>
      </x:c>
      <x:c r="C150" s="22" t="s">
        <x:v>211</x:v>
      </x:c>
      <x:c r="D150" s="22" t="s">
        <x:v>809</x:v>
      </x:c>
      <x:c r="E150" s="22" t="s">
        <x:v>810</x:v>
      </x:c>
      <x:c r="F150" s="22" t="s">
        <x:v>237</x:v>
      </x:c>
      <x:c r="G150" s="22">
        <x:v>1</x:v>
      </x:c>
      <x:c r="H150" s="23">
        <x:v>0</x:v>
      </x:c>
      <x:c r="I150" s="23">
        <x:v>7222857</x:v>
      </x:c>
      <x:c r="J150" s="23">
        <x:f>H150-I150</x:f>
      </x:c>
      <x:c r="K150" s="22">
        <x:v>2</x:v>
      </x:c>
      <x:c r="L150" s="24" t="s">
        <x:v>675</x:v>
      </x:c>
      <x:c r="M150" s="24">
        <x:v>3868</x:v>
      </x:c>
      <x:c r="N150" s="27" t="s">
        <x:v>675</x:v>
      </x:c>
      <x:c r="O150" s="27">
        <x:v>3868</x:v>
      </x:c>
      <x:c r="P150" s="26"/>
      <x:c r="Q150" s="27"/>
      <x:c r="R150" s="22">
        <x:f>IF(N150="","تکمیل نشده",IF(N150="ادغام با تفصیلی دیگر",IF(O150="","کلید مقصد خالی است",IF(IFERROR(MATCH(O150*1,$A:$A,0),0)=0,"کلید مقصد در این فهرست نیست",IF(O150*1=A150,"ادغام با خودش","OK"))),"OK"))</x:f>
      </x:c>
      <x:c r="S150" s="28"/>
    </x:row>
    <x:row r="151" spans="1:19">
      <x:c r="A151" s="21">
        <x:v>3601</x:v>
      </x:c>
      <x:c r="B151" s="22" t="s">
        <x:v>71</x:v>
      </x:c>
      <x:c r="C151" s="22" t="s">
        <x:v>211</x:v>
      </x:c>
      <x:c r="D151" s="22" t="s">
        <x:v>811</x:v>
      </x:c>
      <x:c r="E151" s="22" t="s">
        <x:v>812</x:v>
      </x:c>
      <x:c r="F151" s="22" t="s">
        <x:v>237</x:v>
      </x:c>
      <x:c r="G151" s="22">
        <x:v>5</x:v>
      </x:c>
      <x:c r="H151" s="23">
        <x:v>45350000</x:v>
      </x:c>
      <x:c r="I151" s="23">
        <x:v>45350000</x:v>
      </x:c>
      <x:c r="J151" s="23">
        <x:f>H151-I151</x:f>
      </x:c>
      <x:c r="K151" s="22">
        <x:v>1</x:v>
      </x:c>
      <x:c r="L151" s="24" t="s">
        <x:v>623</x:v>
      </x:c>
      <x:c r="M151" s="24"/>
      <x:c r="N151" s="27" t="s">
        <x:v>623</x:v>
      </x:c>
      <x:c r="O151" s="27"/>
      <x:c r="P151" s="26"/>
      <x:c r="Q151" s="27"/>
      <x:c r="R151" s="22">
        <x:f>IF(N151="","تکمیل نشده",IF(N151="ادغام با تفصیلی دیگر",IF(O151="","کلید مقصد خالی است",IF(IFERROR(MATCH(O151*1,$A:$A,0),0)=0,"کلید مقصد در این فهرست نیست",IF(O151*1=A151,"ادغام با خودش","OK"))),"OK"))</x:f>
      </x:c>
      <x:c r="S151" s="28"/>
    </x:row>
    <x:row r="152" spans="1:19">
      <x:c r="A152" s="21">
        <x:v>3602</x:v>
      </x:c>
      <x:c r="B152" s="22" t="s">
        <x:v>71</x:v>
      </x:c>
      <x:c r="C152" s="22" t="s">
        <x:v>211</x:v>
      </x:c>
      <x:c r="D152" s="22" t="s">
        <x:v>813</x:v>
      </x:c>
      <x:c r="E152" s="22" t="s">
        <x:v>814</x:v>
      </x:c>
      <x:c r="F152" s="22" t="s">
        <x:v>237</x:v>
      </x:c>
      <x:c r="G152" s="22">
        <x:v>2</x:v>
      </x:c>
      <x:c r="H152" s="23">
        <x:v>31580000</x:v>
      </x:c>
      <x:c r="I152" s="23">
        <x:v>31580000</x:v>
      </x:c>
      <x:c r="J152" s="23">
        <x:f>H152-I152</x:f>
      </x:c>
      <x:c r="K152" s="22">
        <x:v>1</x:v>
      </x:c>
      <x:c r="L152" s="24" t="s">
        <x:v>623</x:v>
      </x:c>
      <x:c r="M152" s="24"/>
      <x:c r="N152" s="27" t="s">
        <x:v>623</x:v>
      </x:c>
      <x:c r="O152" s="27"/>
      <x:c r="P152" s="26"/>
      <x:c r="Q152" s="27"/>
      <x:c r="R152" s="22">
        <x:f>IF(N152="","تکمیل نشده",IF(N152="ادغام با تفصیلی دیگر",IF(O152="","کلید مقصد خالی است",IF(IFERROR(MATCH(O152*1,$A:$A,0),0)=0,"کلید مقصد در این فهرست نیست",IF(O152*1=A152,"ادغام با خودش","OK"))),"OK"))</x:f>
      </x:c>
      <x:c r="S152" s="28"/>
    </x:row>
    <x:row r="153" spans="1:19">
      <x:c r="A153" s="21">
        <x:v>3645</x:v>
      </x:c>
      <x:c r="B153" s="22" t="s">
        <x:v>71</x:v>
      </x:c>
      <x:c r="C153" s="22" t="s">
        <x:v>211</x:v>
      </x:c>
      <x:c r="D153" s="22" t="s">
        <x:v>815</x:v>
      </x:c>
      <x:c r="E153" s="22" t="s">
        <x:v>816</x:v>
      </x:c>
      <x:c r="F153" s="22" t="s">
        <x:v>237</x:v>
      </x:c>
      <x:c r="G153" s="22">
        <x:v>3</x:v>
      </x:c>
      <x:c r="H153" s="23">
        <x:v>16678666</x:v>
      </x:c>
      <x:c r="I153" s="23">
        <x:v>16678666</x:v>
      </x:c>
      <x:c r="J153" s="23">
        <x:f>H153-I153</x:f>
      </x:c>
      <x:c r="K153" s="22">
        <x:v>2</x:v>
      </x:c>
      <x:c r="L153" s="24" t="s">
        <x:v>623</x:v>
      </x:c>
      <x:c r="M153" s="24"/>
      <x:c r="N153" s="27" t="s">
        <x:v>623</x:v>
      </x:c>
      <x:c r="O153" s="27"/>
      <x:c r="P153" s="26"/>
      <x:c r="Q153" s="27"/>
      <x:c r="R153" s="22">
        <x:f>IF(N153="","تکمیل نشده",IF(N153="ادغام با تفصیلی دیگر",IF(O153="","کلید مقصد خالی است",IF(IFERROR(MATCH(O153*1,$A:$A,0),0)=0,"کلید مقصد در این فهرست نیست",IF(O153*1=A153,"ادغام با خودش","OK"))),"OK"))</x:f>
      </x:c>
      <x:c r="S153" s="28"/>
    </x:row>
    <x:row r="154" spans="1:19">
      <x:c r="A154" s="21">
        <x:v>3725</x:v>
      </x:c>
      <x:c r="B154" s="22" t="s">
        <x:v>71</x:v>
      </x:c>
      <x:c r="C154" s="22" t="s">
        <x:v>211</x:v>
      </x:c>
      <x:c r="D154" s="22" t="s">
        <x:v>621</x:v>
      </x:c>
      <x:c r="E154" s="22" t="s">
        <x:v>622</x:v>
      </x:c>
      <x:c r="F154" s="22" t="s">
        <x:v>237</x:v>
      </x:c>
      <x:c r="G154" s="22">
        <x:v>5</x:v>
      </x:c>
      <x:c r="H154" s="23">
        <x:v>540500000</x:v>
      </x:c>
      <x:c r="I154" s="23">
        <x:v>540502000</x:v>
      </x:c>
      <x:c r="J154" s="23">
        <x:f>H154-I154</x:f>
      </x:c>
      <x:c r="K154" s="22">
        <x:v>2</x:v>
      </x:c>
      <x:c r="L154" s="24" t="s">
        <x:v>675</x:v>
      </x:c>
      <x:c r="M154" s="24">
        <x:v>3724</x:v>
      </x:c>
      <x:c r="N154" s="27" t="s">
        <x:v>675</x:v>
      </x:c>
      <x:c r="O154" s="27">
        <x:v>3724</x:v>
      </x:c>
      <x:c r="P154" s="26"/>
      <x:c r="Q154" s="27"/>
      <x:c r="R154" s="22">
        <x:f>IF(N154="","تکمیل نشده",IF(N154="ادغام با تفصیلی دیگر",IF(O154="","کلید مقصد خالی است",IF(IFERROR(MATCH(O154*1,$A:$A,0),0)=0,"کلید مقصد در این فهرست نیست",IF(O154*1=A154,"ادغام با خودش","OK"))),"OK"))</x:f>
      </x:c>
      <x:c r="S154" s="28"/>
    </x:row>
    <x:row r="155" spans="1:19">
      <x:c r="A155" s="21">
        <x:v>3766</x:v>
      </x:c>
      <x:c r="B155" s="22" t="s">
        <x:v>71</x:v>
      </x:c>
      <x:c r="C155" s="22" t="s">
        <x:v>211</x:v>
      </x:c>
      <x:c r="D155" s="22" t="s">
        <x:v>817</x:v>
      </x:c>
      <x:c r="E155" s="22" t="s">
        <x:v>818</x:v>
      </x:c>
      <x:c r="F155" s="22" t="s">
        <x:v>237</x:v>
      </x:c>
      <x:c r="G155" s="22">
        <x:v>4</x:v>
      </x:c>
      <x:c r="H155" s="23">
        <x:v>5550687</x:v>
      </x:c>
      <x:c r="I155" s="23">
        <x:v>12951600</x:v>
      </x:c>
      <x:c r="J155" s="23">
        <x:f>H155-I155</x:f>
      </x:c>
      <x:c r="K155" s="22">
        <x:v>4</x:v>
      </x:c>
      <x:c r="L155" s="24" t="s">
        <x:v>675</x:v>
      </x:c>
      <x:c r="M155" s="24">
        <x:v>576</x:v>
      </x:c>
      <x:c r="N155" s="27" t="s">
        <x:v>675</x:v>
      </x:c>
      <x:c r="O155" s="27">
        <x:v>576</x:v>
      </x:c>
      <x:c r="P155" s="26"/>
      <x:c r="Q155" s="27"/>
      <x:c r="R155" s="22">
        <x:f>IF(N155="","تکمیل نشده",IF(N155="ادغام با تفصیلی دیگر",IF(O155="","کلید مقصد خالی است",IF(IFERROR(MATCH(O155*1,$A:$A,0),0)=0,"کلید مقصد در این فهرست نیست",IF(O155*1=A155,"ادغام با خودش","OK"))),"OK"))</x:f>
      </x:c>
      <x:c r="S155" s="28"/>
    </x:row>
    <x:row r="156" spans="1:19">
      <x:c r="A156" s="21">
        <x:v>3771</x:v>
      </x:c>
      <x:c r="B156" s="22" t="s">
        <x:v>71</x:v>
      </x:c>
      <x:c r="C156" s="22" t="s">
        <x:v>211</x:v>
      </x:c>
      <x:c r="D156" s="22" t="s">
        <x:v>819</x:v>
      </x:c>
      <x:c r="E156" s="22" t="s">
        <x:v>820</x:v>
      </x:c>
      <x:c r="F156" s="22" t="s">
        <x:v>237</x:v>
      </x:c>
      <x:c r="G156" s="22">
        <x:v>2</x:v>
      </x:c>
      <x:c r="H156" s="23">
        <x:v>557300000</x:v>
      </x:c>
      <x:c r="I156" s="23">
        <x:v>557300000</x:v>
      </x:c>
      <x:c r="J156" s="23">
        <x:f>H156-I156</x:f>
      </x:c>
      <x:c r="K156" s="22">
        <x:v>1</x:v>
      </x:c>
      <x:c r="L156" s="24" t="s">
        <x:v>623</x:v>
      </x:c>
      <x:c r="M156" s="24"/>
      <x:c r="N156" s="27" t="s">
        <x:v>623</x:v>
      </x:c>
      <x:c r="O156" s="27"/>
      <x:c r="P156" s="26"/>
      <x:c r="Q156" s="27"/>
      <x:c r="R156" s="22">
        <x:f>IF(N156="","تکمیل نشده",IF(N156="ادغام با تفصیلی دیگر",IF(O156="","کلید مقصد خالی است",IF(IFERROR(MATCH(O156*1,$A:$A,0),0)=0,"کلید مقصد در این فهرست نیست",IF(O156*1=A156,"ادغام با خودش","OK"))),"OK"))</x:f>
      </x:c>
      <x:c r="S156" s="28"/>
    </x:row>
    <x:row r="157" spans="1:19">
      <x:c r="A157" s="21">
        <x:v>3778</x:v>
      </x:c>
      <x:c r="B157" s="22" t="s">
        <x:v>71</x:v>
      </x:c>
      <x:c r="C157" s="22" t="s">
        <x:v>211</x:v>
      </x:c>
      <x:c r="D157" s="22" t="s">
        <x:v>821</x:v>
      </x:c>
      <x:c r="E157" s="22" t="s">
        <x:v>822</x:v>
      </x:c>
      <x:c r="F157" s="22" t="s">
        <x:v>237</x:v>
      </x:c>
      <x:c r="G157" s="22">
        <x:v>2</x:v>
      </x:c>
      <x:c r="H157" s="23">
        <x:v>6000000</x:v>
      </x:c>
      <x:c r="I157" s="23">
        <x:v>6000000</x:v>
      </x:c>
      <x:c r="J157" s="23">
        <x:f>H157-I157</x:f>
      </x:c>
      <x:c r="K157" s="22">
        <x:v>1</x:v>
      </x:c>
      <x:c r="L157" s="24" t="s">
        <x:v>623</x:v>
      </x:c>
      <x:c r="M157" s="24"/>
      <x:c r="N157" s="27" t="s">
        <x:v>623</x:v>
      </x:c>
      <x:c r="O157" s="27"/>
      <x:c r="P157" s="26"/>
      <x:c r="Q157" s="27"/>
      <x:c r="R157" s="22">
        <x:f>IF(N157="","تکمیل نشده",IF(N157="ادغام با تفصیلی دیگر",IF(O157="","کلید مقصد خالی است",IF(IFERROR(MATCH(O157*1,$A:$A,0),0)=0,"کلید مقصد در این فهرست نیست",IF(O157*1=A157,"ادغام با خودش","OK"))),"OK"))</x:f>
      </x:c>
      <x:c r="S157" s="28"/>
    </x:row>
    <x:row r="158" spans="1:19">
      <x:c r="A158" s="21">
        <x:v>1619</x:v>
      </x:c>
      <x:c r="B158" s="22" t="s">
        <x:v>71</x:v>
      </x:c>
      <x:c r="C158" s="22" t="s">
        <x:v>211</x:v>
      </x:c>
      <x:c r="D158" s="22" t="s">
        <x:v>754</x:v>
      </x:c>
      <x:c r="E158" s="22" t="s">
        <x:v>755</x:v>
      </x:c>
      <x:c r="F158" s="22" t="s">
        <x:v>237</x:v>
      </x:c>
      <x:c r="G158" s="22">
        <x:v>114</x:v>
      </x:c>
      <x:c r="H158" s="23">
        <x:v>35243460086</x:v>
      </x:c>
      <x:c r="I158" s="23">
        <x:v>30714290817</x:v>
      </x:c>
      <x:c r="J158" s="23">
        <x:f>H158-I158</x:f>
      </x:c>
      <x:c r="K158" s="22">
        <x:v>2</x:v>
      </x:c>
      <x:c r="L158" s="24" t="s">
        <x:v>675</x:v>
      </x:c>
      <x:c r="M158" s="24">
        <x:v>657</x:v>
      </x:c>
      <x:c r="N158" s="27" t="s">
        <x:v>675</x:v>
      </x:c>
      <x:c r="O158" s="27">
        <x:v>657</x:v>
      </x:c>
      <x:c r="P158" s="26"/>
      <x:c r="Q158" s="27"/>
      <x:c r="R158" s="22">
        <x:f>IF(N158="","تکمیل نشده",IF(N158="ادغام با تفصیلی دیگر",IF(O158="","کلید مقصد خالی است",IF(IFERROR(MATCH(O158*1,$A:$A,0),0)=0,"کلید مقصد در این فهرست نیست",IF(O158*1=A158,"ادغام با خودش","OK"))),"OK"))</x:f>
      </x:c>
      <x:c r="S158" s="28"/>
    </x:row>
    <x:row r="159" spans="1:19">
      <x:c r="A159" s="21">
        <x:v>1626</x:v>
      </x:c>
      <x:c r="B159" s="22" t="s">
        <x:v>71</x:v>
      </x:c>
      <x:c r="C159" s="22" t="s">
        <x:v>211</x:v>
      </x:c>
      <x:c r="D159" s="22" t="s">
        <x:v>756</x:v>
      </x:c>
      <x:c r="E159" s="22" t="s">
        <x:v>823</x:v>
      </x:c>
      <x:c r="F159" s="22" t="s">
        <x:v>237</x:v>
      </x:c>
      <x:c r="G159" s="22">
        <x:v>4</x:v>
      </x:c>
      <x:c r="H159" s="23">
        <x:v>5550687</x:v>
      </x:c>
      <x:c r="I159" s="23">
        <x:v>12951600</x:v>
      </x:c>
      <x:c r="J159" s="23">
        <x:f>H159-I159</x:f>
      </x:c>
      <x:c r="K159" s="22">
        <x:v>3</x:v>
      </x:c>
      <x:c r="L159" s="24" t="s">
        <x:v>623</x:v>
      </x:c>
      <x:c r="M159" s="24"/>
      <x:c r="N159" s="27" t="s">
        <x:v>623</x:v>
      </x:c>
      <x:c r="O159" s="27"/>
      <x:c r="P159" s="26"/>
      <x:c r="Q159" s="27"/>
      <x:c r="R159" s="22">
        <x:f>IF(N159="","تکمیل نشده",IF(N159="ادغام با تفصیلی دیگر",IF(O159="","کلید مقصد خالی است",IF(IFERROR(MATCH(O159*1,$A:$A,0),0)=0,"کلید مقصد در این فهرست نیست",IF(O159*1=A159,"ادغام با خودش","OK"))),"OK"))</x:f>
      </x:c>
      <x:c r="S159" s="28"/>
    </x:row>
    <x:row r="160" spans="1:19">
      <x:c r="A160" s="21">
        <x:v>11201</x:v>
      </x:c>
      <x:c r="B160" s="22" t="s">
        <x:v>71</x:v>
      </x:c>
      <x:c r="C160" s="22" t="s">
        <x:v>211</x:v>
      </x:c>
      <x:c r="D160" s="22" t="s">
        <x:v>824</x:v>
      </x:c>
      <x:c r="E160" s="22" t="s">
        <x:v>288</x:v>
      </x:c>
      <x:c r="F160" s="22" t="s">
        <x:v>237</x:v>
      </x:c>
      <x:c r="G160" s="22">
        <x:v>9</x:v>
      </x:c>
      <x:c r="H160" s="23">
        <x:v>857300133</x:v>
      </x:c>
      <x:c r="I160" s="23">
        <x:v>0</x:v>
      </x:c>
      <x:c r="J160" s="23">
        <x:f>H160-I160</x:f>
      </x:c>
      <x:c r="K160" s="22">
        <x:v>3</x:v>
      </x:c>
      <x:c r="L160" s="24" t="s">
        <x:v>623</x:v>
      </x:c>
      <x:c r="M160" s="24"/>
      <x:c r="N160" s="27" t="s">
        <x:v>623</x:v>
      </x:c>
      <x:c r="O160" s="27"/>
      <x:c r="P160" s="26"/>
      <x:c r="Q160" s="27"/>
      <x:c r="R160" s="22">
        <x:f>IF(N160="","تکمیل نشده",IF(N160="ادغام با تفصیلی دیگر",IF(O160="","کلید مقصد خالی است",IF(IFERROR(MATCH(O160*1,$A:$A,0),0)=0,"کلید مقصد در این فهرست نیست",IF(O160*1=A160,"ادغام با خودش","OK"))),"OK"))</x:f>
      </x:c>
      <x:c r="S160" s="28"/>
    </x:row>
    <x:row r="161" spans="1:19">
      <x:c r="A161" s="21">
        <x:v>1858</x:v>
      </x:c>
      <x:c r="B161" s="22" t="s">
        <x:v>71</x:v>
      </x:c>
      <x:c r="C161" s="22" t="s">
        <x:v>211</x:v>
      </x:c>
      <x:c r="D161" s="22" t="s">
        <x:v>825</x:v>
      </x:c>
      <x:c r="E161" s="22" t="s">
        <x:v>826</x:v>
      </x:c>
      <x:c r="F161" s="22" t="s">
        <x:v>237</x:v>
      </x:c>
      <x:c r="G161" s="22">
        <x:v>2</x:v>
      </x:c>
      <x:c r="H161" s="23">
        <x:v>27375000</x:v>
      </x:c>
      <x:c r="I161" s="23">
        <x:v>27375000</x:v>
      </x:c>
      <x:c r="J161" s="23">
        <x:f>H161-I161</x:f>
      </x:c>
      <x:c r="K161" s="22">
        <x:v>1</x:v>
      </x:c>
      <x:c r="L161" s="24" t="s">
        <x:v>623</x:v>
      </x:c>
      <x:c r="M161" s="24"/>
      <x:c r="N161" s="27" t="s">
        <x:v>623</x:v>
      </x:c>
      <x:c r="O161" s="27"/>
      <x:c r="P161" s="26"/>
      <x:c r="Q161" s="27"/>
      <x:c r="R161" s="22">
        <x:f>IF(N161="","تکمیل نشده",IF(N161="ادغام با تفصیلی دیگر",IF(O161="","کلید مقصد خالی است",IF(IFERROR(MATCH(O161*1,$A:$A,0),0)=0,"کلید مقصد در این فهرست نیست",IF(O161*1=A161,"ادغام با خودش","OK"))),"OK"))</x:f>
      </x:c>
      <x:c r="S161" s="28"/>
    </x:row>
    <x:row r="162" spans="1:19">
      <x:c r="A162" s="21">
        <x:v>2014</x:v>
      </x:c>
      <x:c r="B162" s="22" t="s">
        <x:v>71</x:v>
      </x:c>
      <x:c r="C162" s="22" t="s">
        <x:v>211</x:v>
      </x:c>
      <x:c r="D162" s="22" t="s">
        <x:v>827</x:v>
      </x:c>
      <x:c r="E162" s="22" t="s">
        <x:v>828</x:v>
      </x:c>
      <x:c r="F162" s="22" t="s">
        <x:v>237</x:v>
      </x:c>
      <x:c r="G162" s="22">
        <x:v>17</x:v>
      </x:c>
      <x:c r="H162" s="23">
        <x:v>22170376386</x:v>
      </x:c>
      <x:c r="I162" s="23">
        <x:v>12521158318</x:v>
      </x:c>
      <x:c r="J162" s="23">
        <x:f>H162-I162</x:f>
      </x:c>
      <x:c r="K162" s="22">
        <x:v>1</x:v>
      </x:c>
      <x:c r="L162" s="24" t="s">
        <x:v>623</x:v>
      </x:c>
      <x:c r="M162" s="24"/>
      <x:c r="N162" s="27" t="s">
        <x:v>623</x:v>
      </x:c>
      <x:c r="O162" s="27"/>
      <x:c r="P162" s="26"/>
      <x:c r="Q162" s="27"/>
      <x:c r="R162" s="22">
        <x:f>IF(N162="","تکمیل نشده",IF(N162="ادغام با تفصیلی دیگر",IF(O162="","کلید مقصد خالی است",IF(IFERROR(MATCH(O162*1,$A:$A,0),0)=0,"کلید مقصد در این فهرست نیست",IF(O162*1=A162,"ادغام با خودش","OK"))),"OK"))</x:f>
      </x:c>
      <x:c r="S162" s="28"/>
    </x:row>
    <x:row r="163" spans="1:19">
      <x:c r="A163" s="21">
        <x:v>2281</x:v>
      </x:c>
      <x:c r="B163" s="22" t="s">
        <x:v>71</x:v>
      </x:c>
      <x:c r="C163" s="22" t="s">
        <x:v>211</x:v>
      </x:c>
      <x:c r="D163" s="22" t="s">
        <x:v>829</x:v>
      </x:c>
      <x:c r="E163" s="22" t="s">
        <x:v>830</x:v>
      </x:c>
      <x:c r="F163" s="22" t="s">
        <x:v>237</x:v>
      </x:c>
      <x:c r="G163" s="22">
        <x:v>17</x:v>
      </x:c>
      <x:c r="H163" s="23">
        <x:v>5758025000</x:v>
      </x:c>
      <x:c r="I163" s="23">
        <x:v>4092897219</x:v>
      </x:c>
      <x:c r="J163" s="23">
        <x:f>H163-I163</x:f>
      </x:c>
      <x:c r="K163" s="22">
        <x:v>1</x:v>
      </x:c>
      <x:c r="L163" s="24" t="s">
        <x:v>623</x:v>
      </x:c>
      <x:c r="M163" s="24"/>
      <x:c r="N163" s="27" t="s">
        <x:v>623</x:v>
      </x:c>
      <x:c r="O163" s="27"/>
      <x:c r="P163" s="26"/>
      <x:c r="Q163" s="27"/>
      <x:c r="R163" s="22">
        <x:f>IF(N163="","تکمیل نشده",IF(N163="ادغام با تفصیلی دیگر",IF(O163="","کلید مقصد خالی است",IF(IFERROR(MATCH(O163*1,$A:$A,0),0)=0,"کلید مقصد در این فهرست نیست",IF(O163*1=A163,"ادغام با خودش","OK"))),"OK"))</x:f>
      </x:c>
      <x:c r="S163" s="28"/>
    </x:row>
    <x:row r="164" spans="1:19">
      <x:c r="A164" s="21">
        <x:v>2299</x:v>
      </x:c>
      <x:c r="B164" s="22" t="s">
        <x:v>71</x:v>
      </x:c>
      <x:c r="C164" s="22" t="s">
        <x:v>211</x:v>
      </x:c>
      <x:c r="D164" s="22" t="s">
        <x:v>831</x:v>
      </x:c>
      <x:c r="E164" s="22" t="s">
        <x:v>832</x:v>
      </x:c>
      <x:c r="F164" s="22" t="s">
        <x:v>237</x:v>
      </x:c>
      <x:c r="G164" s="22">
        <x:v>36</x:v>
      </x:c>
      <x:c r="H164" s="23">
        <x:v>223424000</x:v>
      </x:c>
      <x:c r="I164" s="23">
        <x:v>222424000</x:v>
      </x:c>
      <x:c r="J164" s="23">
        <x:f>H164-I164</x:f>
      </x:c>
      <x:c r="K164" s="22">
        <x:v>1</x:v>
      </x:c>
      <x:c r="L164" s="24" t="s">
        <x:v>623</x:v>
      </x:c>
      <x:c r="M164" s="24"/>
      <x:c r="N164" s="27" t="s">
        <x:v>623</x:v>
      </x:c>
      <x:c r="O164" s="27"/>
      <x:c r="P164" s="26"/>
      <x:c r="Q164" s="27"/>
      <x:c r="R164" s="22">
        <x:f>IF(N164="","تکمیل نشده",IF(N164="ادغام با تفصیلی دیگر",IF(O164="","کلید مقصد خالی است",IF(IFERROR(MATCH(O164*1,$A:$A,0),0)=0,"کلید مقصد در این فهرست نیست",IF(O164*1=A164,"ادغام با خودش","OK"))),"OK"))</x:f>
      </x:c>
      <x:c r="S164" s="28"/>
    </x:row>
    <x:row r="165" spans="1:19">
      <x:c r="A165" s="21">
        <x:v>2300</x:v>
      </x:c>
      <x:c r="B165" s="22" t="s">
        <x:v>71</x:v>
      </x:c>
      <x:c r="C165" s="22" t="s">
        <x:v>211</x:v>
      </x:c>
      <x:c r="D165" s="22" t="s">
        <x:v>833</x:v>
      </x:c>
      <x:c r="E165" s="22" t="s">
        <x:v>834</x:v>
      </x:c>
      <x:c r="F165" s="22" t="s">
        <x:v>237</x:v>
      </x:c>
      <x:c r="G165" s="22">
        <x:v>30</x:v>
      </x:c>
      <x:c r="H165" s="23">
        <x:v>702968956</x:v>
      </x:c>
      <x:c r="I165" s="23">
        <x:v>707138236</x:v>
      </x:c>
      <x:c r="J165" s="23">
        <x:f>H165-I165</x:f>
      </x:c>
      <x:c r="K165" s="22">
        <x:v>2</x:v>
      </x:c>
      <x:c r="L165" s="24" t="s">
        <x:v>623</x:v>
      </x:c>
      <x:c r="M165" s="24"/>
      <x:c r="N165" s="27" t="s">
        <x:v>623</x:v>
      </x:c>
      <x:c r="O165" s="27"/>
      <x:c r="P165" s="26"/>
      <x:c r="Q165" s="27"/>
      <x:c r="R165" s="22">
        <x:f>IF(N165="","تکمیل نشده",IF(N165="ادغام با تفصیلی دیگر",IF(O165="","کلید مقصد خالی است",IF(IFERROR(MATCH(O165*1,$A:$A,0),0)=0,"کلید مقصد در این فهرست نیست",IF(O165*1=A165,"ادغام با خودش","OK"))),"OK"))</x:f>
      </x:c>
      <x:c r="S165" s="28"/>
    </x:row>
    <x:row r="166" spans="1:19">
      <x:c r="A166" s="21">
        <x:v>2301</x:v>
      </x:c>
      <x:c r="B166" s="22" t="s">
        <x:v>71</x:v>
      </x:c>
      <x:c r="C166" s="22" t="s">
        <x:v>211</x:v>
      </x:c>
      <x:c r="D166" s="22" t="s">
        <x:v>835</x:v>
      </x:c>
      <x:c r="E166" s="22" t="s">
        <x:v>834</x:v>
      </x:c>
      <x:c r="F166" s="22" t="s">
        <x:v>237</x:v>
      </x:c>
      <x:c r="G166" s="22">
        <x:v>16</x:v>
      </x:c>
      <x:c r="H166" s="23">
        <x:v>24368000</x:v>
      </x:c>
      <x:c r="I166" s="23">
        <x:v>28216000</x:v>
      </x:c>
      <x:c r="J166" s="23">
        <x:f>H166-I166</x:f>
      </x:c>
      <x:c r="K166" s="22">
        <x:v>2</x:v>
      </x:c>
      <x:c r="L166" s="24" t="s">
        <x:v>675</x:v>
      </x:c>
      <x:c r="M166" s="24">
        <x:v>2300</x:v>
      </x:c>
      <x:c r="N166" s="27" t="s">
        <x:v>675</x:v>
      </x:c>
      <x:c r="O166" s="27">
        <x:v>2300</x:v>
      </x:c>
      <x:c r="P166" s="26"/>
      <x:c r="Q166" s="27"/>
      <x:c r="R166" s="22">
        <x:f>IF(N166="","تکمیل نشده",IF(N166="ادغام با تفصیلی دیگر",IF(O166="","کلید مقصد خالی است",IF(IFERROR(MATCH(O166*1,$A:$A,0),0)=0,"کلید مقصد در این فهرست نیست",IF(O166*1=A166,"ادغام با خودش","OK"))),"OK"))</x:f>
      </x:c>
      <x:c r="S166" s="28"/>
    </x:row>
    <x:row r="167" spans="1:19">
      <x:c r="A167" s="21">
        <x:v>2325</x:v>
      </x:c>
      <x:c r="B167" s="22" t="s">
        <x:v>71</x:v>
      </x:c>
      <x:c r="C167" s="22" t="s">
        <x:v>211</x:v>
      </x:c>
      <x:c r="D167" s="22" t="s">
        <x:v>690</x:v>
      </x:c>
      <x:c r="E167" s="22" t="s">
        <x:v>836</x:v>
      </x:c>
      <x:c r="F167" s="22" t="s">
        <x:v>237</x:v>
      </x:c>
      <x:c r="G167" s="22">
        <x:v>13</x:v>
      </x:c>
      <x:c r="H167" s="23">
        <x:v>234744000</x:v>
      </x:c>
      <x:c r="I167" s="23">
        <x:v>117372000</x:v>
      </x:c>
      <x:c r="J167" s="23">
        <x:f>H167-I167</x:f>
      </x:c>
      <x:c r="K167" s="22">
        <x:v>1</x:v>
      </x:c>
      <x:c r="L167" s="24" t="s">
        <x:v>623</x:v>
      </x:c>
      <x:c r="M167" s="24"/>
      <x:c r="N167" s="27" t="s">
        <x:v>623</x:v>
      </x:c>
      <x:c r="O167" s="27"/>
      <x:c r="P167" s="26"/>
      <x:c r="Q167" s="27"/>
      <x:c r="R167" s="22">
        <x:f>IF(N167="","تکمیل نشده",IF(N167="ادغام با تفصیلی دیگر",IF(O167="","کلید مقصد خالی است",IF(IFERROR(MATCH(O167*1,$A:$A,0),0)=0,"کلید مقصد در این فهرست نیست",IF(O167*1=A167,"ادغام با خودش","OK"))),"OK"))</x:f>
      </x:c>
      <x:c r="S167" s="28"/>
    </x:row>
    <x:row r="168" spans="1:19">
      <x:c r="A168" s="21">
        <x:v>2326</x:v>
      </x:c>
      <x:c r="B168" s="22" t="s">
        <x:v>71</x:v>
      </x:c>
      <x:c r="C168" s="22" t="s">
        <x:v>211</x:v>
      </x:c>
      <x:c r="D168" s="22" t="s">
        <x:v>692</x:v>
      </x:c>
      <x:c r="E168" s="22" t="s">
        <x:v>346</x:v>
      </x:c>
      <x:c r="F168" s="22" t="s">
        <x:v>237</x:v>
      </x:c>
      <x:c r="G168" s="22">
        <x:v>13</x:v>
      </x:c>
      <x:c r="H168" s="23">
        <x:v>19232000</x:v>
      </x:c>
      <x:c r="I168" s="23">
        <x:v>9616000</x:v>
      </x:c>
      <x:c r="J168" s="23">
        <x:f>H168-I168</x:f>
      </x:c>
      <x:c r="K168" s="22">
        <x:v>3</x:v>
      </x:c>
      <x:c r="L168" s="24" t="s">
        <x:v>623</x:v>
      </x:c>
      <x:c r="M168" s="24"/>
      <x:c r="N168" s="27" t="s">
        <x:v>623</x:v>
      </x:c>
      <x:c r="O168" s="27"/>
      <x:c r="P168" s="26"/>
      <x:c r="Q168" s="27"/>
      <x:c r="R168" s="22">
        <x:f>IF(N168="","تکمیل نشده",IF(N168="ادغام با تفصیلی دیگر",IF(O168="","کلید مقصد خالی است",IF(IFERROR(MATCH(O168*1,$A:$A,0),0)=0,"کلید مقصد در این فهرست نیست",IF(O168*1=A168,"ادغام با خودش","OK"))),"OK"))</x:f>
      </x:c>
      <x:c r="S168" s="28"/>
    </x:row>
    <x:row r="169" spans="1:19">
      <x:c r="A169" s="21">
        <x:v>2327</x:v>
      </x:c>
      <x:c r="B169" s="22" t="s">
        <x:v>71</x:v>
      </x:c>
      <x:c r="C169" s="22" t="s">
        <x:v>211</x:v>
      </x:c>
      <x:c r="D169" s="22" t="s">
        <x:v>709</x:v>
      </x:c>
      <x:c r="E169" s="22" t="s">
        <x:v>837</x:v>
      </x:c>
      <x:c r="F169" s="22" t="s">
        <x:v>237</x:v>
      </x:c>
      <x:c r="G169" s="22">
        <x:v>12</x:v>
      </x:c>
      <x:c r="H169" s="23">
        <x:v>54008000</x:v>
      </x:c>
      <x:c r="I169" s="23">
        <x:v>27004000</x:v>
      </x:c>
      <x:c r="J169" s="23">
        <x:f>H169-I169</x:f>
      </x:c>
      <x:c r="K169" s="22">
        <x:v>3</x:v>
      </x:c>
      <x:c r="L169" s="24" t="s">
        <x:v>623</x:v>
      </x:c>
      <x:c r="M169" s="24"/>
      <x:c r="N169" s="27" t="s">
        <x:v>623</x:v>
      </x:c>
      <x:c r="O169" s="27"/>
      <x:c r="P169" s="26"/>
      <x:c r="Q169" s="27"/>
      <x:c r="R169" s="22">
        <x:f>IF(N169="","تکمیل نشده",IF(N169="ادغام با تفصیلی دیگر",IF(O169="","کلید مقصد خالی است",IF(IFERROR(MATCH(O169*1,$A:$A,0),0)=0,"کلید مقصد در این فهرست نیست",IF(O169*1=A169,"ادغام با خودش","OK"))),"OK"))</x:f>
      </x:c>
      <x:c r="S169" s="28"/>
    </x:row>
    <x:row r="170" spans="1:19">
      <x:c r="A170" s="21">
        <x:v>2328</x:v>
      </x:c>
      <x:c r="B170" s="22" t="s">
        <x:v>71</x:v>
      </x:c>
      <x:c r="C170" s="22" t="s">
        <x:v>211</x:v>
      </x:c>
      <x:c r="D170" s="22" t="s">
        <x:v>710</x:v>
      </x:c>
      <x:c r="E170" s="22" t="s">
        <x:v>838</x:v>
      </x:c>
      <x:c r="F170" s="22" t="s">
        <x:v>237</x:v>
      </x:c>
      <x:c r="G170" s="22">
        <x:v>12</x:v>
      </x:c>
      <x:c r="H170" s="23">
        <x:v>100472000</x:v>
      </x:c>
      <x:c r="I170" s="23">
        <x:v>50236000</x:v>
      </x:c>
      <x:c r="J170" s="23">
        <x:f>H170-I170</x:f>
      </x:c>
      <x:c r="K170" s="22">
        <x:v>2</x:v>
      </x:c>
      <x:c r="L170" s="24" t="s">
        <x:v>623</x:v>
      </x:c>
      <x:c r="M170" s="24"/>
      <x:c r="N170" s="27" t="s">
        <x:v>623</x:v>
      </x:c>
      <x:c r="O170" s="27"/>
      <x:c r="P170" s="26"/>
      <x:c r="Q170" s="27"/>
      <x:c r="R170" s="22">
        <x:f>IF(N170="","تکمیل نشده",IF(N170="ادغام با تفصیلی دیگر",IF(O170="","کلید مقصد خالی است",IF(IFERROR(MATCH(O170*1,$A:$A,0),0)=0,"کلید مقصد در این فهرست نیست",IF(O170*1=A170,"ادغام با خودش","OK"))),"OK"))</x:f>
      </x:c>
      <x:c r="S170" s="28"/>
    </x:row>
    <x:row r="171" spans="1:19">
      <x:c r="A171" s="21">
        <x:v>2329</x:v>
      </x:c>
      <x:c r="B171" s="22" t="s">
        <x:v>71</x:v>
      </x:c>
      <x:c r="C171" s="22" t="s">
        <x:v>211</x:v>
      </x:c>
      <x:c r="D171" s="22" t="s">
        <x:v>712</x:v>
      </x:c>
      <x:c r="E171" s="22" t="s">
        <x:v>839</x:v>
      </x:c>
      <x:c r="F171" s="22" t="s">
        <x:v>237</x:v>
      </x:c>
      <x:c r="G171" s="22">
        <x:v>12</x:v>
      </x:c>
      <x:c r="H171" s="23">
        <x:v>540496000</x:v>
      </x:c>
      <x:c r="I171" s="23">
        <x:v>270248000</x:v>
      </x:c>
      <x:c r="J171" s="23">
        <x:f>H171-I171</x:f>
      </x:c>
      <x:c r="K171" s="22">
        <x:v>1</x:v>
      </x:c>
      <x:c r="L171" s="24" t="s">
        <x:v>623</x:v>
      </x:c>
      <x:c r="M171" s="24"/>
      <x:c r="N171" s="27" t="s">
        <x:v>623</x:v>
      </x:c>
      <x:c r="O171" s="27"/>
      <x:c r="P171" s="26"/>
      <x:c r="Q171" s="27"/>
      <x:c r="R171" s="22">
        <x:f>IF(N171="","تکمیل نشده",IF(N171="ادغام با تفصیلی دیگر",IF(O171="","کلید مقصد خالی است",IF(IFERROR(MATCH(O171*1,$A:$A,0),0)=0,"کلید مقصد در این فهرست نیست",IF(O171*1=A171,"ادغام با خودش","OK"))),"OK"))</x:f>
      </x:c>
      <x:c r="S171" s="28"/>
    </x:row>
    <x:row r="172" spans="1:19">
      <x:c r="A172" s="21">
        <x:v>2334</x:v>
      </x:c>
      <x:c r="B172" s="22" t="s">
        <x:v>71</x:v>
      </x:c>
      <x:c r="C172" s="22" t="s">
        <x:v>86</x:v>
      </x:c>
      <x:c r="D172" s="22" t="s">
        <x:v>719</x:v>
      </x:c>
      <x:c r="E172" s="22" t="s">
        <x:v>840</x:v>
      </x:c>
      <x:c r="F172" s="22" t="s">
        <x:v>277</x:v>
      </x:c>
      <x:c r="G172" s="22">
        <x:v>15</x:v>
      </x:c>
      <x:c r="H172" s="23">
        <x:v>194147586</x:v>
      </x:c>
      <x:c r="I172" s="23">
        <x:v>194147586</x:v>
      </x:c>
      <x:c r="J172" s="23">
        <x:f>H172-I172</x:f>
      </x:c>
      <x:c r="K172" s="22">
        <x:v>1</x:v>
      </x:c>
      <x:c r="L172" s="24" t="s">
        <x:v>623</x:v>
      </x:c>
      <x:c r="M172" s="24"/>
      <x:c r="N172" s="27" t="s">
        <x:v>623</x:v>
      </x:c>
      <x:c r="O172" s="27"/>
      <x:c r="P172" s="26"/>
      <x:c r="Q172" s="27"/>
      <x:c r="R172" s="22">
        <x:f>IF(N172="","تکمیل نشده",IF(N172="ادغام با تفصیلی دیگر",IF(O172="","کلید مقصد خالی است",IF(IFERROR(MATCH(O172*1,$A:$A,0),0)=0,"کلید مقصد در این فهرست نیست",IF(O172*1=A172,"ادغام با خودش","OK"))),"OK"))</x:f>
      </x:c>
      <x:c r="S172" s="28"/>
    </x:row>
    <x:row r="173" spans="1:19">
      <x:c r="A173" s="21">
        <x:v>2335</x:v>
      </x:c>
      <x:c r="B173" s="22" t="s">
        <x:v>71</x:v>
      </x:c>
      <x:c r="C173" s="22" t="s">
        <x:v>86</x:v>
      </x:c>
      <x:c r="D173" s="22" t="s">
        <x:v>627</x:v>
      </x:c>
      <x:c r="E173" s="22" t="s">
        <x:v>841</x:v>
      </x:c>
      <x:c r="F173" s="22" t="s">
        <x:v>277</x:v>
      </x:c>
      <x:c r="G173" s="22">
        <x:v>26</x:v>
      </x:c>
      <x:c r="H173" s="23">
        <x:v>1099743630</x:v>
      </x:c>
      <x:c r="I173" s="23">
        <x:v>1099743630</x:v>
      </x:c>
      <x:c r="J173" s="23">
        <x:f>H173-I173</x:f>
      </x:c>
      <x:c r="K173" s="22">
        <x:v>1</x:v>
      </x:c>
      <x:c r="L173" s="24" t="s">
        <x:v>623</x:v>
      </x:c>
      <x:c r="M173" s="24"/>
      <x:c r="N173" s="27" t="s">
        <x:v>623</x:v>
      </x:c>
      <x:c r="O173" s="27"/>
      <x:c r="P173" s="26"/>
      <x:c r="Q173" s="27"/>
      <x:c r="R173" s="22">
        <x:f>IF(N173="","تکمیل نشده",IF(N173="ادغام با تفصیلی دیگر",IF(O173="","کلید مقصد خالی است",IF(IFERROR(MATCH(O173*1,$A:$A,0),0)=0,"کلید مقصد در این فهرست نیست",IF(O173*1=A173,"ادغام با خودش","OK"))),"OK"))</x:f>
      </x:c>
      <x:c r="S173" s="28"/>
    </x:row>
    <x:row r="174" spans="1:19">
      <x:c r="A174" s="21">
        <x:v>2336</x:v>
      </x:c>
      <x:c r="B174" s="22" t="s">
        <x:v>71</x:v>
      </x:c>
      <x:c r="C174" s="22" t="s">
        <x:v>86</x:v>
      </x:c>
      <x:c r="D174" s="22" t="s">
        <x:v>780</x:v>
      </x:c>
      <x:c r="E174" s="22" t="s">
        <x:v>842</x:v>
      </x:c>
      <x:c r="F174" s="22" t="s">
        <x:v>277</x:v>
      </x:c>
      <x:c r="G174" s="22">
        <x:v>15</x:v>
      </x:c>
      <x:c r="H174" s="23">
        <x:v>887156062</x:v>
      </x:c>
      <x:c r="I174" s="23">
        <x:v>780330112</x:v>
      </x:c>
      <x:c r="J174" s="23">
        <x:f>H174-I174</x:f>
      </x:c>
      <x:c r="K174" s="22">
        <x:v>1</x:v>
      </x:c>
      <x:c r="L174" s="24" t="s">
        <x:v>623</x:v>
      </x:c>
      <x:c r="M174" s="24"/>
      <x:c r="N174" s="27" t="s">
        <x:v>623</x:v>
      </x:c>
      <x:c r="O174" s="27"/>
      <x:c r="P174" s="26"/>
      <x:c r="Q174" s="27"/>
      <x:c r="R174" s="22">
        <x:f>IF(N174="","تکمیل نشده",IF(N174="ادغام با تفصیلی دیگر",IF(O174="","کلید مقصد خالی است",IF(IFERROR(MATCH(O174*1,$A:$A,0),0)=0,"کلید مقصد در این فهرست نیست",IF(O174*1=A174,"ادغام با خودش","OK"))),"OK"))</x:f>
      </x:c>
      <x:c r="S174" s="28"/>
    </x:row>
    <x:row r="175" spans="1:19">
      <x:c r="A175" s="21">
        <x:v>2337</x:v>
      </x:c>
      <x:c r="B175" s="22" t="s">
        <x:v>71</x:v>
      </x:c>
      <x:c r="C175" s="22" t="s">
        <x:v>86</x:v>
      </x:c>
      <x:c r="D175" s="22" t="s">
        <x:v>721</x:v>
      </x:c>
      <x:c r="E175" s="22" t="s">
        <x:v>843</x:v>
      </x:c>
      <x:c r="F175" s="22" t="s">
        <x:v>277</x:v>
      </x:c>
      <x:c r="G175" s="22">
        <x:v>30</x:v>
      </x:c>
      <x:c r="H175" s="23">
        <x:v>608508699</x:v>
      </x:c>
      <x:c r="I175" s="23">
        <x:v>1194088158</x:v>
      </x:c>
      <x:c r="J175" s="23">
        <x:f>H175-I175</x:f>
      </x:c>
      <x:c r="K175" s="22">
        <x:v>1</x:v>
      </x:c>
      <x:c r="L175" s="24" t="s">
        <x:v>623</x:v>
      </x:c>
      <x:c r="M175" s="24"/>
      <x:c r="N175" s="27" t="s">
        <x:v>623</x:v>
      </x:c>
      <x:c r="O175" s="27"/>
      <x:c r="P175" s="26"/>
      <x:c r="Q175" s="27"/>
      <x:c r="R175" s="22">
        <x:f>IF(N175="","تکمیل نشده",IF(N175="ادغام با تفصیلی دیگر",IF(O175="","کلید مقصد خالی است",IF(IFERROR(MATCH(O175*1,$A:$A,0),0)=0,"کلید مقصد در این فهرست نیست",IF(O175*1=A175,"ادغام با خودش","OK"))),"OK"))</x:f>
      </x:c>
      <x:c r="S175" s="28"/>
    </x:row>
    <x:row r="176" spans="1:19">
      <x:c r="A176" s="21">
        <x:v>2338</x:v>
      </x:c>
      <x:c r="B176" s="22" t="s">
        <x:v>71</x:v>
      </x:c>
      <x:c r="C176" s="22" t="s">
        <x:v>86</x:v>
      </x:c>
      <x:c r="D176" s="22" t="s">
        <x:v>723</x:v>
      </x:c>
      <x:c r="E176" s="22" t="s">
        <x:v>844</x:v>
      </x:c>
      <x:c r="F176" s="22" t="s">
        <x:v>277</x:v>
      </x:c>
      <x:c r="G176" s="22">
        <x:v>22</x:v>
      </x:c>
      <x:c r="H176" s="23">
        <x:v>394589367</x:v>
      </x:c>
      <x:c r="I176" s="23">
        <x:v>394589367</x:v>
      </x:c>
      <x:c r="J176" s="23">
        <x:f>H176-I176</x:f>
      </x:c>
      <x:c r="K176" s="22">
        <x:v>1</x:v>
      </x:c>
      <x:c r="L176" s="24" t="s">
        <x:v>623</x:v>
      </x:c>
      <x:c r="M176" s="24"/>
      <x:c r="N176" s="27" t="s">
        <x:v>623</x:v>
      </x:c>
      <x:c r="O176" s="27"/>
      <x:c r="P176" s="26"/>
      <x:c r="Q176" s="27"/>
      <x:c r="R176" s="22">
        <x:f>IF(N176="","تکمیل نشده",IF(N176="ادغام با تفصیلی دیگر",IF(O176="","کلید مقصد خالی است",IF(IFERROR(MATCH(O176*1,$A:$A,0),0)=0,"کلید مقصد در این فهرست نیست",IF(O176*1=A176,"ادغام با خودش","OK"))),"OK"))</x:f>
      </x:c>
      <x:c r="S176" s="28"/>
    </x:row>
    <x:row r="177" spans="1:19">
      <x:c r="A177" s="21">
        <x:v>2339</x:v>
      </x:c>
      <x:c r="B177" s="22" t="s">
        <x:v>71</x:v>
      </x:c>
      <x:c r="C177" s="22" t="s">
        <x:v>86</x:v>
      </x:c>
      <x:c r="D177" s="22" t="s">
        <x:v>725</x:v>
      </x:c>
      <x:c r="E177" s="22" t="s">
        <x:v>845</x:v>
      </x:c>
      <x:c r="F177" s="22" t="s">
        <x:v>277</x:v>
      </x:c>
      <x:c r="G177" s="22">
        <x:v>10</x:v>
      </x:c>
      <x:c r="H177" s="23">
        <x:v>303367841</x:v>
      </x:c>
      <x:c r="I177" s="23">
        <x:v>303367841</x:v>
      </x:c>
      <x:c r="J177" s="23">
        <x:f>H177-I177</x:f>
      </x:c>
      <x:c r="K177" s="22">
        <x:v>1</x:v>
      </x:c>
      <x:c r="L177" s="24" t="s">
        <x:v>623</x:v>
      </x:c>
      <x:c r="M177" s="24"/>
      <x:c r="N177" s="27" t="s">
        <x:v>623</x:v>
      </x:c>
      <x:c r="O177" s="27"/>
      <x:c r="P177" s="26"/>
      <x:c r="Q177" s="27"/>
      <x:c r="R177" s="22">
        <x:f>IF(N177="","تکمیل نشده",IF(N177="ادغام با تفصیلی دیگر",IF(O177="","کلید مقصد خالی است",IF(IFERROR(MATCH(O177*1,$A:$A,0),0)=0,"کلید مقصد در این فهرست نیست",IF(O177*1=A177,"ادغام با خودش","OK"))),"OK"))</x:f>
      </x:c>
      <x:c r="S177" s="28"/>
    </x:row>
    <x:row r="178" spans="1:19">
      <x:c r="A178" s="21">
        <x:v>2340</x:v>
      </x:c>
      <x:c r="B178" s="22" t="s">
        <x:v>71</x:v>
      </x:c>
      <x:c r="C178" s="22" t="s">
        <x:v>86</x:v>
      </x:c>
      <x:c r="D178" s="22" t="s">
        <x:v>727</x:v>
      </x:c>
      <x:c r="E178" s="22" t="s">
        <x:v>846</x:v>
      </x:c>
      <x:c r="F178" s="22" t="s">
        <x:v>277</x:v>
      </x:c>
      <x:c r="G178" s="22">
        <x:v>28</x:v>
      </x:c>
      <x:c r="H178" s="23">
        <x:v>600391548</x:v>
      </x:c>
      <x:c r="I178" s="23">
        <x:v>600391548</x:v>
      </x:c>
      <x:c r="J178" s="23">
        <x:f>H178-I178</x:f>
      </x:c>
      <x:c r="K178" s="22">
        <x:v>1</x:v>
      </x:c>
      <x:c r="L178" s="24" t="s">
        <x:v>623</x:v>
      </x:c>
      <x:c r="M178" s="24"/>
      <x:c r="N178" s="27" t="s">
        <x:v>623</x:v>
      </x:c>
      <x:c r="O178" s="27"/>
      <x:c r="P178" s="26"/>
      <x:c r="Q178" s="27"/>
      <x:c r="R178" s="22">
        <x:f>IF(N178="","تکمیل نشده",IF(N178="ادغام با تفصیلی دیگر",IF(O178="","کلید مقصد خالی است",IF(IFERROR(MATCH(O178*1,$A:$A,0),0)=0,"کلید مقصد در این فهرست نیست",IF(O178*1=A178,"ادغام با خودش","OK"))),"OK"))</x:f>
      </x:c>
      <x:c r="S178" s="28"/>
    </x:row>
    <x:row r="179" spans="1:19">
      <x:c r="A179" s="21">
        <x:v>2341</x:v>
      </x:c>
      <x:c r="B179" s="22" t="s">
        <x:v>71</x:v>
      </x:c>
      <x:c r="C179" s="22" t="s">
        <x:v>86</x:v>
      </x:c>
      <x:c r="D179" s="22" t="s">
        <x:v>729</x:v>
      </x:c>
      <x:c r="E179" s="22" t="s">
        <x:v>847</x:v>
      </x:c>
      <x:c r="F179" s="22" t="s">
        <x:v>277</x:v>
      </x:c>
      <x:c r="G179" s="22">
        <x:v>8</x:v>
      </x:c>
      <x:c r="H179" s="23">
        <x:v>140962898</x:v>
      </x:c>
      <x:c r="I179" s="23">
        <x:v>140962898</x:v>
      </x:c>
      <x:c r="J179" s="23">
        <x:f>H179-I179</x:f>
      </x:c>
      <x:c r="K179" s="22">
        <x:v>1</x:v>
      </x:c>
      <x:c r="L179" s="24" t="s">
        <x:v>623</x:v>
      </x:c>
      <x:c r="M179" s="24"/>
      <x:c r="N179" s="27" t="s">
        <x:v>623</x:v>
      </x:c>
      <x:c r="O179" s="27"/>
      <x:c r="P179" s="26"/>
      <x:c r="Q179" s="27"/>
      <x:c r="R179" s="22">
        <x:f>IF(N179="","تکمیل نشده",IF(N179="ادغام با تفصیلی دیگر",IF(O179="","کلید مقصد خالی است",IF(IFERROR(MATCH(O179*1,$A:$A,0),0)=0,"کلید مقصد در این فهرست نیست",IF(O179*1=A179,"ادغام با خودش","OK"))),"OK"))</x:f>
      </x:c>
      <x:c r="S179" s="28"/>
    </x:row>
    <x:row r="180" spans="1:19">
      <x:c r="A180" s="21">
        <x:v>2342</x:v>
      </x:c>
      <x:c r="B180" s="22" t="s">
        <x:v>71</x:v>
      </x:c>
      <x:c r="C180" s="22" t="s">
        <x:v>86</x:v>
      </x:c>
      <x:c r="D180" s="22" t="s">
        <x:v>731</x:v>
      </x:c>
      <x:c r="E180" s="22" t="s">
        <x:v>848</x:v>
      </x:c>
      <x:c r="F180" s="22" t="s">
        <x:v>277</x:v>
      </x:c>
      <x:c r="G180" s="22">
        <x:v>10</x:v>
      </x:c>
      <x:c r="H180" s="23">
        <x:v>249793266</x:v>
      </x:c>
      <x:c r="I180" s="23">
        <x:v>249793266</x:v>
      </x:c>
      <x:c r="J180" s="23">
        <x:f>H180-I180</x:f>
      </x:c>
      <x:c r="K180" s="22">
        <x:v>1</x:v>
      </x:c>
      <x:c r="L180" s="24" t="s">
        <x:v>623</x:v>
      </x:c>
      <x:c r="M180" s="24"/>
      <x:c r="N180" s="27" t="s">
        <x:v>623</x:v>
      </x:c>
      <x:c r="O180" s="27"/>
      <x:c r="P180" s="26"/>
      <x:c r="Q180" s="27"/>
      <x:c r="R180" s="22">
        <x:f>IF(N180="","تکمیل نشده",IF(N180="ادغام با تفصیلی دیگر",IF(O180="","کلید مقصد خالی است",IF(IFERROR(MATCH(O180*1,$A:$A,0),0)=0,"کلید مقصد در این فهرست نیست",IF(O180*1=A180,"ادغام با خودش","OK"))),"OK"))</x:f>
      </x:c>
      <x:c r="S180" s="28"/>
    </x:row>
    <x:row r="181" spans="1:19">
      <x:c r="A181" s="21">
        <x:v>2343</x:v>
      </x:c>
      <x:c r="B181" s="22" t="s">
        <x:v>71</x:v>
      </x:c>
      <x:c r="C181" s="22" t="s">
        <x:v>86</x:v>
      </x:c>
      <x:c r="D181" s="22" t="s">
        <x:v>804</x:v>
      </x:c>
      <x:c r="E181" s="22" t="s">
        <x:v>849</x:v>
      </x:c>
      <x:c r="F181" s="22" t="s">
        <x:v>277</x:v>
      </x:c>
      <x:c r="G181" s="22">
        <x:v>6</x:v>
      </x:c>
      <x:c r="H181" s="23">
        <x:v>72439300</x:v>
      </x:c>
      <x:c r="I181" s="23">
        <x:v>72439300</x:v>
      </x:c>
      <x:c r="J181" s="23">
        <x:f>H181-I181</x:f>
      </x:c>
      <x:c r="K181" s="22">
        <x:v>1</x:v>
      </x:c>
      <x:c r="L181" s="24" t="s">
        <x:v>623</x:v>
      </x:c>
      <x:c r="M181" s="24"/>
      <x:c r="N181" s="27" t="s">
        <x:v>623</x:v>
      </x:c>
      <x:c r="O181" s="27"/>
      <x:c r="P181" s="26"/>
      <x:c r="Q181" s="27"/>
      <x:c r="R181" s="22">
        <x:f>IF(N181="","تکمیل نشده",IF(N181="ادغام با تفصیلی دیگر",IF(O181="","کلید مقصد خالی است",IF(IFERROR(MATCH(O181*1,$A:$A,0),0)=0,"کلید مقصد در این فهرست نیست",IF(O181*1=A181,"ادغام با خودش","OK"))),"OK"))</x:f>
      </x:c>
      <x:c r="S181" s="28"/>
    </x:row>
    <x:row r="182" spans="1:19">
      <x:c r="A182" s="21">
        <x:v>2344</x:v>
      </x:c>
      <x:c r="B182" s="22" t="s">
        <x:v>71</x:v>
      </x:c>
      <x:c r="C182" s="22" t="s">
        <x:v>86</x:v>
      </x:c>
      <x:c r="D182" s="22" t="s">
        <x:v>850</x:v>
      </x:c>
      <x:c r="E182" s="22" t="s">
        <x:v>851</x:v>
      </x:c>
      <x:c r="F182" s="22" t="s">
        <x:v>277</x:v>
      </x:c>
      <x:c r="G182" s="22">
        <x:v>2</x:v>
      </x:c>
      <x:c r="H182" s="23">
        <x:v>73337482</x:v>
      </x:c>
      <x:c r="I182" s="23">
        <x:v>73337482</x:v>
      </x:c>
      <x:c r="J182" s="23">
        <x:f>H182-I182</x:f>
      </x:c>
      <x:c r="K182" s="22">
        <x:v>1</x:v>
      </x:c>
      <x:c r="L182" s="24" t="s">
        <x:v>623</x:v>
      </x:c>
      <x:c r="M182" s="24"/>
      <x:c r="N182" s="27" t="s">
        <x:v>623</x:v>
      </x:c>
      <x:c r="O182" s="27"/>
      <x:c r="P182" s="26"/>
      <x:c r="Q182" s="27"/>
      <x:c r="R182" s="22">
        <x:f>IF(N182="","تکمیل نشده",IF(N182="ادغام با تفصیلی دیگر",IF(O182="","کلید مقصد خالی است",IF(IFERROR(MATCH(O182*1,$A:$A,0),0)=0,"کلید مقصد در این فهرست نیست",IF(O182*1=A182,"ادغام با خودش","OK"))),"OK"))</x:f>
      </x:c>
      <x:c r="S182" s="28"/>
    </x:row>
    <x:row r="183" spans="1:19">
      <x:c r="A183" s="21">
        <x:v>2345</x:v>
      </x:c>
      <x:c r="B183" s="22" t="s">
        <x:v>71</x:v>
      </x:c>
      <x:c r="C183" s="22" t="s">
        <x:v>86</x:v>
      </x:c>
      <x:c r="D183" s="22" t="s">
        <x:v>806</x:v>
      </x:c>
      <x:c r="E183" s="22" t="s">
        <x:v>852</x:v>
      </x:c>
      <x:c r="F183" s="22" t="s">
        <x:v>277</x:v>
      </x:c>
      <x:c r="G183" s="22">
        <x:v>26</x:v>
      </x:c>
      <x:c r="H183" s="23">
        <x:v>1400636757</x:v>
      </x:c>
      <x:c r="I183" s="23">
        <x:v>1400636757</x:v>
      </x:c>
      <x:c r="J183" s="23">
        <x:f>H183-I183</x:f>
      </x:c>
      <x:c r="K183" s="22">
        <x:v>1</x:v>
      </x:c>
      <x:c r="L183" s="24" t="s">
        <x:v>623</x:v>
      </x:c>
      <x:c r="M183" s="24"/>
      <x:c r="N183" s="27" t="s">
        <x:v>623</x:v>
      </x:c>
      <x:c r="O183" s="27"/>
      <x:c r="P183" s="26"/>
      <x:c r="Q183" s="27"/>
      <x:c r="R183" s="22">
        <x:f>IF(N183="","تکمیل نشده",IF(N183="ادغام با تفصیلی دیگر",IF(O183="","کلید مقصد خالی است",IF(IFERROR(MATCH(O183*1,$A:$A,0),0)=0,"کلید مقصد در این فهرست نیست",IF(O183*1=A183,"ادغام با خودش","OK"))),"OK"))</x:f>
      </x:c>
      <x:c r="S183" s="28"/>
    </x:row>
    <x:row r="184" spans="1:19">
      <x:c r="A184" s="21">
        <x:v>2347</x:v>
      </x:c>
      <x:c r="B184" s="22" t="s">
        <x:v>71</x:v>
      </x:c>
      <x:c r="C184" s="22" t="s">
        <x:v>86</x:v>
      </x:c>
      <x:c r="D184" s="22" t="s">
        <x:v>853</x:v>
      </x:c>
      <x:c r="E184" s="22" t="s">
        <x:v>854</x:v>
      </x:c>
      <x:c r="F184" s="22" t="s">
        <x:v>277</x:v>
      </x:c>
      <x:c r="G184" s="22">
        <x:v>7</x:v>
      </x:c>
      <x:c r="H184" s="23">
        <x:v>3226959003</x:v>
      </x:c>
      <x:c r="I184" s="23">
        <x:v>4335760270</x:v>
      </x:c>
      <x:c r="J184" s="23">
        <x:f>H184-I184</x:f>
      </x:c>
      <x:c r="K184" s="22">
        <x:v>1</x:v>
      </x:c>
      <x:c r="L184" s="24" t="s">
        <x:v>623</x:v>
      </x:c>
      <x:c r="M184" s="24"/>
      <x:c r="N184" s="27" t="s">
        <x:v>623</x:v>
      </x:c>
      <x:c r="O184" s="27"/>
      <x:c r="P184" s="26"/>
      <x:c r="Q184" s="27"/>
      <x:c r="R184" s="22">
        <x:f>IF(N184="","تکمیل نشده",IF(N184="ادغام با تفصیلی دیگر",IF(O184="","کلید مقصد خالی است",IF(IFERROR(MATCH(O184*1,$A:$A,0),0)=0,"کلید مقصد در این فهرست نیست",IF(O184*1=A184,"ادغام با خودش","OK"))),"OK"))</x:f>
      </x:c>
      <x:c r="S184" s="28"/>
    </x:row>
    <x:row r="185" spans="1:19">
      <x:c r="A185" s="21">
        <x:v>2348</x:v>
      </x:c>
      <x:c r="B185" s="22" t="s">
        <x:v>71</x:v>
      </x:c>
      <x:c r="C185" s="22" t="s">
        <x:v>86</x:v>
      </x:c>
      <x:c r="D185" s="22" t="s">
        <x:v>855</x:v>
      </x:c>
      <x:c r="E185" s="22" t="s">
        <x:v>856</x:v>
      </x:c>
      <x:c r="F185" s="22" t="s">
        <x:v>277</x:v>
      </x:c>
      <x:c r="G185" s="22">
        <x:v>1</x:v>
      </x:c>
      <x:c r="H185" s="23">
        <x:v>0</x:v>
      </x:c>
      <x:c r="I185" s="23">
        <x:v>99318609</x:v>
      </x:c>
      <x:c r="J185" s="23">
        <x:f>H185-I185</x:f>
      </x:c>
      <x:c r="K185" s="22">
        <x:v>1</x:v>
      </x:c>
      <x:c r="L185" s="24" t="s">
        <x:v>623</x:v>
      </x:c>
      <x:c r="M185" s="24"/>
      <x:c r="N185" s="27" t="s">
        <x:v>623</x:v>
      </x:c>
      <x:c r="O185" s="27"/>
      <x:c r="P185" s="26"/>
      <x:c r="Q185" s="27"/>
      <x:c r="R185" s="22">
        <x:f>IF(N185="","تکمیل نشده",IF(N185="ادغام با تفصیلی دیگر",IF(O185="","کلید مقصد خالی است",IF(IFERROR(MATCH(O185*1,$A:$A,0),0)=0,"کلید مقصد در این فهرست نیست",IF(O185*1=A185,"ادغام با خودش","OK"))),"OK"))</x:f>
      </x:c>
      <x:c r="S185" s="28"/>
    </x:row>
    <x:row r="186" spans="1:19">
      <x:c r="A186" s="21">
        <x:v>2350</x:v>
      </x:c>
      <x:c r="B186" s="22" t="s">
        <x:v>71</x:v>
      </x:c>
      <x:c r="C186" s="22" t="s">
        <x:v>86</x:v>
      </x:c>
      <x:c r="D186" s="22" t="s">
        <x:v>857</x:v>
      </x:c>
      <x:c r="E186" s="22" t="s">
        <x:v>858</x:v>
      </x:c>
      <x:c r="F186" s="22" t="s">
        <x:v>277</x:v>
      </x:c>
      <x:c r="G186" s="22">
        <x:v>2</x:v>
      </x:c>
      <x:c r="H186" s="23">
        <x:v>0</x:v>
      </x:c>
      <x:c r="I186" s="23">
        <x:v>1466574524</x:v>
      </x:c>
      <x:c r="J186" s="23">
        <x:f>H186-I186</x:f>
      </x:c>
      <x:c r="K186" s="22">
        <x:v>1</x:v>
      </x:c>
      <x:c r="L186" s="24" t="s">
        <x:v>623</x:v>
      </x:c>
      <x:c r="M186" s="24"/>
      <x:c r="N186" s="27" t="s">
        <x:v>623</x:v>
      </x:c>
      <x:c r="O186" s="27"/>
      <x:c r="P186" s="26"/>
      <x:c r="Q186" s="27"/>
      <x:c r="R186" s="22">
        <x:f>IF(N186="","تکمیل نشده",IF(N186="ادغام با تفصیلی دیگر",IF(O186="","کلید مقصد خالی است",IF(IFERROR(MATCH(O186*1,$A:$A,0),0)=0,"کلید مقصد در این فهرست نیست",IF(O186*1=A186,"ادغام با خودش","OK"))),"OK"))</x:f>
      </x:c>
      <x:c r="S186" s="28"/>
    </x:row>
    <x:row r="187" spans="1:19">
      <x:c r="A187" s="21">
        <x:v>2354</x:v>
      </x:c>
      <x:c r="B187" s="22" t="s">
        <x:v>71</x:v>
      </x:c>
      <x:c r="C187" s="22" t="s">
        <x:v>86</x:v>
      </x:c>
      <x:c r="D187" s="22" t="s">
        <x:v>829</x:v>
      </x:c>
      <x:c r="E187" s="22" t="s">
        <x:v>859</x:v>
      </x:c>
      <x:c r="F187" s="22" t="s">
        <x:v>277</x:v>
      </x:c>
      <x:c r="G187" s="22">
        <x:v>38</x:v>
      </x:c>
      <x:c r="H187" s="23">
        <x:v>15041540116</x:v>
      </x:c>
      <x:c r="I187" s="23">
        <x:v>17589540116</x:v>
      </x:c>
      <x:c r="J187" s="23">
        <x:f>H187-I187</x:f>
      </x:c>
      <x:c r="K187" s="22">
        <x:v>1</x:v>
      </x:c>
      <x:c r="L187" s="24" t="s">
        <x:v>623</x:v>
      </x:c>
      <x:c r="M187" s="24"/>
      <x:c r="N187" s="27" t="s">
        <x:v>623</x:v>
      </x:c>
      <x:c r="O187" s="27"/>
      <x:c r="P187" s="26"/>
      <x:c r="Q187" s="27"/>
      <x:c r="R187" s="22">
        <x:f>IF(N187="","تکمیل نشده",IF(N187="ادغام با تفصیلی دیگر",IF(O187="","کلید مقصد خالی است",IF(IFERROR(MATCH(O187*1,$A:$A,0),0)=0,"کلید مقصد در این فهرست نیست",IF(O187*1=A187,"ادغام با خودش","OK"))),"OK"))</x:f>
      </x:c>
      <x:c r="S187" s="28"/>
    </x:row>
    <x:row r="188" spans="1:19">
      <x:c r="A188" s="21">
        <x:v>3646</x:v>
      </x:c>
      <x:c r="B188" s="22" t="s">
        <x:v>71</x:v>
      </x:c>
      <x:c r="C188" s="22" t="s">
        <x:v>86</x:v>
      </x:c>
      <x:c r="D188" s="22" t="s">
        <x:v>860</x:v>
      </x:c>
      <x:c r="E188" s="22" t="s">
        <x:v>861</x:v>
      </x:c>
      <x:c r="F188" s="22" t="s">
        <x:v>277</x:v>
      </x:c>
      <x:c r="G188" s="22">
        <x:v>7</x:v>
      </x:c>
      <x:c r="H188" s="23">
        <x:v>88029000</x:v>
      </x:c>
      <x:c r="I188" s="23">
        <x:v>105774000</x:v>
      </x:c>
      <x:c r="J188" s="23">
        <x:f>H188-I188</x:f>
      </x:c>
      <x:c r="K188" s="22">
        <x:v>1</x:v>
      </x:c>
      <x:c r="L188" s="24" t="s">
        <x:v>623</x:v>
      </x:c>
      <x:c r="M188" s="24"/>
      <x:c r="N188" s="27" t="s">
        <x:v>623</x:v>
      </x:c>
      <x:c r="O188" s="27"/>
      <x:c r="P188" s="26"/>
      <x:c r="Q188" s="27"/>
      <x:c r="R188" s="22">
        <x:f>IF(N188="","تکمیل نشده",IF(N188="ادغام با تفصیلی دیگر",IF(O188="","کلید مقصد خالی است",IF(IFERROR(MATCH(O188*1,$A:$A,0),0)=0,"کلید مقصد در این فهرست نیست",IF(O188*1=A188,"ادغام با خودش","OK"))),"OK"))</x:f>
      </x:c>
      <x:c r="S188" s="28"/>
    </x:row>
    <x:row r="189" spans="1:19">
      <x:c r="A189" s="21">
        <x:v>3647</x:v>
      </x:c>
      <x:c r="B189" s="22" t="s">
        <x:v>71</x:v>
      </x:c>
      <x:c r="C189" s="22" t="s">
        <x:v>86</x:v>
      </x:c>
      <x:c r="D189" s="22" t="s">
        <x:v>862</x:v>
      </x:c>
      <x:c r="E189" s="22" t="s">
        <x:v>346</x:v>
      </x:c>
      <x:c r="F189" s="22" t="s">
        <x:v>277</x:v>
      </x:c>
      <x:c r="G189" s="22">
        <x:v>7</x:v>
      </x:c>
      <x:c r="H189" s="23">
        <x:v>7211000</x:v>
      </x:c>
      <x:c r="I189" s="23">
        <x:v>10620000</x:v>
      </x:c>
      <x:c r="J189" s="23">
        <x:f>H189-I189</x:f>
      </x:c>
      <x:c r="K189" s="22">
        <x:v>3</x:v>
      </x:c>
      <x:c r="L189" s="24" t="s">
        <x:v>675</x:v>
      </x:c>
      <x:c r="M189" s="24">
        <x:v>2326</x:v>
      </x:c>
      <x:c r="N189" s="27" t="s">
        <x:v>675</x:v>
      </x:c>
      <x:c r="O189" s="27">
        <x:v>2326</x:v>
      </x:c>
      <x:c r="P189" s="26"/>
      <x:c r="Q189" s="27"/>
      <x:c r="R189" s="22">
        <x:f>IF(N189="","تکمیل نشده",IF(N189="ادغام با تفصیلی دیگر",IF(O189="","کلید مقصد خالی است",IF(IFERROR(MATCH(O189*1,$A:$A,0),0)=0,"کلید مقصد در این فهرست نیست",IF(O189*1=A189,"ادغام با خودش","OK"))),"OK"))</x:f>
      </x:c>
      <x:c r="S189" s="28"/>
    </x:row>
    <x:row r="190" spans="1:19">
      <x:c r="A190" s="21">
        <x:v>3658</x:v>
      </x:c>
      <x:c r="B190" s="22" t="s">
        <x:v>71</x:v>
      </x:c>
      <x:c r="C190" s="22" t="s">
        <x:v>86</x:v>
      </x:c>
      <x:c r="D190" s="22" t="s">
        <x:v>863</x:v>
      </x:c>
      <x:c r="E190" s="22" t="s">
        <x:v>837</x:v>
      </x:c>
      <x:c r="F190" s="22" t="s">
        <x:v>277</x:v>
      </x:c>
      <x:c r="G190" s="22">
        <x:v>7</x:v>
      </x:c>
      <x:c r="H190" s="23">
        <x:v>20253000</x:v>
      </x:c>
      <x:c r="I190" s="23">
        <x:v>25276492</x:v>
      </x:c>
      <x:c r="J190" s="23">
        <x:f>H190-I190</x:f>
      </x:c>
      <x:c r="K190" s="22">
        <x:v>3</x:v>
      </x:c>
      <x:c r="L190" s="24" t="s">
        <x:v>675</x:v>
      </x:c>
      <x:c r="M190" s="24">
        <x:v>2327</x:v>
      </x:c>
      <x:c r="N190" s="27" t="s">
        <x:v>675</x:v>
      </x:c>
      <x:c r="O190" s="27">
        <x:v>2327</x:v>
      </x:c>
      <x:c r="P190" s="26"/>
      <x:c r="Q190" s="27"/>
      <x:c r="R190" s="22">
        <x:f>IF(N190="","تکمیل نشده",IF(N190="ادغام با تفصیلی دیگر",IF(O190="","کلید مقصد خالی است",IF(IFERROR(MATCH(O190*1,$A:$A,0),0)=0,"کلید مقصد در این فهرست نیست",IF(O190*1=A190,"ادغام با خودش","OK"))),"OK"))</x:f>
      </x:c>
      <x:c r="S190" s="28"/>
    </x:row>
    <x:row r="191" spans="1:19">
      <x:c r="A191" s="21">
        <x:v>3649</x:v>
      </x:c>
      <x:c r="B191" s="22" t="s">
        <x:v>71</x:v>
      </x:c>
      <x:c r="C191" s="22" t="s">
        <x:v>86</x:v>
      </x:c>
      <x:c r="D191" s="22" t="s">
        <x:v>864</x:v>
      </x:c>
      <x:c r="E191" s="22" t="s">
        <x:v>838</x:v>
      </x:c>
      <x:c r="F191" s="22" t="s">
        <x:v>277</x:v>
      </x:c>
      <x:c r="G191" s="22">
        <x:v>7</x:v>
      </x:c>
      <x:c r="H191" s="23">
        <x:v>37677000</x:v>
      </x:c>
      <x:c r="I191" s="23">
        <x:v>56436118</x:v>
      </x:c>
      <x:c r="J191" s="23">
        <x:f>H191-I191</x:f>
      </x:c>
      <x:c r="K191" s="22">
        <x:v>2</x:v>
      </x:c>
      <x:c r="L191" s="24" t="s">
        <x:v>675</x:v>
      </x:c>
      <x:c r="M191" s="24">
        <x:v>2328</x:v>
      </x:c>
      <x:c r="N191" s="27" t="s">
        <x:v>675</x:v>
      </x:c>
      <x:c r="O191" s="27">
        <x:v>2328</x:v>
      </x:c>
      <x:c r="P191" s="26"/>
      <x:c r="Q191" s="27"/>
      <x:c r="R191" s="22">
        <x:f>IF(N191="","تکمیل نشده",IF(N191="ادغام با تفصیلی دیگر",IF(O191="","کلید مقصد خالی است",IF(IFERROR(MATCH(O191*1,$A:$A,0),0)=0,"کلید مقصد در این فهرست نیست",IF(O191*1=A191,"ادغام با خودش","OK"))),"OK"))</x:f>
      </x:c>
      <x:c r="S191" s="28"/>
    </x:row>
    <x:row r="192" spans="1:19">
      <x:c r="A192" s="21">
        <x:v>3648</x:v>
      </x:c>
      <x:c r="B192" s="22" t="s">
        <x:v>71</x:v>
      </x:c>
      <x:c r="C192" s="22" t="s">
        <x:v>86</x:v>
      </x:c>
      <x:c r="D192" s="22" t="s">
        <x:v>865</x:v>
      </x:c>
      <x:c r="E192" s="22" t="s">
        <x:v>866</x:v>
      </x:c>
      <x:c r="F192" s="22" t="s">
        <x:v>277</x:v>
      </x:c>
      <x:c r="G192" s="22">
        <x:v>7</x:v>
      </x:c>
      <x:c r="H192" s="23">
        <x:v>202686000</x:v>
      </x:c>
      <x:c r="I192" s="23">
        <x:v>207327000</x:v>
      </x:c>
      <x:c r="J192" s="23">
        <x:f>H192-I192</x:f>
      </x:c>
      <x:c r="K192" s="22">
        <x:v>1</x:v>
      </x:c>
      <x:c r="L192" s="24" t="s">
        <x:v>623</x:v>
      </x:c>
      <x:c r="M192" s="24"/>
      <x:c r="N192" s="27" t="s">
        <x:v>623</x:v>
      </x:c>
      <x:c r="O192" s="27"/>
      <x:c r="P192" s="26"/>
      <x:c r="Q192" s="27"/>
      <x:c r="R192" s="22">
        <x:f>IF(N192="","تکمیل نشده",IF(N192="ادغام با تفصیلی دیگر",IF(O192="","کلید مقصد خالی است",IF(IFERROR(MATCH(O192*1,$A:$A,0),0)=0,"کلید مقصد در این فهرست نیست",IF(O192*1=A192,"ادغام با خودش","OK"))),"OK"))</x:f>
      </x:c>
      <x:c r="S192" s="28"/>
    </x:row>
    <x:row r="193" spans="1:19">
      <x:c r="A193" s="21">
        <x:v>3625</x:v>
      </x:c>
      <x:c r="B193" s="22" t="s">
        <x:v>71</x:v>
      </x:c>
      <x:c r="C193" s="22" t="s">
        <x:v>98</x:v>
      </x:c>
      <x:c r="D193" s="22" t="s">
        <x:v>725</x:v>
      </x:c>
      <x:c r="E193" s="22" t="s">
        <x:v>867</x:v>
      </x:c>
      <x:c r="F193" s="22" t="s">
        <x:v>280</x:v>
      </x:c>
      <x:c r="G193" s="22">
        <x:v>24</x:v>
      </x:c>
      <x:c r="H193" s="23">
        <x:v>3013378500</x:v>
      </x:c>
      <x:c r="I193" s="23">
        <x:v>3393125812</x:v>
      </x:c>
      <x:c r="J193" s="23">
        <x:f>H193-I193</x:f>
      </x:c>
      <x:c r="K193" s="22">
        <x:v>3</x:v>
      </x:c>
      <x:c r="L193" s="24" t="s">
        <x:v>675</x:v>
      </x:c>
      <x:c r="M193" s="24">
        <x:v>1396</x:v>
      </x:c>
      <x:c r="N193" s="27" t="s">
        <x:v>675</x:v>
      </x:c>
      <x:c r="O193" s="27">
        <x:v>1396</x:v>
      </x:c>
      <x:c r="P193" s="26"/>
      <x:c r="Q193" s="27"/>
      <x:c r="R193" s="22">
        <x:f>IF(N193="","تکمیل نشده",IF(N193="ادغام با تفصیلی دیگر",IF(O193="","کلید مقصد خالی است",IF(IFERROR(MATCH(O193*1,$A:$A,0),0)=0,"کلید مقصد در این فهرست نیست",IF(O193*1=A193,"ادغام با خودش","OK"))),"OK"))</x:f>
      </x:c>
      <x:c r="S193" s="28"/>
    </x:row>
    <x:row r="194" spans="1:19">
      <x:c r="A194" s="21">
        <x:v>2378</x:v>
      </x:c>
      <x:c r="B194" s="22" t="s">
        <x:v>71</x:v>
      </x:c>
      <x:c r="C194" s="22" t="s">
        <x:v>98</x:v>
      </x:c>
      <x:c r="D194" s="22" t="s">
        <x:v>743</x:v>
      </x:c>
      <x:c r="E194" s="22" t="s">
        <x:v>280</x:v>
      </x:c>
      <x:c r="F194" s="22" t="s">
        <x:v>280</x:v>
      </x:c>
      <x:c r="G194" s="22">
        <x:v>22</x:v>
      </x:c>
      <x:c r="H194" s="23">
        <x:v>1190043588</x:v>
      </x:c>
      <x:c r="I194" s="23">
        <x:v>1190043588</x:v>
      </x:c>
      <x:c r="J194" s="23">
        <x:f>H194-I194</x:f>
      </x:c>
      <x:c r="K194" s="22">
        <x:v>1</x:v>
      </x:c>
      <x:c r="L194" s="24" t="s">
        <x:v>620</x:v>
      </x:c>
      <x:c r="M194" s="24"/>
      <x:c r="N194" s="27" t="s">
        <x:v>620</x:v>
      </x:c>
      <x:c r="O194" s="27"/>
      <x:c r="P194" s="26"/>
      <x:c r="Q194" s="27"/>
      <x:c r="R194" s="22">
        <x:f>IF(N194="","تکمیل نشده",IF(N194="ادغام با تفصیلی دیگر",IF(O194="","کلید مقصد خالی است",IF(IFERROR(MATCH(O194*1,$A:$A,0),0)=0,"کلید مقصد در این فهرست نیست",IF(O194*1=A194,"ادغام با خودش","OK"))),"OK"))</x:f>
      </x:c>
      <x:c r="S194" s="28"/>
    </x:row>
    <x:row r="195" spans="1:19">
      <x:c r="A195" s="21">
        <x:v>3876</x:v>
      </x:c>
      <x:c r="B195" s="22" t="s">
        <x:v>71</x:v>
      </x:c>
      <x:c r="C195" s="22" t="s">
        <x:v>98</x:v>
      </x:c>
      <x:c r="D195" s="22" t="s">
        <x:v>745</x:v>
      </x:c>
      <x:c r="E195" s="22" t="s">
        <x:v>868</x:v>
      </x:c>
      <x:c r="F195" s="22" t="s">
        <x:v>280</x:v>
      </x:c>
      <x:c r="G195" s="22">
        <x:v>1</x:v>
      </x:c>
      <x:c r="H195" s="23">
        <x:v>0</x:v>
      </x:c>
      <x:c r="I195" s="23">
        <x:v>43408387</x:v>
      </x:c>
      <x:c r="J195" s="23">
        <x:f>H195-I195</x:f>
      </x:c>
      <x:c r="K195" s="22">
        <x:v>1</x:v>
      </x:c>
      <x:c r="L195" s="24" t="s">
        <x:v>623</x:v>
      </x:c>
      <x:c r="M195" s="24"/>
      <x:c r="N195" s="27" t="s">
        <x:v>623</x:v>
      </x:c>
      <x:c r="O195" s="27"/>
      <x:c r="P195" s="26"/>
      <x:c r="Q195" s="27"/>
      <x:c r="R195" s="22">
        <x:f>IF(N195="","تکمیل نشده",IF(N195="ادغام با تفصیلی دیگر",IF(O195="","کلید مقصد خالی است",IF(IFERROR(MATCH(O195*1,$A:$A,0),0)=0,"کلید مقصد در این فهرست نیست",IF(O195*1=A195,"ادغام با خودش","OK"))),"OK"))</x:f>
      </x:c>
      <x:c r="S195" s="28"/>
    </x:row>
    <x:row r="196" spans="1:19">
      <x:c r="A196" s="21">
        <x:v>2389</x:v>
      </x:c>
      <x:c r="B196" s="22" t="s">
        <x:v>71</x:v>
      </x:c>
      <x:c r="C196" s="22" t="s">
        <x:v>105</x:v>
      </x:c>
      <x:c r="D196" s="22" t="s">
        <x:v>731</x:v>
      </x:c>
      <x:c r="E196" s="22" t="s">
        <x:v>869</x:v>
      </x:c>
      <x:c r="F196" s="22" t="s">
        <x:v>239</x:v>
      </x:c>
      <x:c r="G196" s="22">
        <x:v>2</x:v>
      </x:c>
      <x:c r="H196" s="23">
        <x:v>9374000</x:v>
      </x:c>
      <x:c r="I196" s="23">
        <x:v>9374000</x:v>
      </x:c>
      <x:c r="J196" s="23">
        <x:f>H196-I196</x:f>
      </x:c>
      <x:c r="K196" s="22">
        <x:v>2</x:v>
      </x:c>
      <x:c r="L196" s="24" t="s">
        <x:v>623</x:v>
      </x:c>
      <x:c r="M196" s="24"/>
      <x:c r="N196" s="27" t="s">
        <x:v>623</x:v>
      </x:c>
      <x:c r="O196" s="27"/>
      <x:c r="P196" s="26"/>
      <x:c r="Q196" s="27"/>
      <x:c r="R196" s="22">
        <x:f>IF(N196="","تکمیل نشده",IF(N196="ادغام با تفصیلی دیگر",IF(O196="","کلید مقصد خالی است",IF(IFERROR(MATCH(O196*1,$A:$A,0),0)=0,"کلید مقصد در این فهرست نیست",IF(O196*1=A196,"ادغام با خودش","OK"))),"OK"))</x:f>
      </x:c>
      <x:c r="S196" s="28"/>
    </x:row>
    <x:row r="197" spans="1:19">
      <x:c r="A197" s="21">
        <x:v>2390</x:v>
      </x:c>
      <x:c r="B197" s="22" t="s">
        <x:v>71</x:v>
      </x:c>
      <x:c r="C197" s="22" t="s">
        <x:v>105</x:v>
      </x:c>
      <x:c r="D197" s="22" t="s">
        <x:v>804</x:v>
      </x:c>
      <x:c r="E197" s="22" t="s">
        <x:v>870</x:v>
      </x:c>
      <x:c r="F197" s="22" t="s">
        <x:v>239</x:v>
      </x:c>
      <x:c r="G197" s="22">
        <x:v>2</x:v>
      </x:c>
      <x:c r="H197" s="23">
        <x:v>12770000</x:v>
      </x:c>
      <x:c r="I197" s="23">
        <x:v>12770000</x:v>
      </x:c>
      <x:c r="J197" s="23">
        <x:f>H197-I197</x:f>
      </x:c>
      <x:c r="K197" s="22">
        <x:v>1</x:v>
      </x:c>
      <x:c r="L197" s="24" t="s">
        <x:v>623</x:v>
      </x:c>
      <x:c r="M197" s="24"/>
      <x:c r="N197" s="27" t="s">
        <x:v>623</x:v>
      </x:c>
      <x:c r="O197" s="27"/>
      <x:c r="P197" s="26"/>
      <x:c r="Q197" s="27"/>
      <x:c r="R197" s="22">
        <x:f>IF(N197="","تکمیل نشده",IF(N197="ادغام با تفصیلی دیگر",IF(O197="","کلید مقصد خالی است",IF(IFERROR(MATCH(O197*1,$A:$A,0),0)=0,"کلید مقصد در این فهرست نیست",IF(O197*1=A197,"ادغام با خودش","OK"))),"OK"))</x:f>
      </x:c>
      <x:c r="S197" s="28"/>
    </x:row>
    <x:row r="198" spans="1:19">
      <x:c r="A198" s="21">
        <x:v>2398</x:v>
      </x:c>
      <x:c r="B198" s="22" t="s">
        <x:v>71</x:v>
      </x:c>
      <x:c r="C198" s="22" t="s">
        <x:v>105</x:v>
      </x:c>
      <x:c r="D198" s="22" t="s">
        <x:v>871</x:v>
      </x:c>
      <x:c r="E198" s="22" t="s">
        <x:v>869</x:v>
      </x:c>
      <x:c r="F198" s="22" t="s">
        <x:v>239</x:v>
      </x:c>
      <x:c r="G198" s="22">
        <x:v>4</x:v>
      </x:c>
      <x:c r="H198" s="23">
        <x:v>48332000</x:v>
      </x:c>
      <x:c r="I198" s="23">
        <x:v>48332000</x:v>
      </x:c>
      <x:c r="J198" s="23">
        <x:f>H198-I198</x:f>
      </x:c>
      <x:c r="K198" s="22">
        <x:v>2</x:v>
      </x:c>
      <x:c r="L198" s="24" t="s">
        <x:v>675</x:v>
      </x:c>
      <x:c r="M198" s="24">
        <x:v>2389</x:v>
      </x:c>
      <x:c r="N198" s="27" t="s">
        <x:v>675</x:v>
      </x:c>
      <x:c r="O198" s="27">
        <x:v>2389</x:v>
      </x:c>
      <x:c r="P198" s="26"/>
      <x:c r="Q198" s="27"/>
      <x:c r="R198" s="22">
        <x:f>IF(N198="","تکمیل نشده",IF(N198="ادغام با تفصیلی دیگر",IF(O198="","کلید مقصد خالی است",IF(IFERROR(MATCH(O198*1,$A:$A,0),0)=0,"کلید مقصد در این فهرست نیست",IF(O198*1=A198,"ادغام با خودش","OK"))),"OK"))</x:f>
      </x:c>
      <x:c r="S198" s="28"/>
    </x:row>
    <x:row r="199" spans="1:19">
      <x:c r="A199" s="21">
        <x:v>2414</x:v>
      </x:c>
      <x:c r="B199" s="22" t="s">
        <x:v>71</x:v>
      </x:c>
      <x:c r="C199" s="22" t="s">
        <x:v>105</x:v>
      </x:c>
      <x:c r="D199" s="22" t="s">
        <x:v>739</x:v>
      </x:c>
      <x:c r="E199" s="22" t="s">
        <x:v>872</x:v>
      </x:c>
      <x:c r="F199" s="22" t="s">
        <x:v>239</x:v>
      </x:c>
      <x:c r="G199" s="22">
        <x:v>1</x:v>
      </x:c>
      <x:c r="H199" s="23">
        <x:v>0</x:v>
      </x:c>
      <x:c r="I199" s="23">
        <x:v>35000000</x:v>
      </x:c>
      <x:c r="J199" s="23">
        <x:f>H199-I199</x:f>
      </x:c>
      <x:c r="K199" s="22">
        <x:v>1</x:v>
      </x:c>
      <x:c r="L199" s="24" t="s">
        <x:v>623</x:v>
      </x:c>
      <x:c r="M199" s="24"/>
      <x:c r="N199" s="27" t="s">
        <x:v>623</x:v>
      </x:c>
      <x:c r="O199" s="27"/>
      <x:c r="P199" s="26"/>
      <x:c r="Q199" s="27"/>
      <x:c r="R199" s="22">
        <x:f>IF(N199="","تکمیل نشده",IF(N199="ادغام با تفصیلی دیگر",IF(O199="","کلید مقصد خالی است",IF(IFERROR(MATCH(O199*1,$A:$A,0),0)=0,"کلید مقصد در این فهرست نیست",IF(O199*1=A199,"ادغام با خودش","OK"))),"OK"))</x:f>
      </x:c>
      <x:c r="S199" s="28"/>
    </x:row>
    <x:row r="200" spans="1:19">
      <x:c r="A200" s="21">
        <x:v>2435</x:v>
      </x:c>
      <x:c r="B200" s="22" t="s">
        <x:v>71</x:v>
      </x:c>
      <x:c r="C200" s="22" t="s">
        <x:v>105</x:v>
      </x:c>
      <x:c r="D200" s="22" t="s">
        <x:v>873</x:v>
      </x:c>
      <x:c r="E200" s="22" t="s">
        <x:v>874</x:v>
      </x:c>
      <x:c r="F200" s="22" t="s">
        <x:v>239</x:v>
      </x:c>
      <x:c r="G200" s="22">
        <x:v>2</x:v>
      </x:c>
      <x:c r="H200" s="23">
        <x:v>13000000</x:v>
      </x:c>
      <x:c r="I200" s="23">
        <x:v>13000000</x:v>
      </x:c>
      <x:c r="J200" s="23">
        <x:f>H200-I200</x:f>
      </x:c>
      <x:c r="K200" s="22">
        <x:v>1</x:v>
      </x:c>
      <x:c r="L200" s="24" t="s">
        <x:v>623</x:v>
      </x:c>
      <x:c r="M200" s="24"/>
      <x:c r="N200" s="27" t="s">
        <x:v>623</x:v>
      </x:c>
      <x:c r="O200" s="27"/>
      <x:c r="P200" s="26"/>
      <x:c r="Q200" s="27"/>
      <x:c r="R200" s="22">
        <x:f>IF(N200="","تکمیل نشده",IF(N200="ادغام با تفصیلی دیگر",IF(O200="","کلید مقصد خالی است",IF(IFERROR(MATCH(O200*1,$A:$A,0),0)=0,"کلید مقصد در این فهرست نیست",IF(O200*1=A200,"ادغام با خودش","OK"))),"OK"))</x:f>
      </x:c>
      <x:c r="S200" s="28"/>
    </x:row>
    <x:row r="201" spans="1:19">
      <x:c r="A201" s="21">
        <x:v>2436</x:v>
      </x:c>
      <x:c r="B201" s="22" t="s">
        <x:v>71</x:v>
      </x:c>
      <x:c r="C201" s="22" t="s">
        <x:v>105</x:v>
      </x:c>
      <x:c r="D201" s="22" t="s">
        <x:v>875</x:v>
      </x:c>
      <x:c r="E201" s="22" t="s">
        <x:v>876</x:v>
      </x:c>
      <x:c r="F201" s="22" t="s">
        <x:v>239</x:v>
      </x:c>
      <x:c r="G201" s="22">
        <x:v>4</x:v>
      </x:c>
      <x:c r="H201" s="23">
        <x:v>562000000</x:v>
      </x:c>
      <x:c r="I201" s="23">
        <x:v>562000000</x:v>
      </x:c>
      <x:c r="J201" s="23">
        <x:f>H201-I201</x:f>
      </x:c>
      <x:c r="K201" s="22">
        <x:v>1</x:v>
      </x:c>
      <x:c r="L201" s="24" t="s">
        <x:v>623</x:v>
      </x:c>
      <x:c r="M201" s="24"/>
      <x:c r="N201" s="27" t="s">
        <x:v>623</x:v>
      </x:c>
      <x:c r="O201" s="27"/>
      <x:c r="P201" s="26"/>
      <x:c r="Q201" s="27"/>
      <x:c r="R201" s="22">
        <x:f>IF(N201="","تکمیل نشده",IF(N201="ادغام با تفصیلی دیگر",IF(O201="","کلید مقصد خالی است",IF(IFERROR(MATCH(O201*1,$A:$A,0),0)=0,"کلید مقصد در این فهرست نیست",IF(O201*1=A201,"ادغام با خودش","OK"))),"OK"))</x:f>
      </x:c>
      <x:c r="S201" s="28"/>
    </x:row>
    <x:row r="202" spans="1:19">
      <x:c r="A202" s="21">
        <x:v>2444</x:v>
      </x:c>
      <x:c r="B202" s="22" t="s">
        <x:v>71</x:v>
      </x:c>
      <x:c r="C202" s="22" t="s">
        <x:v>105</x:v>
      </x:c>
      <x:c r="D202" s="22" t="s">
        <x:v>877</x:v>
      </x:c>
      <x:c r="E202" s="22" t="s">
        <x:v>878</x:v>
      </x:c>
      <x:c r="F202" s="22" t="s">
        <x:v>239</x:v>
      </x:c>
      <x:c r="G202" s="22">
        <x:v>19</x:v>
      </x:c>
      <x:c r="H202" s="23">
        <x:v>3208836543</x:v>
      </x:c>
      <x:c r="I202" s="23">
        <x:v>3208836543</x:v>
      </x:c>
      <x:c r="J202" s="23">
        <x:f>H202-I202</x:f>
      </x:c>
      <x:c r="K202" s="22">
        <x:v>1</x:v>
      </x:c>
      <x:c r="L202" s="24" t="s">
        <x:v>623</x:v>
      </x:c>
      <x:c r="M202" s="24"/>
      <x:c r="N202" s="27" t="s">
        <x:v>623</x:v>
      </x:c>
      <x:c r="O202" s="27"/>
      <x:c r="P202" s="26"/>
      <x:c r="Q202" s="27"/>
      <x:c r="R202" s="22">
        <x:f>IF(N202="","تکمیل نشده",IF(N202="ادغام با تفصیلی دیگر",IF(O202="","کلید مقصد خالی است",IF(IFERROR(MATCH(O202*1,$A:$A,0),0)=0,"کلید مقصد در این فهرست نیست",IF(O202*1=A202,"ادغام با خودش","OK"))),"OK"))</x:f>
      </x:c>
      <x:c r="S202" s="28"/>
    </x:row>
    <x:row r="203" spans="1:19">
      <x:c r="A203" s="21">
        <x:v>2445</x:v>
      </x:c>
      <x:c r="B203" s="22" t="s">
        <x:v>71</x:v>
      </x:c>
      <x:c r="C203" s="22" t="s">
        <x:v>105</x:v>
      </x:c>
      <x:c r="D203" s="22" t="s">
        <x:v>879</x:v>
      </x:c>
      <x:c r="E203" s="22" t="s">
        <x:v>880</x:v>
      </x:c>
      <x:c r="F203" s="22" t="s">
        <x:v>239</x:v>
      </x:c>
      <x:c r="G203" s="22">
        <x:v>15</x:v>
      </x:c>
      <x:c r="H203" s="23">
        <x:v>1790919518</x:v>
      </x:c>
      <x:c r="I203" s="23">
        <x:v>1790919518</x:v>
      </x:c>
      <x:c r="J203" s="23">
        <x:f>H203-I203</x:f>
      </x:c>
      <x:c r="K203" s="22">
        <x:v>1</x:v>
      </x:c>
      <x:c r="L203" s="24" t="s">
        <x:v>623</x:v>
      </x:c>
      <x:c r="M203" s="24"/>
      <x:c r="N203" s="27" t="s">
        <x:v>623</x:v>
      </x:c>
      <x:c r="O203" s="27"/>
      <x:c r="P203" s="26"/>
      <x:c r="Q203" s="27"/>
      <x:c r="R203" s="22">
        <x:f>IF(N203="","تکمیل نشده",IF(N203="ادغام با تفصیلی دیگر",IF(O203="","کلید مقصد خالی است",IF(IFERROR(MATCH(O203*1,$A:$A,0),0)=0,"کلید مقصد در این فهرست نیست",IF(O203*1=A203,"ادغام با خودش","OK"))),"OK"))</x:f>
      </x:c>
      <x:c r="S203" s="28"/>
    </x:row>
    <x:row r="204" spans="1:19">
      <x:c r="A204" s="21">
        <x:v>2446</x:v>
      </x:c>
      <x:c r="B204" s="22" t="s">
        <x:v>71</x:v>
      </x:c>
      <x:c r="C204" s="22" t="s">
        <x:v>105</x:v>
      </x:c>
      <x:c r="D204" s="22" t="s">
        <x:v>881</x:v>
      </x:c>
      <x:c r="E204" s="22" t="s">
        <x:v>882</x:v>
      </x:c>
      <x:c r="F204" s="22" t="s">
        <x:v>239</x:v>
      </x:c>
      <x:c r="G204" s="22">
        <x:v>24</x:v>
      </x:c>
      <x:c r="H204" s="23">
        <x:v>3241890136</x:v>
      </x:c>
      <x:c r="I204" s="23">
        <x:v>2627025668</x:v>
      </x:c>
      <x:c r="J204" s="23">
        <x:f>H204-I204</x:f>
      </x:c>
      <x:c r="K204" s="22">
        <x:v>1</x:v>
      </x:c>
      <x:c r="L204" s="24" t="s">
        <x:v>623</x:v>
      </x:c>
      <x:c r="M204" s="24"/>
      <x:c r="N204" s="27" t="s">
        <x:v>623</x:v>
      </x:c>
      <x:c r="O204" s="27"/>
      <x:c r="P204" s="26"/>
      <x:c r="Q204" s="27"/>
      <x:c r="R204" s="22">
        <x:f>IF(N204="","تکمیل نشده",IF(N204="ادغام با تفصیلی دیگر",IF(O204="","کلید مقصد خالی است",IF(IFERROR(MATCH(O204*1,$A:$A,0),0)=0,"کلید مقصد در این فهرست نیست",IF(O204*1=A204,"ادغام با خودش","OK"))),"OK"))</x:f>
      </x:c>
      <x:c r="S204" s="28"/>
    </x:row>
    <x:row r="205" spans="1:19">
      <x:c r="A205" s="21">
        <x:v>2448</x:v>
      </x:c>
      <x:c r="B205" s="22" t="s">
        <x:v>71</x:v>
      </x:c>
      <x:c r="C205" s="22" t="s">
        <x:v>105</x:v>
      </x:c>
      <x:c r="D205" s="22" t="s">
        <x:v>883</x:v>
      </x:c>
      <x:c r="E205" s="22" t="s">
        <x:v>867</x:v>
      </x:c>
      <x:c r="F205" s="22" t="s">
        <x:v>239</x:v>
      </x:c>
      <x:c r="G205" s="22">
        <x:v>2</x:v>
      </x:c>
      <x:c r="H205" s="23">
        <x:v>0</x:v>
      </x:c>
      <x:c r="I205" s="23">
        <x:v>435725575</x:v>
      </x:c>
      <x:c r="J205" s="23">
        <x:f>H205-I205</x:f>
      </x:c>
      <x:c r="K205" s="22">
        <x:v>3</x:v>
      </x:c>
      <x:c r="L205" s="24" t="s">
        <x:v>675</x:v>
      </x:c>
      <x:c r="M205" s="24">
        <x:v>1396</x:v>
      </x:c>
      <x:c r="N205" s="27" t="s">
        <x:v>675</x:v>
      </x:c>
      <x:c r="O205" s="27">
        <x:v>1396</x:v>
      </x:c>
      <x:c r="P205" s="26"/>
      <x:c r="Q205" s="27"/>
      <x:c r="R205" s="22">
        <x:f>IF(N205="","تکمیل نشده",IF(N205="ادغام با تفصیلی دیگر",IF(O205="","کلید مقصد خالی است",IF(IFERROR(MATCH(O205*1,$A:$A,0),0)=0,"کلید مقصد در این فهرست نیست",IF(O205*1=A205,"ادغام با خودش","OK"))),"OK"))</x:f>
      </x:c>
      <x:c r="S205" s="28"/>
    </x:row>
    <x:row r="206" spans="1:19">
      <x:c r="A206" s="21">
        <x:v>2451</x:v>
      </x:c>
      <x:c r="B206" s="22" t="s">
        <x:v>71</x:v>
      </x:c>
      <x:c r="C206" s="22" t="s">
        <x:v>105</x:v>
      </x:c>
      <x:c r="D206" s="22" t="s">
        <x:v>884</x:v>
      </x:c>
      <x:c r="E206" s="22" t="s">
        <x:v>885</x:v>
      </x:c>
      <x:c r="F206" s="22" t="s">
        <x:v>239</x:v>
      </x:c>
      <x:c r="G206" s="22">
        <x:v>2</x:v>
      </x:c>
      <x:c r="H206" s="23">
        <x:v>75735000</x:v>
      </x:c>
      <x:c r="I206" s="23">
        <x:v>75735000</x:v>
      </x:c>
      <x:c r="J206" s="23">
        <x:f>H206-I206</x:f>
      </x:c>
      <x:c r="K206" s="22">
        <x:v>1</x:v>
      </x:c>
      <x:c r="L206" s="24" t="s">
        <x:v>623</x:v>
      </x:c>
      <x:c r="M206" s="24"/>
      <x:c r="N206" s="27" t="s">
        <x:v>623</x:v>
      </x:c>
      <x:c r="O206" s="27"/>
      <x:c r="P206" s="26"/>
      <x:c r="Q206" s="27"/>
      <x:c r="R206" s="22">
        <x:f>IF(N206="","تکمیل نشده",IF(N206="ادغام با تفصیلی دیگر",IF(O206="","کلید مقصد خالی است",IF(IFERROR(MATCH(O206*1,$A:$A,0),0)=0,"کلید مقصد در این فهرست نیست",IF(O206*1=A206,"ادغام با خودش","OK"))),"OK"))</x:f>
      </x:c>
      <x:c r="S206" s="28"/>
    </x:row>
    <x:row r="207" spans="1:19">
      <x:c r="A207" s="21">
        <x:v>3814</x:v>
      </x:c>
      <x:c r="B207" s="22" t="s">
        <x:v>71</x:v>
      </x:c>
      <x:c r="C207" s="22" t="s">
        <x:v>105</x:v>
      </x:c>
      <x:c r="D207" s="22" t="s">
        <x:v>886</x:v>
      </x:c>
      <x:c r="E207" s="22" t="s">
        <x:v>887</x:v>
      </x:c>
      <x:c r="F207" s="22" t="s">
        <x:v>239</x:v>
      </x:c>
      <x:c r="G207" s="22">
        <x:v>2</x:v>
      </x:c>
      <x:c r="H207" s="23">
        <x:v>420195000</x:v>
      </x:c>
      <x:c r="I207" s="23">
        <x:v>420195000</x:v>
      </x:c>
      <x:c r="J207" s="23">
        <x:f>H207-I207</x:f>
      </x:c>
      <x:c r="K207" s="22">
        <x:v>1</x:v>
      </x:c>
      <x:c r="L207" s="24" t="s">
        <x:v>623</x:v>
      </x:c>
      <x:c r="M207" s="24"/>
      <x:c r="N207" s="27" t="s">
        <x:v>623</x:v>
      </x:c>
      <x:c r="O207" s="27"/>
      <x:c r="P207" s="26"/>
      <x:c r="Q207" s="27"/>
      <x:c r="R207" s="22">
        <x:f>IF(N207="","تکمیل نشده",IF(N207="ادغام با تفصیلی دیگر",IF(O207="","کلید مقصد خالی است",IF(IFERROR(MATCH(O207*1,$A:$A,0),0)=0,"کلید مقصد در این فهرست نیست",IF(O207*1=A207,"ادغام با خودش","OK"))),"OK"))</x:f>
      </x:c>
      <x:c r="S207" s="28"/>
    </x:row>
    <x:row r="208" spans="1:19">
      <x:c r="A208" s="21">
        <x:v>3845</x:v>
      </x:c>
      <x:c r="B208" s="22" t="s">
        <x:v>71</x:v>
      </x:c>
      <x:c r="C208" s="22" t="s">
        <x:v>105</x:v>
      </x:c>
      <x:c r="D208" s="22" t="s">
        <x:v>888</x:v>
      </x:c>
      <x:c r="E208" s="22" t="s">
        <x:v>784</x:v>
      </x:c>
      <x:c r="F208" s="22" t="s">
        <x:v>239</x:v>
      </x:c>
      <x:c r="G208" s="22">
        <x:v>2</x:v>
      </x:c>
      <x:c r="H208" s="23">
        <x:v>588055000</x:v>
      </x:c>
      <x:c r="I208" s="23">
        <x:v>780200000</x:v>
      </x:c>
      <x:c r="J208" s="23">
        <x:f>H208-I208</x:f>
      </x:c>
      <x:c r="K208" s="22">
        <x:v>3</x:v>
      </x:c>
      <x:c r="L208" s="24" t="s">
        <x:v>675</x:v>
      </x:c>
      <x:c r="M208" s="24">
        <x:v>3844</x:v>
      </x:c>
      <x:c r="N208" s="27" t="s">
        <x:v>675</x:v>
      </x:c>
      <x:c r="O208" s="27">
        <x:v>3844</x:v>
      </x:c>
      <x:c r="P208" s="26"/>
      <x:c r="Q208" s="27"/>
      <x:c r="R208" s="22">
        <x:f>IF(N208="","تکمیل نشده",IF(N208="ادغام با تفصیلی دیگر",IF(O208="","کلید مقصد خالی است",IF(IFERROR(MATCH(O208*1,$A:$A,0),0)=0,"کلید مقصد در این فهرست نیست",IF(O208*1=A208,"ادغام با خودش","OK"))),"OK"))</x:f>
      </x:c>
      <x:c r="S208" s="28"/>
    </x:row>
    <x:row r="209" spans="1:19">
      <x:c r="A209" s="21">
        <x:v>3846</x:v>
      </x:c>
      <x:c r="B209" s="22" t="s">
        <x:v>71</x:v>
      </x:c>
      <x:c r="C209" s="22" t="s">
        <x:v>105</x:v>
      </x:c>
      <x:c r="D209" s="22" t="s">
        <x:v>889</x:v>
      </x:c>
      <x:c r="E209" s="22" t="s">
        <x:v>890</x:v>
      </x:c>
      <x:c r="F209" s="22" t="s">
        <x:v>239</x:v>
      </x:c>
      <x:c r="G209" s="22">
        <x:v>2</x:v>
      </x:c>
      <x:c r="H209" s="23">
        <x:v>842461000</x:v>
      </x:c>
      <x:c r="I209" s="23">
        <x:v>1231400000</x:v>
      </x:c>
      <x:c r="J209" s="23">
        <x:f>H209-I209</x:f>
      </x:c>
      <x:c r="K209" s="22">
        <x:v>1</x:v>
      </x:c>
      <x:c r="L209" s="24" t="s">
        <x:v>623</x:v>
      </x:c>
      <x:c r="M209" s="24"/>
      <x:c r="N209" s="27" t="s">
        <x:v>623</x:v>
      </x:c>
      <x:c r="O209" s="27"/>
      <x:c r="P209" s="26"/>
      <x:c r="Q209" s="27"/>
      <x:c r="R209" s="22">
        <x:f>IF(N209="","تکمیل نشده",IF(N209="ادغام با تفصیلی دیگر",IF(O209="","کلید مقصد خالی است",IF(IFERROR(MATCH(O209*1,$A:$A,0),0)=0,"کلید مقصد در این فهرست نیست",IF(O209*1=A209,"ادغام با خودش","OK"))),"OK"))</x:f>
      </x:c>
      <x:c r="S209" s="28"/>
    </x:row>
    <x:row r="210" spans="1:19">
      <x:c r="A210" s="21">
        <x:v>11104</x:v>
      </x:c>
      <x:c r="B210" s="22" t="s">
        <x:v>71</x:v>
      </x:c>
      <x:c r="C210" s="22" t="s">
        <x:v>163</x:v>
      </x:c>
      <x:c r="D210" s="22" t="s">
        <x:v>619</x:v>
      </x:c>
      <x:c r="E210" s="22" t="s">
        <x:v>283</x:v>
      </x:c>
      <x:c r="F210" s="22" t="s">
        <x:v>283</x:v>
      </x:c>
      <x:c r="G210" s="22">
        <x:v>1</x:v>
      </x:c>
      <x:c r="H210" s="23">
        <x:v>0</x:v>
      </x:c>
      <x:c r="I210" s="23">
        <x:v>7000000</x:v>
      </x:c>
      <x:c r="J210" s="23">
        <x:f>H210-I210</x:f>
      </x:c>
      <x:c r="K210" s="22">
        <x:v>1</x:v>
      </x:c>
      <x:c r="L210" s="24" t="s">
        <x:v>620</x:v>
      </x:c>
      <x:c r="M210" s="24"/>
      <x:c r="N210" s="27" t="s">
        <x:v>620</x:v>
      </x:c>
      <x:c r="O210" s="27"/>
      <x:c r="P210" s="26"/>
      <x:c r="Q210" s="27"/>
      <x:c r="R210" s="22">
        <x:f>IF(N210="","تکمیل نشده",IF(N210="ادغام با تفصیلی دیگر",IF(O210="","کلید مقصد خالی است",IF(IFERROR(MATCH(O210*1,$A:$A,0),0)=0,"کلید مقصد در این فهرست نیست",IF(O210*1=A210,"ادغام با خودش","OK"))),"OK"))</x:f>
      </x:c>
      <x:c r="S210" s="28"/>
    </x:row>
    <x:row r="211" spans="1:19">
      <x:c r="A211" s="21">
        <x:v>11170</x:v>
      </x:c>
      <x:c r="B211" s="22" t="s">
        <x:v>74</x:v>
      </x:c>
      <x:c r="C211" s="22" t="s">
        <x:v>235</x:v>
      </x:c>
      <x:c r="D211" s="22" t="s">
        <x:v>619</x:v>
      </x:c>
      <x:c r="E211" s="22" t="s">
        <x:v>284</x:v>
      </x:c>
      <x:c r="F211" s="22" t="s">
        <x:v>284</x:v>
      </x:c>
      <x:c r="G211" s="22">
        <x:v>7</x:v>
      </x:c>
      <x:c r="H211" s="23">
        <x:v>526001</x:v>
      </x:c>
      <x:c r="I211" s="23">
        <x:v>67104000</x:v>
      </x:c>
      <x:c r="J211" s="23">
        <x:f>H211-I211</x:f>
      </x:c>
      <x:c r="K211" s="22">
        <x:v>1</x:v>
      </x:c>
      <x:c r="L211" s="24" t="s">
        <x:v>620</x:v>
      </x:c>
      <x:c r="M211" s="24"/>
      <x:c r="N211" s="27" t="s">
        <x:v>620</x:v>
      </x:c>
      <x:c r="O211" s="27"/>
      <x:c r="P211" s="26"/>
      <x:c r="Q211" s="27"/>
      <x:c r="R211" s="22">
        <x:f>IF(N211="","تکمیل نشده",IF(N211="ادغام با تفصیلی دیگر",IF(O211="","کلید مقصد خالی است",IF(IFERROR(MATCH(O211*1,$A:$A,0),0)=0,"کلید مقصد در این فهرست نیست",IF(O211*1=A211,"ادغام با خودش","OK"))),"OK"))</x:f>
      </x:c>
      <x:c r="S211" s="28"/>
    </x:row>
    <x:row r="212" spans="1:19">
      <x:c r="A212" s="21">
        <x:v>2463</x:v>
      </x:c>
      <x:c r="B212" s="22" t="s">
        <x:v>82</x:v>
      </x:c>
      <x:c r="C212" s="22" t="s">
        <x:v>156</x:v>
      </x:c>
      <x:c r="D212" s="22" t="s">
        <x:v>891</x:v>
      </x:c>
      <x:c r="E212" s="22" t="s">
        <x:v>892</x:v>
      </x:c>
      <x:c r="F212" s="22" t="s">
        <x:v>285</x:v>
      </x:c>
      <x:c r="G212" s="22">
        <x:v>6</x:v>
      </x:c>
      <x:c r="H212" s="23">
        <x:v>12775713065</x:v>
      </x:c>
      <x:c r="I212" s="23">
        <x:v>2555142613</x:v>
      </x:c>
      <x:c r="J212" s="23">
        <x:f>H212-I212</x:f>
      </x:c>
      <x:c r="K212" s="22">
        <x:v>2</x:v>
      </x:c>
      <x:c r="L212" s="24" t="s">
        <x:v>623</x:v>
      </x:c>
      <x:c r="M212" s="24"/>
      <x:c r="N212" s="27" t="s">
        <x:v>623</x:v>
      </x:c>
      <x:c r="O212" s="27"/>
      <x:c r="P212" s="26"/>
      <x:c r="Q212" s="27"/>
      <x:c r="R212" s="22">
        <x:f>IF(N212="","تکمیل نشده",IF(N212="ادغام با تفصیلی دیگر",IF(O212="","کلید مقصد خالی است",IF(IFERROR(MATCH(O212*1,$A:$A,0),0)=0,"کلید مقصد در این فهرست نیست",IF(O212*1=A212,"ادغام با خودش","OK"))),"OK"))</x:f>
      </x:c>
      <x:c r="S212" s="28"/>
    </x:row>
    <x:row r="213" spans="1:19">
      <x:c r="A213" s="21">
        <x:v>2464</x:v>
      </x:c>
      <x:c r="B213" s="22" t="s">
        <x:v>82</x:v>
      </x:c>
      <x:c r="C213" s="22" t="s">
        <x:v>156</x:v>
      </x:c>
      <x:c r="D213" s="22" t="s">
        <x:v>893</x:v>
      </x:c>
      <x:c r="E213" s="22" t="s">
        <x:v>894</x:v>
      </x:c>
      <x:c r="F213" s="22" t="s">
        <x:v>285</x:v>
      </x:c>
      <x:c r="G213" s="22">
        <x:v>6</x:v>
      </x:c>
      <x:c r="H213" s="23">
        <x:v>3922743440</x:v>
      </x:c>
      <x:c r="I213" s="23">
        <x:v>5576539500</x:v>
      </x:c>
      <x:c r="J213" s="23">
        <x:f>H213-I213</x:f>
      </x:c>
      <x:c r="K213" s="22">
        <x:v>2</x:v>
      </x:c>
      <x:c r="L213" s="24" t="s">
        <x:v>623</x:v>
      </x:c>
      <x:c r="M213" s="24"/>
      <x:c r="N213" s="27" t="s">
        <x:v>623</x:v>
      </x:c>
      <x:c r="O213" s="27"/>
      <x:c r="P213" s="26"/>
      <x:c r="Q213" s="27"/>
      <x:c r="R213" s="22">
        <x:f>IF(N213="","تکمیل نشده",IF(N213="ادغام با تفصیلی دیگر",IF(O213="","کلید مقصد خالی است",IF(IFERROR(MATCH(O213*1,$A:$A,0),0)=0,"کلید مقصد در این فهرست نیست",IF(O213*1=A213,"ادغام با خودش","OK"))),"OK"))</x:f>
      </x:c>
      <x:c r="S213" s="28"/>
    </x:row>
    <x:row r="214" spans="1:19">
      <x:c r="A214" s="21">
        <x:v>2465</x:v>
      </x:c>
      <x:c r="B214" s="22" t="s">
        <x:v>82</x:v>
      </x:c>
      <x:c r="C214" s="22" t="s">
        <x:v>156</x:v>
      </x:c>
      <x:c r="D214" s="22" t="s">
        <x:v>895</x:v>
      </x:c>
      <x:c r="E214" s="22" t="s">
        <x:v>896</x:v>
      </x:c>
      <x:c r="F214" s="22" t="s">
        <x:v>285</x:v>
      </x:c>
      <x:c r="G214" s="22">
        <x:v>6</x:v>
      </x:c>
      <x:c r="H214" s="23">
        <x:v>14041638450</x:v>
      </x:c>
      <x:c r="I214" s="23">
        <x:v>2808327690</x:v>
      </x:c>
      <x:c r="J214" s="23">
        <x:f>H214-I214</x:f>
      </x:c>
      <x:c r="K214" s="22">
        <x:v>2</x:v>
      </x:c>
      <x:c r="L214" s="24" t="s">
        <x:v>623</x:v>
      </x:c>
      <x:c r="M214" s="24"/>
      <x:c r="N214" s="27" t="s">
        <x:v>623</x:v>
      </x:c>
      <x:c r="O214" s="27"/>
      <x:c r="P214" s="26"/>
      <x:c r="Q214" s="27"/>
      <x:c r="R214" s="22">
        <x:f>IF(N214="","تکمیل نشده",IF(N214="ادغام با تفصیلی دیگر",IF(O214="","کلید مقصد خالی است",IF(IFERROR(MATCH(O214*1,$A:$A,0),0)=0,"کلید مقصد در این فهرست نیست",IF(O214*1=A214,"ادغام با خودش","OK"))),"OK"))</x:f>
      </x:c>
      <x:c r="S214" s="28"/>
    </x:row>
    <x:row r="215" spans="1:19">
      <x:c r="A215" s="21">
        <x:v>2466</x:v>
      </x:c>
      <x:c r="B215" s="22" t="s">
        <x:v>82</x:v>
      </x:c>
      <x:c r="C215" s="22" t="s">
        <x:v>156</x:v>
      </x:c>
      <x:c r="D215" s="22" t="s">
        <x:v>897</x:v>
      </x:c>
      <x:c r="E215" s="22" t="s">
        <x:v>898</x:v>
      </x:c>
      <x:c r="F215" s="22" t="s">
        <x:v>285</x:v>
      </x:c>
      <x:c r="G215" s="22">
        <x:v>6</x:v>
      </x:c>
      <x:c r="H215" s="23">
        <x:v>17440606490</x:v>
      </x:c>
      <x:c r="I215" s="23">
        <x:v>3488121298</x:v>
      </x:c>
      <x:c r="J215" s="23">
        <x:f>H215-I215</x:f>
      </x:c>
      <x:c r="K215" s="22">
        <x:v>2</x:v>
      </x:c>
      <x:c r="L215" s="24" t="s">
        <x:v>623</x:v>
      </x:c>
      <x:c r="M215" s="24"/>
      <x:c r="N215" s="27" t="s">
        <x:v>623</x:v>
      </x:c>
      <x:c r="O215" s="27"/>
      <x:c r="P215" s="26"/>
      <x:c r="Q215" s="27"/>
      <x:c r="R215" s="22">
        <x:f>IF(N215="","تکمیل نشده",IF(N215="ادغام با تفصیلی دیگر",IF(O215="","کلید مقصد خالی است",IF(IFERROR(MATCH(O215*1,$A:$A,0),0)=0,"کلید مقصد در این فهرست نیست",IF(O215*1=A215,"ادغام با خودش","OK"))),"OK"))</x:f>
      </x:c>
      <x:c r="S215" s="28"/>
    </x:row>
    <x:row r="216" spans="1:19">
      <x:c r="A216" s="21">
        <x:v>2468</x:v>
      </x:c>
      <x:c r="B216" s="22" t="s">
        <x:v>82</x:v>
      </x:c>
      <x:c r="C216" s="22" t="s">
        <x:v>156</x:v>
      </x:c>
      <x:c r="D216" s="22" t="s">
        <x:v>899</x:v>
      </x:c>
      <x:c r="E216" s="22" t="s">
        <x:v>900</x:v>
      </x:c>
      <x:c r="F216" s="22" t="s">
        <x:v>285</x:v>
      </x:c>
      <x:c r="G216" s="22">
        <x:v>6</x:v>
      </x:c>
      <x:c r="H216" s="23">
        <x:v>19780879565</x:v>
      </x:c>
      <x:c r="I216" s="23">
        <x:v>3956175913</x:v>
      </x:c>
      <x:c r="J216" s="23">
        <x:f>H216-I216</x:f>
      </x:c>
      <x:c r="K216" s="22">
        <x:v>1</x:v>
      </x:c>
      <x:c r="L216" s="24" t="s">
        <x:v>623</x:v>
      </x:c>
      <x:c r="M216" s="24"/>
      <x:c r="N216" s="27" t="s">
        <x:v>623</x:v>
      </x:c>
      <x:c r="O216" s="27"/>
      <x:c r="P216" s="26"/>
      <x:c r="Q216" s="27"/>
      <x:c r="R216" s="22">
        <x:f>IF(N216="","تکمیل نشده",IF(N216="ادغام با تفصیلی دیگر",IF(O216="","کلید مقصد خالی است",IF(IFERROR(MATCH(O216*1,$A:$A,0),0)=0,"کلید مقصد در این فهرست نیست",IF(O216*1=A216,"ادغام با خودش","OK"))),"OK"))</x:f>
      </x:c>
      <x:c r="S216" s="28"/>
    </x:row>
    <x:row r="217" spans="1:19">
      <x:c r="A217" s="21">
        <x:v>2469</x:v>
      </x:c>
      <x:c r="B217" s="22" t="s">
        <x:v>82</x:v>
      </x:c>
      <x:c r="C217" s="22" t="s">
        <x:v>156</x:v>
      </x:c>
      <x:c r="D217" s="22" t="s">
        <x:v>901</x:v>
      </x:c>
      <x:c r="E217" s="22" t="s">
        <x:v>902</x:v>
      </x:c>
      <x:c r="F217" s="22" t="s">
        <x:v>285</x:v>
      </x:c>
      <x:c r="G217" s="22">
        <x:v>6</x:v>
      </x:c>
      <x:c r="H217" s="23">
        <x:v>18945067750</x:v>
      </x:c>
      <x:c r="I217" s="23">
        <x:v>3789013550</x:v>
      </x:c>
      <x:c r="J217" s="23">
        <x:f>H217-I217</x:f>
      </x:c>
      <x:c r="K217" s="22">
        <x:v>2</x:v>
      </x:c>
      <x:c r="L217" s="24" t="s">
        <x:v>623</x:v>
      </x:c>
      <x:c r="M217" s="24"/>
      <x:c r="N217" s="27" t="s">
        <x:v>623</x:v>
      </x:c>
      <x:c r="O217" s="27"/>
      <x:c r="P217" s="26"/>
      <x:c r="Q217" s="27"/>
      <x:c r="R217" s="22">
        <x:f>IF(N217="","تکمیل نشده",IF(N217="ادغام با تفصیلی دیگر",IF(O217="","کلید مقصد خالی است",IF(IFERROR(MATCH(O217*1,$A:$A,0),0)=0,"کلید مقصد در این فهرست نیست",IF(O217*1=A217,"ادغام با خودش","OK"))),"OK"))</x:f>
      </x:c>
      <x:c r="S217" s="28"/>
    </x:row>
    <x:row r="218" spans="1:19">
      <x:c r="A218" s="21">
        <x:v>2470</x:v>
      </x:c>
      <x:c r="B218" s="22" t="s">
        <x:v>82</x:v>
      </x:c>
      <x:c r="C218" s="22" t="s">
        <x:v>156</x:v>
      </x:c>
      <x:c r="D218" s="22" t="s">
        <x:v>903</x:v>
      </x:c>
      <x:c r="E218" s="22" t="s">
        <x:v>904</x:v>
      </x:c>
      <x:c r="F218" s="22" t="s">
        <x:v>285</x:v>
      </x:c>
      <x:c r="G218" s="22">
        <x:v>6</x:v>
      </x:c>
      <x:c r="H218" s="23">
        <x:v>11706796800</x:v>
      </x:c>
      <x:c r="I218" s="23">
        <x:v>4833000900</x:v>
      </x:c>
      <x:c r="J218" s="23">
        <x:f>H218-I218</x:f>
      </x:c>
      <x:c r="K218" s="22">
        <x:v>2</x:v>
      </x:c>
      <x:c r="L218" s="24" t="s">
        <x:v>623</x:v>
      </x:c>
      <x:c r="M218" s="24"/>
      <x:c r="N218" s="27" t="s">
        <x:v>623</x:v>
      </x:c>
      <x:c r="O218" s="27"/>
      <x:c r="P218" s="26"/>
      <x:c r="Q218" s="27"/>
      <x:c r="R218" s="22">
        <x:f>IF(N218="","تکمیل نشده",IF(N218="ادغام با تفصیلی دیگر",IF(O218="","کلید مقصد خالی است",IF(IFERROR(MATCH(O218*1,$A:$A,0),0)=0,"کلید مقصد در این فهرست نیست",IF(O218*1=A218,"ادغام با خودش","OK"))),"OK"))</x:f>
      </x:c>
      <x:c r="S218" s="28"/>
    </x:row>
    <x:row r="219" spans="1:19">
      <x:c r="A219" s="21">
        <x:v>2471</x:v>
      </x:c>
      <x:c r="B219" s="22" t="s">
        <x:v>82</x:v>
      </x:c>
      <x:c r="C219" s="22" t="s">
        <x:v>156</x:v>
      </x:c>
      <x:c r="D219" s="22" t="s">
        <x:v>905</x:v>
      </x:c>
      <x:c r="E219" s="22" t="s">
        <x:v>724</x:v>
      </x:c>
      <x:c r="F219" s="22" t="s">
        <x:v>285</x:v>
      </x:c>
      <x:c r="G219" s="22">
        <x:v>6</x:v>
      </x:c>
      <x:c r="H219" s="23">
        <x:v>11367040652</x:v>
      </x:c>
      <x:c r="I219" s="23">
        <x:v>4135933463</x:v>
      </x:c>
      <x:c r="J219" s="23">
        <x:f>H219-I219</x:f>
      </x:c>
      <x:c r="K219" s="22">
        <x:v>3</x:v>
      </x:c>
      <x:c r="L219" s="24" t="s">
        <x:v>675</x:v>
      </x:c>
      <x:c r="M219" s="24">
        <x:v>560</x:v>
      </x:c>
      <x:c r="N219" s="27" t="s">
        <x:v>675</x:v>
      </x:c>
      <x:c r="O219" s="27">
        <x:v>560</x:v>
      </x:c>
      <x:c r="P219" s="26"/>
      <x:c r="Q219" s="27"/>
      <x:c r="R219" s="22">
        <x:f>IF(N219="","تکمیل نشده",IF(N219="ادغام با تفصیلی دیگر",IF(O219="","کلید مقصد خالی است",IF(IFERROR(MATCH(O219*1,$A:$A,0),0)=0,"کلید مقصد در این فهرست نیست",IF(O219*1=A219,"ادغام با خودش","OK"))),"OK"))</x:f>
      </x:c>
      <x:c r="S219" s="28"/>
    </x:row>
    <x:row r="220" spans="1:19">
      <x:c r="A220" s="21">
        <x:v>2473</x:v>
      </x:c>
      <x:c r="B220" s="22" t="s">
        <x:v>82</x:v>
      </x:c>
      <x:c r="C220" s="22" t="s">
        <x:v>156</x:v>
      </x:c>
      <x:c r="D220" s="22" t="s">
        <x:v>906</x:v>
      </x:c>
      <x:c r="E220" s="22" t="s">
        <x:v>907</x:v>
      </x:c>
      <x:c r="F220" s="22" t="s">
        <x:v>285</x:v>
      </x:c>
      <x:c r="G220" s="22">
        <x:v>6</x:v>
      </x:c>
      <x:c r="H220" s="23">
        <x:v>16939119400</x:v>
      </x:c>
      <x:c r="I220" s="23">
        <x:v>3387823880</x:v>
      </x:c>
      <x:c r="J220" s="23">
        <x:f>H220-I220</x:f>
      </x:c>
      <x:c r="K220" s="22">
        <x:v>3</x:v>
      </x:c>
      <x:c r="L220" s="24" t="s">
        <x:v>623</x:v>
      </x:c>
      <x:c r="M220" s="24"/>
      <x:c r="N220" s="27" t="s">
        <x:v>623</x:v>
      </x:c>
      <x:c r="O220" s="27"/>
      <x:c r="P220" s="26"/>
      <x:c r="Q220" s="27"/>
      <x:c r="R220" s="22">
        <x:f>IF(N220="","تکمیل نشده",IF(N220="ادغام با تفصیلی دیگر",IF(O220="","کلید مقصد خالی است",IF(IFERROR(MATCH(O220*1,$A:$A,0),0)=0,"کلید مقصد در این فهرست نیست",IF(O220*1=A220,"ادغام با خودش","OK"))),"OK"))</x:f>
      </x:c>
      <x:c r="S220" s="28"/>
    </x:row>
    <x:row r="221" spans="1:19">
      <x:c r="A221" s="21">
        <x:v>3666</x:v>
      </x:c>
      <x:c r="B221" s="22" t="s">
        <x:v>82</x:v>
      </x:c>
      <x:c r="C221" s="22" t="s">
        <x:v>156</x:v>
      </x:c>
      <x:c r="D221" s="22" t="s">
        <x:v>908</x:v>
      </x:c>
      <x:c r="E221" s="22" t="s">
        <x:v>738</x:v>
      </x:c>
      <x:c r="F221" s="22" t="s">
        <x:v>285</x:v>
      </x:c>
      <x:c r="G221" s="22">
        <x:v>2</x:v>
      </x:c>
      <x:c r="H221" s="23">
        <x:v>0</x:v>
      </x:c>
      <x:c r="I221" s="23">
        <x:v>4507702763</x:v>
      </x:c>
      <x:c r="J221" s="23">
        <x:f>H221-I221</x:f>
      </x:c>
      <x:c r="K221" s="22">
        <x:v>3</x:v>
      </x:c>
      <x:c r="L221" s="24" t="s">
        <x:v>675</x:v>
      </x:c>
      <x:c r="M221" s="24">
        <x:v>587</x:v>
      </x:c>
      <x:c r="N221" s="27" t="s">
        <x:v>675</x:v>
      </x:c>
      <x:c r="O221" s="27">
        <x:v>587</x:v>
      </x:c>
      <x:c r="P221" s="26"/>
      <x:c r="Q221" s="27"/>
      <x:c r="R221" s="22">
        <x:f>IF(N221="","تکمیل نشده",IF(N221="ادغام با تفصیلی دیگر",IF(O221="","کلید مقصد خالی است",IF(IFERROR(MATCH(O221*1,$A:$A,0),0)=0,"کلید مقصد در این فهرست نیست",IF(O221*1=A221,"ادغام با خودش","OK"))),"OK"))</x:f>
      </x:c>
      <x:c r="S221" s="28"/>
    </x:row>
    <x:row r="222" spans="1:19">
      <x:c r="A222" s="21">
        <x:v>2474</x:v>
      </x:c>
      <x:c r="B222" s="22" t="s">
        <x:v>82</x:v>
      </x:c>
      <x:c r="C222" s="22" t="s">
        <x:v>156</x:v>
      </x:c>
      <x:c r="D222" s="22" t="s">
        <x:v>909</x:v>
      </x:c>
      <x:c r="E222" s="22" t="s">
        <x:v>823</x:v>
      </x:c>
      <x:c r="F222" s="22" t="s">
        <x:v>285</x:v>
      </x:c>
      <x:c r="G222" s="22">
        <x:v>6</x:v>
      </x:c>
      <x:c r="H222" s="23">
        <x:v>13317268215</x:v>
      </x:c>
      <x:c r="I222" s="23">
        <x:v>2663453643</x:v>
      </x:c>
      <x:c r="J222" s="23">
        <x:f>H222-I222</x:f>
      </x:c>
      <x:c r="K222" s="22">
        <x:v>3</x:v>
      </x:c>
      <x:c r="L222" s="24" t="s">
        <x:v>675</x:v>
      </x:c>
      <x:c r="M222" s="24">
        <x:v>1626</x:v>
      </x:c>
      <x:c r="N222" s="27" t="s">
        <x:v>675</x:v>
      </x:c>
      <x:c r="O222" s="27">
        <x:v>1626</x:v>
      </x:c>
      <x:c r="P222" s="26"/>
      <x:c r="Q222" s="27"/>
      <x:c r="R222" s="22">
        <x:f>IF(N222="","تکمیل نشده",IF(N222="ادغام با تفصیلی دیگر",IF(O222="","کلید مقصد خالی است",IF(IFERROR(MATCH(O222*1,$A:$A,0),0)=0,"کلید مقصد در این فهرست نیست",IF(O222*1=A222,"ادغام با خودش","OK"))),"OK"))</x:f>
      </x:c>
      <x:c r="S222" s="28"/>
    </x:row>
    <x:row r="223" spans="1:19">
      <x:c r="A223" s="21">
        <x:v>2475</x:v>
      </x:c>
      <x:c r="B223" s="22" t="s">
        <x:v>82</x:v>
      </x:c>
      <x:c r="C223" s="22" t="s">
        <x:v>156</x:v>
      </x:c>
      <x:c r="D223" s="22" t="s">
        <x:v>910</x:v>
      </x:c>
      <x:c r="E223" s="22" t="s">
        <x:v>736</x:v>
      </x:c>
      <x:c r="F223" s="22" t="s">
        <x:v>285</x:v>
      </x:c>
      <x:c r="G223" s="22">
        <x:v>6</x:v>
      </x:c>
      <x:c r="H223" s="23">
        <x:v>9896011860</x:v>
      </x:c>
      <x:c r="I223" s="23">
        <x:v>3613913706</x:v>
      </x:c>
      <x:c r="J223" s="23">
        <x:f>H223-I223</x:f>
      </x:c>
      <x:c r="K223" s="22">
        <x:v>3</x:v>
      </x:c>
      <x:c r="L223" s="24" t="s">
        <x:v>675</x:v>
      </x:c>
      <x:c r="M223" s="24">
        <x:v>586</x:v>
      </x:c>
      <x:c r="N223" s="27" t="s">
        <x:v>675</x:v>
      </x:c>
      <x:c r="O223" s="27">
        <x:v>586</x:v>
      </x:c>
      <x:c r="P223" s="26"/>
      <x:c r="Q223" s="27"/>
      <x:c r="R223" s="22">
        <x:f>IF(N223="","تکمیل نشده",IF(N223="ادغام با تفصیلی دیگر",IF(O223="","کلید مقصد خالی است",IF(IFERROR(MATCH(O223*1,$A:$A,0),0)=0,"کلید مقصد در این فهرست نیست",IF(O223*1=A223,"ادغام با خودش","OK"))),"OK"))</x:f>
      </x:c>
      <x:c r="S223" s="28"/>
    </x:row>
    <x:row r="224" spans="1:19">
      <x:c r="A224" s="21">
        <x:v>2478</x:v>
      </x:c>
      <x:c r="B224" s="22" t="s">
        <x:v>82</x:v>
      </x:c>
      <x:c r="C224" s="22" t="s">
        <x:v>156</x:v>
      </x:c>
      <x:c r="D224" s="22" t="s">
        <x:v>911</x:v>
      </x:c>
      <x:c r="E224" s="22" t="s">
        <x:v>801</x:v>
      </x:c>
      <x:c r="F224" s="22" t="s">
        <x:v>285</x:v>
      </x:c>
      <x:c r="G224" s="22">
        <x:v>6</x:v>
      </x:c>
      <x:c r="H224" s="23">
        <x:v>10876697720</x:v>
      </x:c>
      <x:c r="I224" s="23">
        <x:v>3965539200</x:v>
      </x:c>
      <x:c r="J224" s="23">
        <x:f>H224-I224</x:f>
      </x:c>
      <x:c r="K224" s="22">
        <x:v>3</x:v>
      </x:c>
      <x:c r="L224" s="24" t="s">
        <x:v>675</x:v>
      </x:c>
      <x:c r="M224" s="24">
        <x:v>1538</x:v>
      </x:c>
      <x:c r="N224" s="27" t="s">
        <x:v>675</x:v>
      </x:c>
      <x:c r="O224" s="27">
        <x:v>1538</x:v>
      </x:c>
      <x:c r="P224" s="26"/>
      <x:c r="Q224" s="27"/>
      <x:c r="R224" s="22">
        <x:f>IF(N224="","تکمیل نشده",IF(N224="ادغام با تفصیلی دیگر",IF(O224="","کلید مقصد خالی است",IF(IFERROR(MATCH(O224*1,$A:$A,0),0)=0,"کلید مقصد در این فهرست نیست",IF(O224*1=A224,"ادغام با خودش","OK"))),"OK"))</x:f>
      </x:c>
      <x:c r="S224" s="28"/>
    </x:row>
    <x:row r="225" spans="1:19">
      <x:c r="A225" s="21">
        <x:v>3681</x:v>
      </x:c>
      <x:c r="B225" s="22" t="s">
        <x:v>82</x:v>
      </x:c>
      <x:c r="C225" s="22" t="s">
        <x:v>156</x:v>
      </x:c>
      <x:c r="D225" s="22" t="s">
        <x:v>912</x:v>
      </x:c>
      <x:c r="E225" s="22" t="s">
        <x:v>913</x:v>
      </x:c>
      <x:c r="F225" s="22" t="s">
        <x:v>285</x:v>
      </x:c>
      <x:c r="G225" s="22">
        <x:v>2</x:v>
      </x:c>
      <x:c r="H225" s="23">
        <x:v>0</x:v>
      </x:c>
      <x:c r="I225" s="23">
        <x:v>4197895013</x:v>
      </x:c>
      <x:c r="J225" s="23">
        <x:f>H225-I225</x:f>
      </x:c>
      <x:c r="K225" s="22">
        <x:v>2</x:v>
      </x:c>
      <x:c r="L225" s="24" t="s">
        <x:v>623</x:v>
      </x:c>
      <x:c r="M225" s="24"/>
      <x:c r="N225" s="27" t="s">
        <x:v>623</x:v>
      </x:c>
      <x:c r="O225" s="27"/>
      <x:c r="P225" s="26"/>
      <x:c r="Q225" s="27"/>
      <x:c r="R225" s="22">
        <x:f>IF(N225="","تکمیل نشده",IF(N225="ادغام با تفصیلی دیگر",IF(O225="","کلید مقصد خالی است",IF(IFERROR(MATCH(O225*1,$A:$A,0),0)=0,"کلید مقصد در این فهرست نیست",IF(O225*1=A225,"ادغام با خودش","OK"))),"OK"))</x:f>
      </x:c>
      <x:c r="S225" s="28"/>
    </x:row>
    <x:row r="226" spans="1:19">
      <x:c r="A226" s="21">
        <x:v>3659</x:v>
      </x:c>
      <x:c r="B226" s="22" t="s">
        <x:v>82</x:v>
      </x:c>
      <x:c r="C226" s="22" t="s">
        <x:v>156</x:v>
      </x:c>
      <x:c r="D226" s="22" t="s">
        <x:v>914</x:v>
      </x:c>
      <x:c r="E226" s="22" t="s">
        <x:v>915</x:v>
      </x:c>
      <x:c r="F226" s="22" t="s">
        <x:v>285</x:v>
      </x:c>
      <x:c r="G226" s="22">
        <x:v>2</x:v>
      </x:c>
      <x:c r="H226" s="23">
        <x:v>0</x:v>
      </x:c>
      <x:c r="I226" s="23">
        <x:v>3576447386</x:v>
      </x:c>
      <x:c r="J226" s="23">
        <x:f>H226-I226</x:f>
      </x:c>
      <x:c r="K226" s="22">
        <x:v>2</x:v>
      </x:c>
      <x:c r="L226" s="24" t="s">
        <x:v>623</x:v>
      </x:c>
      <x:c r="M226" s="24"/>
      <x:c r="N226" s="27" t="s">
        <x:v>623</x:v>
      </x:c>
      <x:c r="O226" s="27"/>
      <x:c r="P226" s="26"/>
      <x:c r="Q226" s="27"/>
      <x:c r="R226" s="22">
        <x:f>IF(N226="","تکمیل نشده",IF(N226="ادغام با تفصیلی دیگر",IF(O226="","کلید مقصد خالی است",IF(IFERROR(MATCH(O226*1,$A:$A,0),0)=0,"کلید مقصد در این فهرست نیست",IF(O226*1=A226,"ادغام با خودش","OK"))),"OK"))</x:f>
      </x:c>
      <x:c r="S226" s="28"/>
    </x:row>
    <x:row r="227" spans="1:19">
      <x:c r="A227" s="21">
        <x:v>3768</x:v>
      </x:c>
      <x:c r="B227" s="22" t="s">
        <x:v>82</x:v>
      </x:c>
      <x:c r="C227" s="22" t="s">
        <x:v>156</x:v>
      </x:c>
      <x:c r="D227" s="22" t="s">
        <x:v>916</x:v>
      </x:c>
      <x:c r="E227" s="22" t="s">
        <x:v>742</x:v>
      </x:c>
      <x:c r="F227" s="22" t="s">
        <x:v>285</x:v>
      </x:c>
      <x:c r="G227" s="22">
        <x:v>2</x:v>
      </x:c>
      <x:c r="H227" s="23">
        <x:v>0</x:v>
      </x:c>
      <x:c r="I227" s="23">
        <x:v>3442716905</x:v>
      </x:c>
      <x:c r="J227" s="23">
        <x:f>H227-I227</x:f>
      </x:c>
      <x:c r="K227" s="22">
        <x:v>3</x:v>
      </x:c>
      <x:c r="L227" s="24" t="s">
        <x:v>675</x:v>
      </x:c>
      <x:c r="M227" s="24">
        <x:v>3772</x:v>
      </x:c>
      <x:c r="N227" s="27" t="s">
        <x:v>675</x:v>
      </x:c>
      <x:c r="O227" s="27">
        <x:v>3772</x:v>
      </x:c>
      <x:c r="P227" s="26"/>
      <x:c r="Q227" s="27"/>
      <x:c r="R227" s="22">
        <x:f>IF(N227="","تکمیل نشده",IF(N227="ادغام با تفصیلی دیگر",IF(O227="","کلید مقصد خالی است",IF(IFERROR(MATCH(O227*1,$A:$A,0),0)=0,"کلید مقصد در این فهرست نیست",IF(O227*1=A227,"ادغام با خودش","OK"))),"OK"))</x:f>
      </x:c>
      <x:c r="S227" s="28"/>
    </x:row>
    <x:row r="228" spans="1:19">
      <x:c r="A228" s="21">
        <x:v>3664</x:v>
      </x:c>
      <x:c r="B228" s="22" t="s">
        <x:v>82</x:v>
      </x:c>
      <x:c r="C228" s="22" t="s">
        <x:v>156</x:v>
      </x:c>
      <x:c r="D228" s="22" t="s">
        <x:v>917</x:v>
      </x:c>
      <x:c r="E228" s="22" t="s">
        <x:v>918</x:v>
      </x:c>
      <x:c r="F228" s="22" t="s">
        <x:v>285</x:v>
      </x:c>
      <x:c r="G228" s="22">
        <x:v>2</x:v>
      </x:c>
      <x:c r="H228" s="23">
        <x:v>0</x:v>
      </x:c>
      <x:c r="I228" s="23">
        <x:v>3759179865</x:v>
      </x:c>
      <x:c r="J228" s="23">
        <x:f>H228-I228</x:f>
      </x:c>
      <x:c r="K228" s="22">
        <x:v>2</x:v>
      </x:c>
      <x:c r="L228" s="24" t="s">
        <x:v>623</x:v>
      </x:c>
      <x:c r="M228" s="24"/>
      <x:c r="N228" s="27" t="s">
        <x:v>623</x:v>
      </x:c>
      <x:c r="O228" s="27"/>
      <x:c r="P228" s="26"/>
      <x:c r="Q228" s="27"/>
      <x:c r="R228" s="22">
        <x:f>IF(N228="","تکمیل نشده",IF(N228="ادغام با تفصیلی دیگر",IF(O228="","کلید مقصد خالی است",IF(IFERROR(MATCH(O228*1,$A:$A,0),0)=0,"کلید مقصد در این فهرست نیست",IF(O228*1=A228,"ادغام با خودش","OK"))),"OK"))</x:f>
      </x:c>
      <x:c r="S228" s="28"/>
    </x:row>
    <x:row r="229" spans="1:19">
      <x:c r="A229" s="21">
        <x:v>3701</x:v>
      </x:c>
      <x:c r="B229" s="22" t="s">
        <x:v>82</x:v>
      </x:c>
      <x:c r="C229" s="22" t="s">
        <x:v>156</x:v>
      </x:c>
      <x:c r="D229" s="22" t="s">
        <x:v>919</x:v>
      </x:c>
      <x:c r="E229" s="22" t="s">
        <x:v>920</x:v>
      </x:c>
      <x:c r="F229" s="22" t="s">
        <x:v>285</x:v>
      </x:c>
      <x:c r="G229" s="22">
        <x:v>2</x:v>
      </x:c>
      <x:c r="H229" s="23">
        <x:v>1201167706</x:v>
      </x:c>
      <x:c r="I229" s="23">
        <x:v>1201167706</x:v>
      </x:c>
      <x:c r="J229" s="23">
        <x:f>H229-I229</x:f>
      </x:c>
      <x:c r="K229" s="22">
        <x:v>2</x:v>
      </x:c>
      <x:c r="L229" s="24" t="s">
        <x:v>623</x:v>
      </x:c>
      <x:c r="M229" s="24"/>
      <x:c r="N229" s="27" t="s">
        <x:v>623</x:v>
      </x:c>
      <x:c r="O229" s="27"/>
      <x:c r="P229" s="26"/>
      <x:c r="Q229" s="27"/>
      <x:c r="R229" s="22">
        <x:f>IF(N229="","تکمیل نشده",IF(N229="ادغام با تفصیلی دیگر",IF(O229="","کلید مقصد خالی است",IF(IFERROR(MATCH(O229*1,$A:$A,0),0)=0,"کلید مقصد در این فهرست نیست",IF(O229*1=A229,"ادغام با خودش","OK"))),"OK"))</x:f>
      </x:c>
      <x:c r="S229" s="28"/>
    </x:row>
    <x:row r="230" spans="1:19">
      <x:c r="A230" s="21">
        <x:v>2479</x:v>
      </x:c>
      <x:c r="B230" s="22" t="s">
        <x:v>82</x:v>
      </x:c>
      <x:c r="C230" s="22" t="s">
        <x:v>156</x:v>
      </x:c>
      <x:c r="D230" s="22" t="s">
        <x:v>921</x:v>
      </x:c>
      <x:c r="E230" s="22" t="s">
        <x:v>922</x:v>
      </x:c>
      <x:c r="F230" s="22" t="s">
        <x:v>285</x:v>
      </x:c>
      <x:c r="G230" s="22">
        <x:v>5</x:v>
      </x:c>
      <x:c r="H230" s="23">
        <x:v>2587201400</x:v>
      </x:c>
      <x:c r="I230" s="23">
        <x:v>646800350</x:v>
      </x:c>
      <x:c r="J230" s="23">
        <x:f>H230-I230</x:f>
      </x:c>
      <x:c r="K230" s="22">
        <x:v>2</x:v>
      </x:c>
      <x:c r="L230" s="24" t="s">
        <x:v>623</x:v>
      </x:c>
      <x:c r="M230" s="24"/>
      <x:c r="N230" s="27" t="s">
        <x:v>623</x:v>
      </x:c>
      <x:c r="O230" s="27"/>
      <x:c r="P230" s="26"/>
      <x:c r="Q230" s="27"/>
      <x:c r="R230" s="22">
        <x:f>IF(N230="","تکمیل نشده",IF(N230="ادغام با تفصیلی دیگر",IF(O230="","کلید مقصد خالی است",IF(IFERROR(MATCH(O230*1,$A:$A,0),0)=0,"کلید مقصد در این فهرست نیست",IF(O230*1=A230,"ادغام با خودش","OK"))),"OK"))</x:f>
      </x:c>
      <x:c r="S230" s="28"/>
    </x:row>
    <x:row r="231" spans="1:19">
      <x:c r="A231" s="21">
        <x:v>2480</x:v>
      </x:c>
      <x:c r="B231" s="22" t="s">
        <x:v>82</x:v>
      </x:c>
      <x:c r="C231" s="22" t="s">
        <x:v>156</x:v>
      </x:c>
      <x:c r="D231" s="22" t="s">
        <x:v>923</x:v>
      </x:c>
      <x:c r="E231" s="22" t="s">
        <x:v>924</x:v>
      </x:c>
      <x:c r="F231" s="22" t="s">
        <x:v>285</x:v>
      </x:c>
      <x:c r="G231" s="22">
        <x:v>6</x:v>
      </x:c>
      <x:c r="H231" s="23">
        <x:v>14041638450</x:v>
      </x:c>
      <x:c r="I231" s="23">
        <x:v>2808327690</x:v>
      </x:c>
      <x:c r="J231" s="23">
        <x:f>H231-I231</x:f>
      </x:c>
      <x:c r="K231" s="22">
        <x:v>2</x:v>
      </x:c>
      <x:c r="L231" s="24" t="s">
        <x:v>623</x:v>
      </x:c>
      <x:c r="M231" s="24"/>
      <x:c r="N231" s="27" t="s">
        <x:v>623</x:v>
      </x:c>
      <x:c r="O231" s="27"/>
      <x:c r="P231" s="26"/>
      <x:c r="Q231" s="27"/>
      <x:c r="R231" s="22">
        <x:f>IF(N231="","تکمیل نشده",IF(N231="ادغام با تفصیلی دیگر",IF(O231="","کلید مقصد خالی است",IF(IFERROR(MATCH(O231*1,$A:$A,0),0)=0,"کلید مقصد در این فهرست نیست",IF(O231*1=A231,"ادغام با خودش","OK"))),"OK"))</x:f>
      </x:c>
      <x:c r="S231" s="28"/>
    </x:row>
    <x:row r="232" spans="1:19">
      <x:c r="A232" s="21">
        <x:v>2481</x:v>
      </x:c>
      <x:c r="B232" s="22" t="s">
        <x:v>82</x:v>
      </x:c>
      <x:c r="C232" s="22" t="s">
        <x:v>156</x:v>
      </x:c>
      <x:c r="D232" s="22" t="s">
        <x:v>925</x:v>
      </x:c>
      <x:c r="E232" s="22" t="s">
        <x:v>926</x:v>
      </x:c>
      <x:c r="F232" s="22" t="s">
        <x:v>285</x:v>
      </x:c>
      <x:c r="G232" s="22">
        <x:v>6</x:v>
      </x:c>
      <x:c r="H232" s="23">
        <x:v>9096750242</x:v>
      </x:c>
      <x:c r="I232" s="23">
        <x:v>2139678240</x:v>
      </x:c>
      <x:c r="J232" s="23">
        <x:f>H232-I232</x:f>
      </x:c>
      <x:c r="K232" s="22">
        <x:v>2</x:v>
      </x:c>
      <x:c r="L232" s="24" t="s">
        <x:v>623</x:v>
      </x:c>
      <x:c r="M232" s="24"/>
      <x:c r="N232" s="27" t="s">
        <x:v>623</x:v>
      </x:c>
      <x:c r="O232" s="27"/>
      <x:c r="P232" s="26"/>
      <x:c r="Q232" s="27"/>
      <x:c r="R232" s="22">
        <x:f>IF(N232="","تکمیل نشده",IF(N232="ادغام با تفصیلی دیگر",IF(O232="","کلید مقصد خالی است",IF(IFERROR(MATCH(O232*1,$A:$A,0),0)=0,"کلید مقصد در این فهرست نیست",IF(O232*1=A232,"ادغام با خودش","OK"))),"OK"))</x:f>
      </x:c>
      <x:c r="S232" s="28"/>
    </x:row>
    <x:row r="233" spans="1:19">
      <x:c r="A233" s="21">
        <x:v>2483</x:v>
      </x:c>
      <x:c r="B233" s="22" t="s">
        <x:v>82</x:v>
      </x:c>
      <x:c r="C233" s="22" t="s">
        <x:v>156</x:v>
      </x:c>
      <x:c r="D233" s="22" t="s">
        <x:v>927</x:v>
      </x:c>
      <x:c r="E233" s="22" t="s">
        <x:v>928</x:v>
      </x:c>
      <x:c r="F233" s="22" t="s">
        <x:v>285</x:v>
      </x:c>
      <x:c r="G233" s="22">
        <x:v>6</x:v>
      </x:c>
      <x:c r="H233" s="23">
        <x:v>11198795870</x:v>
      </x:c>
      <x:c r="I233" s="23">
        <x:v>2239759174</x:v>
      </x:c>
      <x:c r="J233" s="23">
        <x:f>H233-I233</x:f>
      </x:c>
      <x:c r="K233" s="22">
        <x:v>3</x:v>
      </x:c>
      <x:c r="L233" s="24" t="s">
        <x:v>675</x:v>
      </x:c>
      <x:c r="M233" s="24">
        <x:v>1551</x:v>
      </x:c>
      <x:c r="N233" s="27" t="s">
        <x:v>675</x:v>
      </x:c>
      <x:c r="O233" s="27">
        <x:v>1551</x:v>
      </x:c>
      <x:c r="P233" s="26"/>
      <x:c r="Q233" s="27"/>
      <x:c r="R233" s="22">
        <x:f>IF(N233="","تکمیل نشده",IF(N233="ادغام با تفصیلی دیگر",IF(O233="","کلید مقصد خالی است",IF(IFERROR(MATCH(O233*1,$A:$A,0),0)=0,"کلید مقصد در این فهرست نیست",IF(O233*1=A233,"ادغام با خودش","OK"))),"OK"))</x:f>
      </x:c>
      <x:c r="S233" s="28"/>
    </x:row>
    <x:row r="234" spans="1:19">
      <x:c r="A234" s="21">
        <x:v>2484</x:v>
      </x:c>
      <x:c r="B234" s="22" t="s">
        <x:v>82</x:v>
      </x:c>
      <x:c r="C234" s="22" t="s">
        <x:v>156</x:v>
      </x:c>
      <x:c r="D234" s="22" t="s">
        <x:v>929</x:v>
      </x:c>
      <x:c r="E234" s="22" t="s">
        <x:v>930</x:v>
      </x:c>
      <x:c r="F234" s="22" t="s">
        <x:v>285</x:v>
      </x:c>
      <x:c r="G234" s="22">
        <x:v>6</x:v>
      </x:c>
      <x:c r="H234" s="23">
        <x:v>11839463514</x:v>
      </x:c>
      <x:c r="I234" s="23">
        <x:v>2741462745</x:v>
      </x:c>
      <x:c r="J234" s="23">
        <x:f>H234-I234</x:f>
      </x:c>
      <x:c r="K234" s="22">
        <x:v>2</x:v>
      </x:c>
      <x:c r="L234" s="24" t="s">
        <x:v>623</x:v>
      </x:c>
      <x:c r="M234" s="24"/>
      <x:c r="N234" s="27" t="s">
        <x:v>623</x:v>
      </x:c>
      <x:c r="O234" s="27"/>
      <x:c r="P234" s="26"/>
      <x:c r="Q234" s="27"/>
      <x:c r="R234" s="22">
        <x:f>IF(N234="","تکمیل نشده",IF(N234="ادغام با تفصیلی دیگر",IF(O234="","کلید مقصد خالی است",IF(IFERROR(MATCH(O234*1,$A:$A,0),0)=0,"کلید مقصد در این فهرست نیست",IF(O234*1=A234,"ادغام با خودش","OK"))),"OK"))</x:f>
      </x:c>
      <x:c r="S234" s="28"/>
    </x:row>
    <x:row r="235" spans="1:19">
      <x:c r="A235" s="21">
        <x:v>2485</x:v>
      </x:c>
      <x:c r="B235" s="22" t="s">
        <x:v>82</x:v>
      </x:c>
      <x:c r="C235" s="22" t="s">
        <x:v>156</x:v>
      </x:c>
      <x:c r="D235" s="22" t="s">
        <x:v>931</x:v>
      </x:c>
      <x:c r="E235" s="22" t="s">
        <x:v>932</x:v>
      </x:c>
      <x:c r="F235" s="22" t="s">
        <x:v>285</x:v>
      </x:c>
      <x:c r="G235" s="22">
        <x:v>6</x:v>
      </x:c>
      <x:c r="H235" s="23">
        <x:v>11701365375</x:v>
      </x:c>
      <x:c r="I235" s="23">
        <x:v>2340273075</x:v>
      </x:c>
      <x:c r="J235" s="23">
        <x:f>H235-I235</x:f>
      </x:c>
      <x:c r="K235" s="22">
        <x:v>2</x:v>
      </x:c>
      <x:c r="L235" s="24" t="s">
        <x:v>623</x:v>
      </x:c>
      <x:c r="M235" s="24"/>
      <x:c r="N235" s="27" t="s">
        <x:v>623</x:v>
      </x:c>
      <x:c r="O235" s="27"/>
      <x:c r="P235" s="26"/>
      <x:c r="Q235" s="27"/>
      <x:c r="R235" s="22">
        <x:f>IF(N235="","تکمیل نشده",IF(N235="ادغام با تفصیلی دیگر",IF(O235="","کلید مقصد خالی است",IF(IFERROR(MATCH(O235*1,$A:$A,0),0)=0,"کلید مقصد در این فهرست نیست",IF(O235*1=A235,"ادغام با خودش","OK"))),"OK"))</x:f>
      </x:c>
      <x:c r="S235" s="28"/>
    </x:row>
    <x:row r="236" spans="1:19">
      <x:c r="A236" s="21">
        <x:v>2486</x:v>
      </x:c>
      <x:c r="B236" s="22" t="s">
        <x:v>82</x:v>
      </x:c>
      <x:c r="C236" s="22" t="s">
        <x:v>156</x:v>
      </x:c>
      <x:c r="D236" s="22" t="s">
        <x:v>933</x:v>
      </x:c>
      <x:c r="E236" s="22" t="s">
        <x:v>816</x:v>
      </x:c>
      <x:c r="F236" s="22" t="s">
        <x:v>285</x:v>
      </x:c>
      <x:c r="G236" s="22">
        <x:v>6</x:v>
      </x:c>
      <x:c r="H236" s="23">
        <x:v>6903671950</x:v>
      </x:c>
      <x:c r="I236" s="23">
        <x:v>1380734390</x:v>
      </x:c>
      <x:c r="J236" s="23">
        <x:f>H236-I236</x:f>
      </x:c>
      <x:c r="K236" s="22">
        <x:v>2</x:v>
      </x:c>
      <x:c r="L236" s="24" t="s">
        <x:v>675</x:v>
      </x:c>
      <x:c r="M236" s="24">
        <x:v>3645</x:v>
      </x:c>
      <x:c r="N236" s="27" t="s">
        <x:v>675</x:v>
      </x:c>
      <x:c r="O236" s="27">
        <x:v>3645</x:v>
      </x:c>
      <x:c r="P236" s="26"/>
      <x:c r="Q236" s="27"/>
      <x:c r="R236" s="22">
        <x:f>IF(N236="","تکمیل نشده",IF(N236="ادغام با تفصیلی دیگر",IF(O236="","کلید مقصد خالی است",IF(IFERROR(MATCH(O236*1,$A:$A,0),0)=0,"کلید مقصد در این فهرست نیست",IF(O236*1=A236,"ادغام با خودش","OK"))),"OK"))</x:f>
      </x:c>
      <x:c r="S236" s="28"/>
    </x:row>
    <x:row r="237" spans="1:19">
      <x:c r="A237" s="21">
        <x:v>2487</x:v>
      </x:c>
      <x:c r="B237" s="22" t="s">
        <x:v>82</x:v>
      </x:c>
      <x:c r="C237" s="22" t="s">
        <x:v>156</x:v>
      </x:c>
      <x:c r="D237" s="22" t="s">
        <x:v>934</x:v>
      </x:c>
      <x:c r="E237" s="22" t="s">
        <x:v>935</x:v>
      </x:c>
      <x:c r="F237" s="22" t="s">
        <x:v>285</x:v>
      </x:c>
      <x:c r="G237" s="22">
        <x:v>6</x:v>
      </x:c>
      <x:c r="H237" s="23">
        <x:v>9741927625</x:v>
      </x:c>
      <x:c r="I237" s="23">
        <x:v>2161966555</x:v>
      </x:c>
      <x:c r="J237" s="23">
        <x:f>H237-I237</x:f>
      </x:c>
      <x:c r="K237" s="22">
        <x:v>2</x:v>
      </x:c>
      <x:c r="L237" s="24" t="s">
        <x:v>623</x:v>
      </x:c>
      <x:c r="M237" s="24"/>
      <x:c r="N237" s="27" t="s">
        <x:v>623</x:v>
      </x:c>
      <x:c r="O237" s="27"/>
      <x:c r="P237" s="26"/>
      <x:c r="Q237" s="27"/>
      <x:c r="R237" s="22">
        <x:f>IF(N237="","تکمیل نشده",IF(N237="ادغام با تفصیلی دیگر",IF(O237="","کلید مقصد خالی است",IF(IFERROR(MATCH(O237*1,$A:$A,0),0)=0,"کلید مقصد در این فهرست نیست",IF(O237*1=A237,"ادغام با خودش","OK"))),"OK"))</x:f>
      </x:c>
      <x:c r="S237" s="28"/>
    </x:row>
    <x:row r="238" spans="1:19">
      <x:c r="A238" s="21">
        <x:v>2488</x:v>
      </x:c>
      <x:c r="B238" s="22" t="s">
        <x:v>82</x:v>
      </x:c>
      <x:c r="C238" s="22" t="s">
        <x:v>156</x:v>
      </x:c>
      <x:c r="D238" s="22" t="s">
        <x:v>936</x:v>
      </x:c>
      <x:c r="E238" s="22" t="s">
        <x:v>937</x:v>
      </x:c>
      <x:c r="F238" s="22" t="s">
        <x:v>285</x:v>
      </x:c>
      <x:c r="G238" s="22">
        <x:v>6</x:v>
      </x:c>
      <x:c r="H238" s="23">
        <x:v>9583975452</x:v>
      </x:c>
      <x:c r="I238" s="23">
        <x:v>3214654276</x:v>
      </x:c>
      <x:c r="J238" s="23">
        <x:f>H238-I238</x:f>
      </x:c>
      <x:c r="K238" s="22">
        <x:v>2</x:v>
      </x:c>
      <x:c r="L238" s="24" t="s">
        <x:v>623</x:v>
      </x:c>
      <x:c r="M238" s="24"/>
      <x:c r="N238" s="27" t="s">
        <x:v>623</x:v>
      </x:c>
      <x:c r="O238" s="27"/>
      <x:c r="P238" s="26"/>
      <x:c r="Q238" s="27"/>
      <x:c r="R238" s="22">
        <x:f>IF(N238="","تکمیل نشده",IF(N238="ادغام با تفصیلی دیگر",IF(O238="","کلید مقصد خالی است",IF(IFERROR(MATCH(O238*1,$A:$A,0),0)=0,"کلید مقصد در این فهرست نیست",IF(O238*1=A238,"ادغام با خودش","OK"))),"OK"))</x:f>
      </x:c>
      <x:c r="S238" s="28"/>
    </x:row>
    <x:row r="239" spans="1:19">
      <x:c r="A239" s="21">
        <x:v>2489</x:v>
      </x:c>
      <x:c r="B239" s="22" t="s">
        <x:v>82</x:v>
      </x:c>
      <x:c r="C239" s="22" t="s">
        <x:v>156</x:v>
      </x:c>
      <x:c r="D239" s="22" t="s">
        <x:v>938</x:v>
      </x:c>
      <x:c r="E239" s="22" t="s">
        <x:v>757</x:v>
      </x:c>
      <x:c r="F239" s="22" t="s">
        <x:v>285</x:v>
      </x:c>
      <x:c r="G239" s="22">
        <x:v>6</x:v>
      </x:c>
      <x:c r="H239" s="23">
        <x:v>3636466890</x:v>
      </x:c>
      <x:c r="I239" s="23">
        <x:v>742527282</x:v>
      </x:c>
      <x:c r="J239" s="23">
        <x:f>H239-I239</x:f>
      </x:c>
      <x:c r="K239" s="22">
        <x:v>3</x:v>
      </x:c>
      <x:c r="L239" s="24" t="s">
        <x:v>675</x:v>
      </x:c>
      <x:c r="M239" s="24">
        <x:v>664</x:v>
      </x:c>
      <x:c r="N239" s="27" t="s">
        <x:v>675</x:v>
      </x:c>
      <x:c r="O239" s="27">
        <x:v>664</x:v>
      </x:c>
      <x:c r="P239" s="26"/>
      <x:c r="Q239" s="27"/>
      <x:c r="R239" s="22">
        <x:f>IF(N239="","تکمیل نشده",IF(N239="ادغام با تفصیلی دیگر",IF(O239="","کلید مقصد خالی است",IF(IFERROR(MATCH(O239*1,$A:$A,0),0)=0,"کلید مقصد در این فهرست نیست",IF(O239*1=A239,"ادغام با خودش","OK"))),"OK"))</x:f>
      </x:c>
      <x:c r="S239" s="28"/>
    </x:row>
    <x:row r="240" spans="1:19">
      <x:c r="A240" s="21">
        <x:v>2490</x:v>
      </x:c>
      <x:c r="B240" s="22" t="s">
        <x:v>82</x:v>
      </x:c>
      <x:c r="C240" s="22" t="s">
        <x:v>156</x:v>
      </x:c>
      <x:c r="D240" s="22" t="s">
        <x:v>939</x:v>
      </x:c>
      <x:c r="E240" s="22" t="s">
        <x:v>940</x:v>
      </x:c>
      <x:c r="F240" s="22" t="s">
        <x:v>285</x:v>
      </x:c>
      <x:c r="G240" s="22">
        <x:v>6</x:v>
      </x:c>
      <x:c r="H240" s="23">
        <x:v>12347726512</x:v>
      </x:c>
      <x:c r="I240" s="23">
        <x:v>3848505588</x:v>
      </x:c>
      <x:c r="J240" s="23">
        <x:f>H240-I240</x:f>
      </x:c>
      <x:c r="K240" s="22">
        <x:v>2</x:v>
      </x:c>
      <x:c r="L240" s="24" t="s">
        <x:v>623</x:v>
      </x:c>
      <x:c r="M240" s="24"/>
      <x:c r="N240" s="27" t="s">
        <x:v>623</x:v>
      </x:c>
      <x:c r="O240" s="27"/>
      <x:c r="P240" s="26"/>
      <x:c r="Q240" s="27"/>
      <x:c r="R240" s="22">
        <x:f>IF(N240="","تکمیل نشده",IF(N240="ادغام با تفصیلی دیگر",IF(O240="","کلید مقصد خالی است",IF(IFERROR(MATCH(O240*1,$A:$A,0),0)=0,"کلید مقصد در این فهرست نیست",IF(O240*1=A240,"ادغام با خودش","OK"))),"OK"))</x:f>
      </x:c>
      <x:c r="S240" s="28"/>
    </x:row>
    <x:row r="241" spans="1:19">
      <x:c r="A241" s="21">
        <x:v>3607</x:v>
      </x:c>
      <x:c r="B241" s="22" t="s">
        <x:v>82</x:v>
      </x:c>
      <x:c r="C241" s="22" t="s">
        <x:v>156</x:v>
      </x:c>
      <x:c r="D241" s="22" t="s">
        <x:v>941</x:v>
      </x:c>
      <x:c r="E241" s="22" t="s">
        <x:v>942</x:v>
      </x:c>
      <x:c r="F241" s="22" t="s">
        <x:v>285</x:v>
      </x:c>
      <x:c r="G241" s="22">
        <x:v>2</x:v>
      </x:c>
      <x:c r="H241" s="23">
        <x:v>0</x:v>
      </x:c>
      <x:c r="I241" s="23">
        <x:v>3067096725</x:v>
      </x:c>
      <x:c r="J241" s="23">
        <x:f>H241-I241</x:f>
      </x:c>
      <x:c r="K241" s="22">
        <x:v>2</x:v>
      </x:c>
      <x:c r="L241" s="24" t="s">
        <x:v>623</x:v>
      </x:c>
      <x:c r="M241" s="24"/>
      <x:c r="N241" s="27" t="s">
        <x:v>623</x:v>
      </x:c>
      <x:c r="O241" s="27"/>
      <x:c r="P241" s="26"/>
      <x:c r="Q241" s="27"/>
      <x:c r="R241" s="22">
        <x:f>IF(N241="","تکمیل نشده",IF(N241="ادغام با تفصیلی دیگر",IF(O241="","کلید مقصد خالی است",IF(IFERROR(MATCH(O241*1,$A:$A,0),0)=0,"کلید مقصد در این فهرست نیست",IF(O241*1=A241,"ادغام با خودش","OK"))),"OK"))</x:f>
      </x:c>
      <x:c r="S241" s="28"/>
    </x:row>
    <x:row r="242" spans="1:19">
      <x:c r="A242" s="21">
        <x:v>2492</x:v>
      </x:c>
      <x:c r="B242" s="22" t="s">
        <x:v>82</x:v>
      </x:c>
      <x:c r="C242" s="22" t="s">
        <x:v>156</x:v>
      </x:c>
      <x:c r="D242" s="22" t="s">
        <x:v>943</x:v>
      </x:c>
      <x:c r="E242" s="22" t="s">
        <x:v>944</x:v>
      </x:c>
      <x:c r="F242" s="22" t="s">
        <x:v>285</x:v>
      </x:c>
      <x:c r="G242" s="22">
        <x:v>6</x:v>
      </x:c>
      <x:c r="H242" s="23">
        <x:v>952407520</x:v>
      </x:c>
      <x:c r="I242" s="23">
        <x:v>857236809</x:v>
      </x:c>
      <x:c r="J242" s="23">
        <x:f>H242-I242</x:f>
      </x:c>
      <x:c r="K242" s="22">
        <x:v>2</x:v>
      </x:c>
      <x:c r="L242" s="24" t="s">
        <x:v>623</x:v>
      </x:c>
      <x:c r="M242" s="24"/>
      <x:c r="N242" s="27" t="s">
        <x:v>623</x:v>
      </x:c>
      <x:c r="O242" s="27"/>
      <x:c r="P242" s="26"/>
      <x:c r="Q242" s="27"/>
      <x:c r="R242" s="22">
        <x:f>IF(N242="","تکمیل نشده",IF(N242="ادغام با تفصیلی دیگر",IF(O242="","کلید مقصد خالی است",IF(IFERROR(MATCH(O242*1,$A:$A,0),0)=0,"کلید مقصد در این فهرست نیست",IF(O242*1=A242,"ادغام با خودش","OK"))),"OK"))</x:f>
      </x:c>
      <x:c r="S242" s="28"/>
    </x:row>
    <x:row r="243" spans="1:19">
      <x:c r="A243" s="21">
        <x:v>3819</x:v>
      </x:c>
      <x:c r="B243" s="22" t="s">
        <x:v>82</x:v>
      </x:c>
      <x:c r="C243" s="22" t="s">
        <x:v>156</x:v>
      </x:c>
      <x:c r="D243" s="22" t="s">
        <x:v>945</x:v>
      </x:c>
      <x:c r="E243" s="22" t="s">
        <x:v>759</x:v>
      </x:c>
      <x:c r="F243" s="22" t="s">
        <x:v>285</x:v>
      </x:c>
      <x:c r="G243" s="22">
        <x:v>2</x:v>
      </x:c>
      <x:c r="H243" s="23">
        <x:v>0</x:v>
      </x:c>
      <x:c r="I243" s="23">
        <x:v>2008670033</x:v>
      </x:c>
      <x:c r="J243" s="23">
        <x:f>H243-I243</x:f>
      </x:c>
      <x:c r="K243" s="22">
        <x:v>3</x:v>
      </x:c>
      <x:c r="L243" s="24" t="s">
        <x:v>675</x:v>
      </x:c>
      <x:c r="M243" s="24">
        <x:v>3818</x:v>
      </x:c>
      <x:c r="N243" s="27" t="s">
        <x:v>675</x:v>
      </x:c>
      <x:c r="O243" s="27">
        <x:v>3818</x:v>
      </x:c>
      <x:c r="P243" s="26"/>
      <x:c r="Q243" s="27"/>
      <x:c r="R243" s="22">
        <x:f>IF(N243="","تکمیل نشده",IF(N243="ادغام با تفصیلی دیگر",IF(O243="","کلید مقصد خالی است",IF(IFERROR(MATCH(O243*1,$A:$A,0),0)=0,"کلید مقصد در این فهرست نیست",IF(O243*1=A243,"ادغام با خودش","OK"))),"OK"))</x:f>
      </x:c>
      <x:c r="S243" s="28"/>
    </x:row>
    <x:row r="244" spans="1:19">
      <x:c r="A244" s="21">
        <x:v>3603</x:v>
      </x:c>
      <x:c r="B244" s="22" t="s">
        <x:v>82</x:v>
      </x:c>
      <x:c r="C244" s="22" t="s">
        <x:v>156</x:v>
      </x:c>
      <x:c r="D244" s="22" t="s">
        <x:v>946</x:v>
      </x:c>
      <x:c r="E244" s="22" t="s">
        <x:v>947</x:v>
      </x:c>
      <x:c r="F244" s="22" t="s">
        <x:v>285</x:v>
      </x:c>
      <x:c r="G244" s="22">
        <x:v>2</x:v>
      </x:c>
      <x:c r="H244" s="23">
        <x:v>0</x:v>
      </x:c>
      <x:c r="I244" s="23">
        <x:v>2943173625</x:v>
      </x:c>
      <x:c r="J244" s="23">
        <x:f>H244-I244</x:f>
      </x:c>
      <x:c r="K244" s="22">
        <x:v>2</x:v>
      </x:c>
      <x:c r="L244" s="24" t="s">
        <x:v>623</x:v>
      </x:c>
      <x:c r="M244" s="24"/>
      <x:c r="N244" s="27" t="s">
        <x:v>623</x:v>
      </x:c>
      <x:c r="O244" s="27"/>
      <x:c r="P244" s="26"/>
      <x:c r="Q244" s="27"/>
      <x:c r="R244" s="22">
        <x:f>IF(N244="","تکمیل نشده",IF(N244="ادغام با تفصیلی دیگر",IF(O244="","کلید مقصد خالی است",IF(IFERROR(MATCH(O244*1,$A:$A,0),0)=0,"کلید مقصد در این فهرست نیست",IF(O244*1=A244,"ادغام با خودش","OK"))),"OK"))</x:f>
      </x:c>
      <x:c r="S244" s="28"/>
    </x:row>
    <x:row r="245" spans="1:19">
      <x:c r="A245" s="21">
        <x:v>2493</x:v>
      </x:c>
      <x:c r="B245" s="22" t="s">
        <x:v>82</x:v>
      </x:c>
      <x:c r="C245" s="22" t="s">
        <x:v>156</x:v>
      </x:c>
      <x:c r="D245" s="22" t="s">
        <x:v>948</x:v>
      </x:c>
      <x:c r="E245" s="22" t="s">
        <x:v>949</x:v>
      </x:c>
      <x:c r="F245" s="22" t="s">
        <x:v>285</x:v>
      </x:c>
      <x:c r="G245" s="22">
        <x:v>6</x:v>
      </x:c>
      <x:c r="H245" s="23">
        <x:v>8304394400</x:v>
      </x:c>
      <x:c r="I245" s="23">
        <x:v>3167685360</x:v>
      </x:c>
      <x:c r="J245" s="23">
        <x:f>H245-I245</x:f>
      </x:c>
      <x:c r="K245" s="22">
        <x:v>2</x:v>
      </x:c>
      <x:c r="L245" s="24" t="s">
        <x:v>623</x:v>
      </x:c>
      <x:c r="M245" s="24"/>
      <x:c r="N245" s="27" t="s">
        <x:v>623</x:v>
      </x:c>
      <x:c r="O245" s="27"/>
      <x:c r="P245" s="26"/>
      <x:c r="Q245" s="27"/>
      <x:c r="R245" s="22">
        <x:f>IF(N245="","تکمیل نشده",IF(N245="ادغام با تفصیلی دیگر",IF(O245="","کلید مقصد خالی است",IF(IFERROR(MATCH(O245*1,$A:$A,0),0)=0,"کلید مقصد در این فهرست نیست",IF(O245*1=A245,"ادغام با خودش","OK"))),"OK"))</x:f>
      </x:c>
      <x:c r="S245" s="28"/>
    </x:row>
    <x:row r="246" spans="1:19">
      <x:c r="A246" s="21">
        <x:v>3704</x:v>
      </x:c>
      <x:c r="B246" s="22" t="s">
        <x:v>82</x:v>
      </x:c>
      <x:c r="C246" s="22" t="s">
        <x:v>156</x:v>
      </x:c>
      <x:c r="D246" s="22" t="s">
        <x:v>950</x:v>
      </x:c>
      <x:c r="E246" s="22" t="s">
        <x:v>951</x:v>
      </x:c>
      <x:c r="F246" s="22" t="s">
        <x:v>285</x:v>
      </x:c>
      <x:c r="G246" s="22">
        <x:v>2</x:v>
      </x:c>
      <x:c r="H246" s="23">
        <x:v>0</x:v>
      </x:c>
      <x:c r="I246" s="23">
        <x:v>3160039050</x:v>
      </x:c>
      <x:c r="J246" s="23">
        <x:f>H246-I246</x:f>
      </x:c>
      <x:c r="K246" s="22">
        <x:v>2</x:v>
      </x:c>
      <x:c r="L246" s="24" t="s">
        <x:v>623</x:v>
      </x:c>
      <x:c r="M246" s="24"/>
      <x:c r="N246" s="27" t="s">
        <x:v>623</x:v>
      </x:c>
      <x:c r="O246" s="27"/>
      <x:c r="P246" s="26"/>
      <x:c r="Q246" s="27"/>
      <x:c r="R246" s="22">
        <x:f>IF(N246="","تکمیل نشده",IF(N246="ادغام با تفصیلی دیگر",IF(O246="","کلید مقصد خالی است",IF(IFERROR(MATCH(O246*1,$A:$A,0),0)=0,"کلید مقصد در این فهرست نیست",IF(O246*1=A246,"ادغام با خودش","OK"))),"OK"))</x:f>
      </x:c>
      <x:c r="S246" s="28"/>
    </x:row>
    <x:row r="247" spans="1:19">
      <x:c r="A247" s="21">
        <x:v>2494</x:v>
      </x:c>
      <x:c r="B247" s="22" t="s">
        <x:v>82</x:v>
      </x:c>
      <x:c r="C247" s="22" t="s">
        <x:v>156</x:v>
      </x:c>
      <x:c r="D247" s="22" t="s">
        <x:v>952</x:v>
      </x:c>
      <x:c r="E247" s="22" t="s">
        <x:v>818</x:v>
      </x:c>
      <x:c r="F247" s="22" t="s">
        <x:v>285</x:v>
      </x:c>
      <x:c r="G247" s="22">
        <x:v>6</x:v>
      </x:c>
      <x:c r="H247" s="23">
        <x:v>13428709790</x:v>
      </x:c>
      <x:c r="I247" s="23">
        <x:v>2685741958</x:v>
      </x:c>
      <x:c r="J247" s="23">
        <x:f>H247-I247</x:f>
      </x:c>
      <x:c r="K247" s="22">
        <x:v>4</x:v>
      </x:c>
      <x:c r="L247" s="24" t="s">
        <x:v>675</x:v>
      </x:c>
      <x:c r="M247" s="24">
        <x:v>576</x:v>
      </x:c>
      <x:c r="N247" s="27" t="s">
        <x:v>675</x:v>
      </x:c>
      <x:c r="O247" s="27">
        <x:v>576</x:v>
      </x:c>
      <x:c r="P247" s="26"/>
      <x:c r="Q247" s="27"/>
      <x:c r="R247" s="22">
        <x:f>IF(N247="","تکمیل نشده",IF(N247="ادغام با تفصیلی دیگر",IF(O247="","کلید مقصد خالی است",IF(IFERROR(MATCH(O247*1,$A:$A,0),0)=0,"کلید مقصد در این فهرست نیست",IF(O247*1=A247,"ادغام با خودش","OK"))),"OK"))</x:f>
      </x:c>
      <x:c r="S247" s="28"/>
    </x:row>
    <x:row r="248" spans="1:19">
      <x:c r="A248" s="21">
        <x:v>2495</x:v>
      </x:c>
      <x:c r="B248" s="22" t="s">
        <x:v>82</x:v>
      </x:c>
      <x:c r="C248" s="22" t="s">
        <x:v>156</x:v>
      </x:c>
      <x:c r="D248" s="22" t="s">
        <x:v>953</x:v>
      </x:c>
      <x:c r="E248" s="22" t="s">
        <x:v>954</x:v>
      </x:c>
      <x:c r="F248" s="22" t="s">
        <x:v>285</x:v>
      </x:c>
      <x:c r="G248" s="22">
        <x:v>6</x:v>
      </x:c>
      <x:c r="H248" s="23">
        <x:v>11991113472</x:v>
      </x:c>
      <x:c r="I248" s="23">
        <x:v>3653394571</x:v>
      </x:c>
      <x:c r="J248" s="23">
        <x:f>H248-I248</x:f>
      </x:c>
      <x:c r="K248" s="22">
        <x:v>2</x:v>
      </x:c>
      <x:c r="L248" s="24" t="s">
        <x:v>623</x:v>
      </x:c>
      <x:c r="M248" s="24"/>
      <x:c r="N248" s="27" t="s">
        <x:v>623</x:v>
      </x:c>
      <x:c r="O248" s="27"/>
      <x:c r="P248" s="26"/>
      <x:c r="Q248" s="27"/>
      <x:c r="R248" s="22">
        <x:f>IF(N248="","تکمیل نشده",IF(N248="ادغام با تفصیلی دیگر",IF(O248="","کلید مقصد خالی است",IF(IFERROR(MATCH(O248*1,$A:$A,0),0)=0,"کلید مقصد در این فهرست نیست",IF(O248*1=A248,"ادغام با خودش","OK"))),"OK"))</x:f>
      </x:c>
      <x:c r="S248" s="28"/>
    </x:row>
    <x:row r="249" spans="1:19">
      <x:c r="A249" s="21">
        <x:v>2496</x:v>
      </x:c>
      <x:c r="B249" s="22" t="s">
        <x:v>82</x:v>
      </x:c>
      <x:c r="C249" s="22" t="s">
        <x:v>156</x:v>
      </x:c>
      <x:c r="D249" s="22" t="s">
        <x:v>955</x:v>
      </x:c>
      <x:c r="E249" s="22" t="s">
        <x:v>956</x:v>
      </x:c>
      <x:c r="F249" s="22" t="s">
        <x:v>285</x:v>
      </x:c>
      <x:c r="G249" s="22">
        <x:v>6</x:v>
      </x:c>
      <x:c r="H249" s="23">
        <x:v>9485079048</x:v>
      </x:c>
      <x:c r="I249" s="23">
        <x:v>2773946116</x:v>
      </x:c>
      <x:c r="J249" s="23">
        <x:f>H249-I249</x:f>
      </x:c>
      <x:c r="K249" s="22">
        <x:v>2</x:v>
      </x:c>
      <x:c r="L249" s="24" t="s">
        <x:v>623</x:v>
      </x:c>
      <x:c r="M249" s="24"/>
      <x:c r="N249" s="27" t="s">
        <x:v>623</x:v>
      </x:c>
      <x:c r="O249" s="27"/>
      <x:c r="P249" s="26"/>
      <x:c r="Q249" s="27"/>
      <x:c r="R249" s="22">
        <x:f>IF(N249="","تکمیل نشده",IF(N249="ادغام با تفصیلی دیگر",IF(O249="","کلید مقصد خالی است",IF(IFERROR(MATCH(O249*1,$A:$A,0),0)=0,"کلید مقصد در این فهرست نیست",IF(O249*1=A249,"ادغام با خودش","OK"))),"OK"))</x:f>
      </x:c>
      <x:c r="S249" s="28"/>
    </x:row>
    <x:row r="250" spans="1:19">
      <x:c r="A250" s="21">
        <x:v>2497</x:v>
      </x:c>
      <x:c r="B250" s="22" t="s">
        <x:v>82</x:v>
      </x:c>
      <x:c r="C250" s="22" t="s">
        <x:v>156</x:v>
      </x:c>
      <x:c r="D250" s="22" t="s">
        <x:v>957</x:v>
      </x:c>
      <x:c r="E250" s="22" t="s">
        <x:v>958</x:v>
      </x:c>
      <x:c r="F250" s="22" t="s">
        <x:v>285</x:v>
      </x:c>
      <x:c r="G250" s="22">
        <x:v>6</x:v>
      </x:c>
      <x:c r="H250" s="23">
        <x:v>5527502120</x:v>
      </x:c>
      <x:c r="I250" s="23">
        <x:v>1669082236</x:v>
      </x:c>
      <x:c r="J250" s="23">
        <x:f>H250-I250</x:f>
      </x:c>
      <x:c r="K250" s="22">
        <x:v>3</x:v>
      </x:c>
      <x:c r="L250" s="24" t="s">
        <x:v>675</x:v>
      </x:c>
      <x:c r="M250" s="24">
        <x:v>562</x:v>
      </x:c>
      <x:c r="N250" s="27" t="s">
        <x:v>675</x:v>
      </x:c>
      <x:c r="O250" s="27">
        <x:v>562</x:v>
      </x:c>
      <x:c r="P250" s="26"/>
      <x:c r="Q250" s="27"/>
      <x:c r="R250" s="22">
        <x:f>IF(N250="","تکمیل نشده",IF(N250="ادغام با تفصیلی دیگر",IF(O250="","کلید مقصد خالی است",IF(IFERROR(MATCH(O250*1,$A:$A,0),0)=0,"کلید مقصد در این فهرست نیست",IF(O250*1=A250,"ادغام با خودش","OK"))),"OK"))</x:f>
      </x:c>
      <x:c r="S250" s="28"/>
    </x:row>
    <x:row r="251" spans="1:19">
      <x:c r="A251" s="21">
        <x:v>2498</x:v>
      </x:c>
      <x:c r="B251" s="22" t="s">
        <x:v>82</x:v>
      </x:c>
      <x:c r="C251" s="22" t="s">
        <x:v>156</x:v>
      </x:c>
      <x:c r="D251" s="22" t="s">
        <x:v>959</x:v>
      </x:c>
      <x:c r="E251" s="22" t="s">
        <x:v>730</x:v>
      </x:c>
      <x:c r="F251" s="22" t="s">
        <x:v>285</x:v>
      </x:c>
      <x:c r="G251" s="22">
        <x:v>6</x:v>
      </x:c>
      <x:c r="H251" s="23">
        <x:v>10163471640</x:v>
      </x:c>
      <x:c r="I251" s="23">
        <x:v>3717693000</x:v>
      </x:c>
      <x:c r="J251" s="23">
        <x:f>H251-I251</x:f>
      </x:c>
      <x:c r="K251" s="22">
        <x:v>5</x:v>
      </x:c>
      <x:c r="L251" s="24" t="s">
        <x:v>675</x:v>
      </x:c>
      <x:c r="M251" s="24">
        <x:v>563</x:v>
      </x:c>
      <x:c r="N251" s="27" t="s">
        <x:v>675</x:v>
      </x:c>
      <x:c r="O251" s="27">
        <x:v>563</x:v>
      </x:c>
      <x:c r="P251" s="26"/>
      <x:c r="Q251" s="27"/>
      <x:c r="R251" s="22">
        <x:f>IF(N251="","تکمیل نشده",IF(N251="ادغام با تفصیلی دیگر",IF(O251="","کلید مقصد خالی است",IF(IFERROR(MATCH(O251*1,$A:$A,0),0)=0,"کلید مقصد در این فهرست نیست",IF(O251*1=A251,"ادغام با خودش","OK"))),"OK"))</x:f>
      </x:c>
      <x:c r="S251" s="28"/>
    </x:row>
    <x:row r="252" spans="1:19">
      <x:c r="A252" s="21">
        <x:v>2499</x:v>
      </x:c>
      <x:c r="B252" s="22" t="s">
        <x:v>82</x:v>
      </x:c>
      <x:c r="C252" s="22" t="s">
        <x:v>156</x:v>
      </x:c>
      <x:c r="D252" s="22" t="s">
        <x:v>960</x:v>
      </x:c>
      <x:c r="E252" s="22" t="s">
        <x:v>961</x:v>
      </x:c>
      <x:c r="F252" s="22" t="s">
        <x:v>285</x:v>
      </x:c>
      <x:c r="G252" s="22">
        <x:v>6</x:v>
      </x:c>
      <x:c r="H252" s="23">
        <x:v>6310503375</x:v>
      </x:c>
      <x:c r="I252" s="23">
        <x:v>1262100675</x:v>
      </x:c>
      <x:c r="J252" s="23">
        <x:f>H252-I252</x:f>
      </x:c>
      <x:c r="K252" s="22">
        <x:v>2</x:v>
      </x:c>
      <x:c r="L252" s="24" t="s">
        <x:v>623</x:v>
      </x:c>
      <x:c r="M252" s="24"/>
      <x:c r="N252" s="27" t="s">
        <x:v>623</x:v>
      </x:c>
      <x:c r="O252" s="27"/>
      <x:c r="P252" s="26"/>
      <x:c r="Q252" s="27"/>
      <x:c r="R252" s="22">
        <x:f>IF(N252="","تکمیل نشده",IF(N252="ادغام با تفصیلی دیگر",IF(O252="","کلید مقصد خالی است",IF(IFERROR(MATCH(O252*1,$A:$A,0),0)=0,"کلید مقصد در این فهرست نیست",IF(O252*1=A252,"ادغام با خودش","OK"))),"OK"))</x:f>
      </x:c>
      <x:c r="S252" s="28"/>
    </x:row>
    <x:row r="253" spans="1:19">
      <x:c r="A253" s="21">
        <x:v>3665</x:v>
      </x:c>
      <x:c r="B253" s="22" t="s">
        <x:v>82</x:v>
      </x:c>
      <x:c r="C253" s="22" t="s">
        <x:v>156</x:v>
      </x:c>
      <x:c r="D253" s="22" t="s">
        <x:v>962</x:v>
      </x:c>
      <x:c r="E253" s="22" t="s">
        <x:v>963</x:v>
      </x:c>
      <x:c r="F253" s="22" t="s">
        <x:v>285</x:v>
      </x:c>
      <x:c r="G253" s="22">
        <x:v>2</x:v>
      </x:c>
      <x:c r="H253" s="23">
        <x:v>0</x:v>
      </x:c>
      <x:c r="I253" s="23">
        <x:v>2425196342</x:v>
      </x:c>
      <x:c r="J253" s="23">
        <x:f>H253-I253</x:f>
      </x:c>
      <x:c r="K253" s="22">
        <x:v>2</x:v>
      </x:c>
      <x:c r="L253" s="24" t="s">
        <x:v>623</x:v>
      </x:c>
      <x:c r="M253" s="24"/>
      <x:c r="N253" s="27" t="s">
        <x:v>623</x:v>
      </x:c>
      <x:c r="O253" s="27"/>
      <x:c r="P253" s="26"/>
      <x:c r="Q253" s="27"/>
      <x:c r="R253" s="22">
        <x:f>IF(N253="","تکمیل نشده",IF(N253="ادغام با تفصیلی دیگر",IF(O253="","کلید مقصد خالی است",IF(IFERROR(MATCH(O253*1,$A:$A,0),0)=0,"کلید مقصد در این فهرست نیست",IF(O253*1=A253,"ادغام با خودش","OK"))),"OK"))</x:f>
      </x:c>
      <x:c r="S253" s="28"/>
    </x:row>
    <x:row r="254" spans="1:19">
      <x:c r="A254" s="21">
        <x:v>2500</x:v>
      </x:c>
      <x:c r="B254" s="22" t="s">
        <x:v>82</x:v>
      </x:c>
      <x:c r="C254" s="22" t="s">
        <x:v>156</x:v>
      </x:c>
      <x:c r="D254" s="22" t="s">
        <x:v>964</x:v>
      </x:c>
      <x:c r="E254" s="22" t="s">
        <x:v>965</x:v>
      </x:c>
      <x:c r="F254" s="22" t="s">
        <x:v>285</x:v>
      </x:c>
      <x:c r="G254" s="22">
        <x:v>6</x:v>
      </x:c>
      <x:c r="H254" s="23">
        <x:v>4571391959</x:v>
      </x:c>
      <x:c r="I254" s="23">
        <x:v>1089229847</x:v>
      </x:c>
      <x:c r="J254" s="23">
        <x:f>H254-I254</x:f>
      </x:c>
      <x:c r="K254" s="22">
        <x:v>3</x:v>
      </x:c>
      <x:c r="L254" s="24" t="s">
        <x:v>675</x:v>
      </x:c>
      <x:c r="M254" s="24">
        <x:v>1534</x:v>
      </x:c>
      <x:c r="N254" s="27" t="s">
        <x:v>675</x:v>
      </x:c>
      <x:c r="O254" s="27">
        <x:v>1534</x:v>
      </x:c>
      <x:c r="P254" s="26"/>
      <x:c r="Q254" s="27"/>
      <x:c r="R254" s="22">
        <x:f>IF(N254="","تکمیل نشده",IF(N254="ادغام با تفصیلی دیگر",IF(O254="","کلید مقصد خالی است",IF(IFERROR(MATCH(O254*1,$A:$A,0),0)=0,"کلید مقصد در این فهرست نیست",IF(O254*1=A254,"ادغام با خودش","OK"))),"OK"))</x:f>
      </x:c>
      <x:c r="S254" s="28"/>
    </x:row>
    <x:row r="255" spans="1:19">
      <x:c r="A255" s="21">
        <x:v>3661</x:v>
      </x:c>
      <x:c r="B255" s="22" t="s">
        <x:v>82</x:v>
      </x:c>
      <x:c r="C255" s="22" t="s">
        <x:v>156</x:v>
      </x:c>
      <x:c r="D255" s="22" t="s">
        <x:v>966</x:v>
      </x:c>
      <x:c r="E255" s="22" t="s">
        <x:v>740</x:v>
      </x:c>
      <x:c r="F255" s="22" t="s">
        <x:v>285</x:v>
      </x:c>
      <x:c r="G255" s="22">
        <x:v>2</x:v>
      </x:c>
      <x:c r="H255" s="23">
        <x:v>0</x:v>
      </x:c>
      <x:c r="I255" s="23">
        <x:v>1691167652</x:v>
      </x:c>
      <x:c r="J255" s="23">
        <x:f>H255-I255</x:f>
      </x:c>
      <x:c r="K255" s="22">
        <x:v>3</x:v>
      </x:c>
      <x:c r="L255" s="24" t="s">
        <x:v>675</x:v>
      </x:c>
      <x:c r="M255" s="24">
        <x:v>588</x:v>
      </x:c>
      <x:c r="N255" s="27" t="s">
        <x:v>675</x:v>
      </x:c>
      <x:c r="O255" s="27">
        <x:v>588</x:v>
      </x:c>
      <x:c r="P255" s="26"/>
      <x:c r="Q255" s="27"/>
      <x:c r="R255" s="22">
        <x:f>IF(N255="","تکمیل نشده",IF(N255="ادغام با تفصیلی دیگر",IF(O255="","کلید مقصد خالی است",IF(IFERROR(MATCH(O255*1,$A:$A,0),0)=0,"کلید مقصد در این فهرست نیست",IF(O255*1=A255,"ادغام با خودش","OK"))),"OK"))</x:f>
      </x:c>
      <x:c r="S255" s="28"/>
    </x:row>
    <x:row r="256" spans="1:19">
      <x:c r="A256" s="21">
        <x:v>2501</x:v>
      </x:c>
      <x:c r="B256" s="22" t="s">
        <x:v>82</x:v>
      </x:c>
      <x:c r="C256" s="22" t="s">
        <x:v>156</x:v>
      </x:c>
      <x:c r="D256" s="22" t="s">
        <x:v>967</x:v>
      </x:c>
      <x:c r="E256" s="22" t="s">
        <x:v>968</x:v>
      </x:c>
      <x:c r="F256" s="22" t="s">
        <x:v>285</x:v>
      </x:c>
      <x:c r="G256" s="22">
        <x:v>6</x:v>
      </x:c>
      <x:c r="H256" s="23">
        <x:v>6151574940</x:v>
      </x:c>
      <x:c r="I256" s="23">
        <x:v>2323558125</x:v>
      </x:c>
      <x:c r="J256" s="23">
        <x:f>H256-I256</x:f>
      </x:c>
      <x:c r="K256" s="22">
        <x:v>2</x:v>
      </x:c>
      <x:c r="L256" s="24" t="s">
        <x:v>623</x:v>
      </x:c>
      <x:c r="M256" s="24"/>
      <x:c r="N256" s="27" t="s">
        <x:v>623</x:v>
      </x:c>
      <x:c r="O256" s="27"/>
      <x:c r="P256" s="26"/>
      <x:c r="Q256" s="27"/>
      <x:c r="R256" s="22">
        <x:f>IF(N256="","تکمیل نشده",IF(N256="ادغام با تفصیلی دیگر",IF(O256="","کلید مقصد خالی است",IF(IFERROR(MATCH(O256*1,$A:$A,0),0)=0,"کلید مقصد در این فهرست نیست",IF(O256*1=A256,"ادغام با خودش","OK"))),"OK"))</x:f>
      </x:c>
      <x:c r="S256" s="28"/>
    </x:row>
    <x:row r="257" spans="1:19">
      <x:c r="A257" s="21">
        <x:v>2502</x:v>
      </x:c>
      <x:c r="B257" s="22" t="s">
        <x:v>82</x:v>
      </x:c>
      <x:c r="C257" s="22" t="s">
        <x:v>156</x:v>
      </x:c>
      <x:c r="D257" s="22" t="s">
        <x:v>969</x:v>
      </x:c>
      <x:c r="E257" s="22" t="s">
        <x:v>970</x:v>
      </x:c>
      <x:c r="F257" s="22" t="s">
        <x:v>285</x:v>
      </x:c>
      <x:c r="G257" s="22">
        <x:v>6</x:v>
      </x:c>
      <x:c r="H257" s="23">
        <x:v>8113835498</x:v>
      </x:c>
      <x:c r="I257" s="23">
        <x:v>1831119488</x:v>
      </x:c>
      <x:c r="J257" s="23">
        <x:f>H257-I257</x:f>
      </x:c>
      <x:c r="K257" s="22">
        <x:v>2</x:v>
      </x:c>
      <x:c r="L257" s="24" t="s">
        <x:v>623</x:v>
      </x:c>
      <x:c r="M257" s="24"/>
      <x:c r="N257" s="27" t="s">
        <x:v>623</x:v>
      </x:c>
      <x:c r="O257" s="27"/>
      <x:c r="P257" s="26"/>
      <x:c r="Q257" s="27"/>
      <x:c r="R257" s="22">
        <x:f>IF(N257="","تکمیل نشده",IF(N257="ادغام با تفصیلی دیگر",IF(O257="","کلید مقصد خالی است",IF(IFERROR(MATCH(O257*1,$A:$A,0),0)=0,"کلید مقصد در این فهرست نیست",IF(O257*1=A257,"ادغام با خودش","OK"))),"OK"))</x:f>
      </x:c>
      <x:c r="S257" s="28"/>
    </x:row>
    <x:row r="258" spans="1:19">
      <x:c r="A258" s="21">
        <x:v>2503</x:v>
      </x:c>
      <x:c r="B258" s="22" t="s">
        <x:v>82</x:v>
      </x:c>
      <x:c r="C258" s="22" t="s">
        <x:v>156</x:v>
      </x:c>
      <x:c r="D258" s="22" t="s">
        <x:v>971</x:v>
      </x:c>
      <x:c r="E258" s="22" t="s">
        <x:v>972</x:v>
      </x:c>
      <x:c r="F258" s="22" t="s">
        <x:v>285</x:v>
      </x:c>
      <x:c r="G258" s="22">
        <x:v>6</x:v>
      </x:c>
      <x:c r="H258" s="23">
        <x:v>2297682240</x:v>
      </x:c>
      <x:c r="I258" s="23">
        <x:v>459536448</x:v>
      </x:c>
      <x:c r="J258" s="23">
        <x:f>H258-I258</x:f>
      </x:c>
      <x:c r="K258" s="22">
        <x:v>2</x:v>
      </x:c>
      <x:c r="L258" s="24" t="s">
        <x:v>623</x:v>
      </x:c>
      <x:c r="M258" s="24"/>
      <x:c r="N258" s="27" t="s">
        <x:v>623</x:v>
      </x:c>
      <x:c r="O258" s="27"/>
      <x:c r="P258" s="26"/>
      <x:c r="Q258" s="27"/>
      <x:c r="R258" s="22">
        <x:f>IF(N258="","تکمیل نشده",IF(N258="ادغام با تفصیلی دیگر",IF(O258="","کلید مقصد خالی است",IF(IFERROR(MATCH(O258*1,$A:$A,0),0)=0,"کلید مقصد در این فهرست نیست",IF(O258*1=A258,"ادغام با خودش","OK"))),"OK"))</x:f>
      </x:c>
      <x:c r="S258" s="28"/>
    </x:row>
    <x:row r="259" spans="1:19">
      <x:c r="A259" s="21">
        <x:v>2504</x:v>
      </x:c>
      <x:c r="B259" s="22" t="s">
        <x:v>82</x:v>
      </x:c>
      <x:c r="C259" s="22" t="s">
        <x:v>156</x:v>
      </x:c>
      <x:c r="D259" s="22" t="s">
        <x:v>973</x:v>
      </x:c>
      <x:c r="E259" s="22" t="s">
        <x:v>974</x:v>
      </x:c>
      <x:c r="F259" s="22" t="s">
        <x:v>285</x:v>
      </x:c>
      <x:c r="G259" s="22">
        <x:v>6</x:v>
      </x:c>
      <x:c r="H259" s="23">
        <x:v>3048283980</x:v>
      </x:c>
      <x:c r="I259" s="23">
        <x:v>994222437</x:v>
      </x:c>
      <x:c r="J259" s="23">
        <x:f>H259-I259</x:f>
      </x:c>
      <x:c r="K259" s="22">
        <x:v>2</x:v>
      </x:c>
      <x:c r="L259" s="24" t="s">
        <x:v>623</x:v>
      </x:c>
      <x:c r="M259" s="24"/>
      <x:c r="N259" s="27" t="s">
        <x:v>623</x:v>
      </x:c>
      <x:c r="O259" s="27"/>
      <x:c r="P259" s="26"/>
      <x:c r="Q259" s="27"/>
      <x:c r="R259" s="22">
        <x:f>IF(N259="","تکمیل نشده",IF(N259="ادغام با تفصیلی دیگر",IF(O259="","کلید مقصد خالی است",IF(IFERROR(MATCH(O259*1,$A:$A,0),0)=0,"کلید مقصد در این فهرست نیست",IF(O259*1=A259,"ادغام با خودش","OK"))),"OK"))</x:f>
      </x:c>
      <x:c r="S259" s="28"/>
    </x:row>
    <x:row r="260" spans="1:19">
      <x:c r="A260" s="21">
        <x:v>2505</x:v>
      </x:c>
      <x:c r="B260" s="22" t="s">
        <x:v>82</x:v>
      </x:c>
      <x:c r="C260" s="22" t="s">
        <x:v>156</x:v>
      </x:c>
      <x:c r="D260" s="22" t="s">
        <x:v>975</x:v>
      </x:c>
      <x:c r="E260" s="22" t="s">
        <x:v>976</x:v>
      </x:c>
      <x:c r="F260" s="22" t="s">
        <x:v>285</x:v>
      </x:c>
      <x:c r="G260" s="22">
        <x:v>6</x:v>
      </x:c>
      <x:c r="H260" s="23">
        <x:v>5527502120</x:v>
      </x:c>
      <x:c r="I260" s="23">
        <x:v>1723856905</x:v>
      </x:c>
      <x:c r="J260" s="23">
        <x:f>H260-I260</x:f>
      </x:c>
      <x:c r="K260" s="22">
        <x:v>2</x:v>
      </x:c>
      <x:c r="L260" s="24" t="s">
        <x:v>623</x:v>
      </x:c>
      <x:c r="M260" s="24"/>
      <x:c r="N260" s="27" t="s">
        <x:v>623</x:v>
      </x:c>
      <x:c r="O260" s="27"/>
      <x:c r="P260" s="26"/>
      <x:c r="Q260" s="27"/>
      <x:c r="R260" s="22">
        <x:f>IF(N260="","تکمیل نشده",IF(N260="ادغام با تفصیلی دیگر",IF(O260="","کلید مقصد خالی است",IF(IFERROR(MATCH(O260*1,$A:$A,0),0)=0,"کلید مقصد در این فهرست نیست",IF(O260*1=A260,"ادغام با خودش","OK"))),"OK"))</x:f>
      </x:c>
      <x:c r="S260" s="28"/>
    </x:row>
    <x:row r="261" spans="1:19">
      <x:c r="A261" s="21">
        <x:v>2506</x:v>
      </x:c>
      <x:c r="B261" s="22" t="s">
        <x:v>82</x:v>
      </x:c>
      <x:c r="C261" s="22" t="s">
        <x:v>156</x:v>
      </x:c>
      <x:c r="D261" s="22" t="s">
        <x:v>977</x:v>
      </x:c>
      <x:c r="E261" s="22" t="s">
        <x:v>978</x:v>
      </x:c>
      <x:c r="F261" s="22" t="s">
        <x:v>285</x:v>
      </x:c>
      <x:c r="G261" s="22">
        <x:v>6</x:v>
      </x:c>
      <x:c r="H261" s="23">
        <x:v>8647866220</x:v>
      </x:c>
      <x:c r="I261" s="23">
        <x:v>3191019825</x:v>
      </x:c>
      <x:c r="J261" s="23">
        <x:f>H261-I261</x:f>
      </x:c>
      <x:c r="K261" s="22">
        <x:v>2</x:v>
      </x:c>
      <x:c r="L261" s="24" t="s">
        <x:v>623</x:v>
      </x:c>
      <x:c r="M261" s="24"/>
      <x:c r="N261" s="27" t="s">
        <x:v>623</x:v>
      </x:c>
      <x:c r="O261" s="27"/>
      <x:c r="P261" s="26"/>
      <x:c r="Q261" s="27"/>
      <x:c r="R261" s="22">
        <x:f>IF(N261="","تکمیل نشده",IF(N261="ادغام با تفصیلی دیگر",IF(O261="","کلید مقصد خالی است",IF(IFERROR(MATCH(O261*1,$A:$A,0),0)=0,"کلید مقصد در این فهرست نیست",IF(O261*1=A261,"ادغام با خودش","OK"))),"OK"))</x:f>
      </x:c>
      <x:c r="S261" s="28"/>
    </x:row>
    <x:row r="262" spans="1:19">
      <x:c r="A262" s="21">
        <x:v>2507</x:v>
      </x:c>
      <x:c r="B262" s="22" t="s">
        <x:v>82</x:v>
      </x:c>
      <x:c r="C262" s="22" t="s">
        <x:v>156</x:v>
      </x:c>
      <x:c r="D262" s="22" t="s">
        <x:v>979</x:v>
      </x:c>
      <x:c r="E262" s="22" t="s">
        <x:v>980</x:v>
      </x:c>
      <x:c r="F262" s="22" t="s">
        <x:v>285</x:v>
      </x:c>
      <x:c r="G262" s="22">
        <x:v>6</x:v>
      </x:c>
      <x:c r="H262" s="23">
        <x:v>8781596112</x:v>
      </x:c>
      <x:c r="I262" s="23">
        <x:v>3237490988</x:v>
      </x:c>
      <x:c r="J262" s="23">
        <x:f>H262-I262</x:f>
      </x:c>
      <x:c r="K262" s="22">
        <x:v>2</x:v>
      </x:c>
      <x:c r="L262" s="24" t="s">
        <x:v>623</x:v>
      </x:c>
      <x:c r="M262" s="24"/>
      <x:c r="N262" s="27" t="s">
        <x:v>623</x:v>
      </x:c>
      <x:c r="O262" s="27"/>
      <x:c r="P262" s="26"/>
      <x:c r="Q262" s="27"/>
      <x:c r="R262" s="22">
        <x:f>IF(N262="","تکمیل نشده",IF(N262="ادغام با تفصیلی دیگر",IF(O262="","کلید مقصد خالی است",IF(IFERROR(MATCH(O262*1,$A:$A,0),0)=0,"کلید مقصد در این فهرست نیست",IF(O262*1=A262,"ادغام با خودش","OK"))),"OK"))</x:f>
      </x:c>
      <x:c r="S262" s="28"/>
    </x:row>
    <x:row r="263" spans="1:19">
      <x:c r="A263" s="21">
        <x:v>2508</x:v>
      </x:c>
      <x:c r="B263" s="22" t="s">
        <x:v>82</x:v>
      </x:c>
      <x:c r="C263" s="22" t="s">
        <x:v>156</x:v>
      </x:c>
      <x:c r="D263" s="22" t="s">
        <x:v>981</x:v>
      </x:c>
      <x:c r="E263" s="22" t="s">
        <x:v>744</x:v>
      </x:c>
      <x:c r="F263" s="22" t="s">
        <x:v>285</x:v>
      </x:c>
      <x:c r="G263" s="22">
        <x:v>6</x:v>
      </x:c>
      <x:c r="H263" s="23">
        <x:v>13863331932</x:v>
      </x:c>
      <x:c r="I263" s="23">
        <x:v>4532229141</x:v>
      </x:c>
      <x:c r="J263" s="23">
        <x:f>H263-I263</x:f>
      </x:c>
      <x:c r="K263" s="22">
        <x:v>3</x:v>
      </x:c>
      <x:c r="L263" s="24" t="s">
        <x:v>675</x:v>
      </x:c>
      <x:c r="M263" s="24">
        <x:v>3842</x:v>
      </x:c>
      <x:c r="N263" s="27" t="s">
        <x:v>675</x:v>
      </x:c>
      <x:c r="O263" s="27">
        <x:v>3842</x:v>
      </x:c>
      <x:c r="P263" s="26"/>
      <x:c r="Q263" s="27"/>
      <x:c r="R263" s="22">
        <x:f>IF(N263="","تکمیل نشده",IF(N263="ادغام با تفصیلی دیگر",IF(O263="","کلید مقصد خالی است",IF(IFERROR(MATCH(O263*1,$A:$A,0),0)=0,"کلید مقصد در این فهرست نیست",IF(O263*1=A263,"ادغام با خودش","OK"))),"OK"))</x:f>
      </x:c>
      <x:c r="S263" s="28"/>
    </x:row>
    <x:row r="264" spans="1:19">
      <x:c r="A264" s="21">
        <x:v>3605</x:v>
      </x:c>
      <x:c r="B264" s="22" t="s">
        <x:v>82</x:v>
      </x:c>
      <x:c r="C264" s="22" t="s">
        <x:v>156</x:v>
      </x:c>
      <x:c r="D264" s="22" t="s">
        <x:v>982</x:v>
      </x:c>
      <x:c r="E264" s="22" t="s">
        <x:v>983</x:v>
      </x:c>
      <x:c r="F264" s="22" t="s">
        <x:v>285</x:v>
      </x:c>
      <x:c r="G264" s="22">
        <x:v>2</x:v>
      </x:c>
      <x:c r="H264" s="23">
        <x:v>0</x:v>
      </x:c>
      <x:c r="I264" s="23">
        <x:v>2927683238</x:v>
      </x:c>
      <x:c r="J264" s="23">
        <x:f>H264-I264</x:f>
      </x:c>
      <x:c r="K264" s="22">
        <x:v>2</x:v>
      </x:c>
      <x:c r="L264" s="24" t="s">
        <x:v>623</x:v>
      </x:c>
      <x:c r="M264" s="24"/>
      <x:c r="N264" s="27" t="s">
        <x:v>623</x:v>
      </x:c>
      <x:c r="O264" s="27"/>
      <x:c r="P264" s="26"/>
      <x:c r="Q264" s="27"/>
      <x:c r="R264" s="22">
        <x:f>IF(N264="","تکمیل نشده",IF(N264="ادغام با تفصیلی دیگر",IF(O264="","کلید مقصد خالی است",IF(IFERROR(MATCH(O264*1,$A:$A,0),0)=0,"کلید مقصد در این فهرست نیست",IF(O264*1=A264,"ادغام با خودش","OK"))),"OK"))</x:f>
      </x:c>
      <x:c r="S264" s="28"/>
    </x:row>
    <x:row r="265" spans="1:19">
      <x:c r="A265" s="21">
        <x:v>3838</x:v>
      </x:c>
      <x:c r="B265" s="22" t="s">
        <x:v>82</x:v>
      </x:c>
      <x:c r="C265" s="22" t="s">
        <x:v>156</x:v>
      </x:c>
      <x:c r="D265" s="22" t="s">
        <x:v>984</x:v>
      </x:c>
      <x:c r="E265" s="22" t="s">
        <x:v>985</x:v>
      </x:c>
      <x:c r="F265" s="22" t="s">
        <x:v>285</x:v>
      </x:c>
      <x:c r="G265" s="22">
        <x:v>2</x:v>
      </x:c>
      <x:c r="H265" s="23">
        <x:v>0</x:v>
      </x:c>
      <x:c r="I265" s="23">
        <x:v>1719433013</x:v>
      </x:c>
      <x:c r="J265" s="23">
        <x:f>H265-I265</x:f>
      </x:c>
      <x:c r="K265" s="22">
        <x:v>1</x:v>
      </x:c>
      <x:c r="L265" s="24" t="s">
        <x:v>623</x:v>
      </x:c>
      <x:c r="M265" s="24"/>
      <x:c r="N265" s="27" t="s">
        <x:v>623</x:v>
      </x:c>
      <x:c r="O265" s="27"/>
      <x:c r="P265" s="26"/>
      <x:c r="Q265" s="27"/>
      <x:c r="R265" s="22">
        <x:f>IF(N265="","تکمیل نشده",IF(N265="ادغام با تفصیلی دیگر",IF(O265="","کلید مقصد خالی است",IF(IFERROR(MATCH(O265*1,$A:$A,0),0)=0,"کلید مقصد در این فهرست نیست",IF(O265*1=A265,"ادغام با خودش","OK"))),"OK"))</x:f>
      </x:c>
      <x:c r="S265" s="28"/>
    </x:row>
    <x:row r="266" spans="1:19">
      <x:c r="A266" s="21">
        <x:v>3795</x:v>
      </x:c>
      <x:c r="B266" s="22" t="s">
        <x:v>82</x:v>
      </x:c>
      <x:c r="C266" s="22" t="s">
        <x:v>156</x:v>
      </x:c>
      <x:c r="D266" s="22" t="s">
        <x:v>986</x:v>
      </x:c>
      <x:c r="E266" s="22" t="s">
        <x:v>987</x:v>
      </x:c>
      <x:c r="F266" s="22" t="s">
        <x:v>285</x:v>
      </x:c>
      <x:c r="G266" s="22">
        <x:v>2</x:v>
      </x:c>
      <x:c r="H266" s="23">
        <x:v>0</x:v>
      </x:c>
      <x:c r="I266" s="23">
        <x:v>991384800</x:v>
      </x:c>
      <x:c r="J266" s="23">
        <x:f>H266-I266</x:f>
      </x:c>
      <x:c r="K266" s="22">
        <x:v>2</x:v>
      </x:c>
      <x:c r="L266" s="24" t="s">
        <x:v>623</x:v>
      </x:c>
      <x:c r="M266" s="24"/>
      <x:c r="N266" s="27" t="s">
        <x:v>623</x:v>
      </x:c>
      <x:c r="O266" s="27"/>
      <x:c r="P266" s="26"/>
      <x:c r="Q266" s="27"/>
      <x:c r="R266" s="22">
        <x:f>IF(N266="","تکمیل نشده",IF(N266="ادغام با تفصیلی دیگر",IF(O266="","کلید مقصد خالی است",IF(IFERROR(MATCH(O266*1,$A:$A,0),0)=0,"کلید مقصد در این فهرست نیست",IF(O266*1=A266,"ادغام با خودش","OK"))),"OK"))</x:f>
      </x:c>
      <x:c r="S266" s="28"/>
    </x:row>
    <x:row r="267" spans="1:19">
      <x:c r="A267" s="21">
        <x:v>3793</x:v>
      </x:c>
      <x:c r="B267" s="22" t="s">
        <x:v>82</x:v>
      </x:c>
      <x:c r="C267" s="22" t="s">
        <x:v>156</x:v>
      </x:c>
      <x:c r="D267" s="22" t="s">
        <x:v>988</x:v>
      </x:c>
      <x:c r="E267" s="22" t="s">
        <x:v>989</x:v>
      </x:c>
      <x:c r="F267" s="22" t="s">
        <x:v>285</x:v>
      </x:c>
      <x:c r="G267" s="22">
        <x:v>2</x:v>
      </x:c>
      <x:c r="H267" s="23">
        <x:v>0</x:v>
      </x:c>
      <x:c r="I267" s="23">
        <x:v>3312705763</x:v>
      </x:c>
      <x:c r="J267" s="23">
        <x:f>H267-I267</x:f>
      </x:c>
      <x:c r="K267" s="22">
        <x:v>2</x:v>
      </x:c>
      <x:c r="L267" s="24" t="s">
        <x:v>623</x:v>
      </x:c>
      <x:c r="M267" s="24"/>
      <x:c r="N267" s="27" t="s">
        <x:v>623</x:v>
      </x:c>
      <x:c r="O267" s="27"/>
      <x:c r="P267" s="26"/>
      <x:c r="Q267" s="27"/>
      <x:c r="R267" s="22">
        <x:f>IF(N267="","تکمیل نشده",IF(N267="ادغام با تفصیلی دیگر",IF(O267="","کلید مقصد خالی است",IF(IFERROR(MATCH(O267*1,$A:$A,0),0)=0,"کلید مقصد در این فهرست نیست",IF(O267*1=A267,"ادغام با خودش","OK"))),"OK"))</x:f>
      </x:c>
      <x:c r="S267" s="28"/>
    </x:row>
    <x:row r="268" spans="1:19">
      <x:c r="A268" s="21">
        <x:v>2512</x:v>
      </x:c>
      <x:c r="B268" s="22" t="s">
        <x:v>82</x:v>
      </x:c>
      <x:c r="C268" s="22" t="s">
        <x:v>286</x:v>
      </x:c>
      <x:c r="D268" s="22" t="s">
        <x:v>891</x:v>
      </x:c>
      <x:c r="E268" s="22" t="s">
        <x:v>892</x:v>
      </x:c>
      <x:c r="F268" s="22" t="s">
        <x:v>287</x:v>
      </x:c>
      <x:c r="G268" s="22">
        <x:v>6</x:v>
      </x:c>
      <x:c r="H268" s="23">
        <x:v>1801756370</x:v>
      </x:c>
      <x:c r="I268" s="23">
        <x:v>360351274</x:v>
      </x:c>
      <x:c r="J268" s="23">
        <x:f>H268-I268</x:f>
      </x:c>
      <x:c r="K268" s="22">
        <x:v>2</x:v>
      </x:c>
      <x:c r="L268" s="24" t="s">
        <x:v>675</x:v>
      </x:c>
      <x:c r="M268" s="24">
        <x:v>2463</x:v>
      </x:c>
      <x:c r="N268" s="27" t="s">
        <x:v>675</x:v>
      </x:c>
      <x:c r="O268" s="27">
        <x:v>2463</x:v>
      </x:c>
      <x:c r="P268" s="26"/>
      <x:c r="Q268" s="27"/>
      <x:c r="R268" s="22">
        <x:f>IF(N268="","تکمیل نشده",IF(N268="ادغام با تفصیلی دیگر",IF(O268="","کلید مقصد خالی است",IF(IFERROR(MATCH(O268*1,$A:$A,0),0)=0,"کلید مقصد در این فهرست نیست",IF(O268*1=A268,"ادغام با خودش","OK"))),"OK"))</x:f>
      </x:c>
      <x:c r="S268" s="28"/>
    </x:row>
    <x:row r="269" spans="1:19">
      <x:c r="A269" s="21">
        <x:v>2513</x:v>
      </x:c>
      <x:c r="B269" s="22" t="s">
        <x:v>82</x:v>
      </x:c>
      <x:c r="C269" s="22" t="s">
        <x:v>286</x:v>
      </x:c>
      <x:c r="D269" s="22" t="s">
        <x:v>893</x:v>
      </x:c>
      <x:c r="E269" s="22" t="s">
        <x:v>894</x:v>
      </x:c>
      <x:c r="F269" s="22" t="s">
        <x:v>287</x:v>
      </x:c>
      <x:c r="G269" s="22">
        <x:v>6</x:v>
      </x:c>
      <x:c r="H269" s="23">
        <x:v>1301220928</x:v>
      </x:c>
      <x:c r="I269" s="23">
        <x:v>459290241</x:v>
      </x:c>
      <x:c r="J269" s="23">
        <x:f>H269-I269</x:f>
      </x:c>
      <x:c r="K269" s="22">
        <x:v>2</x:v>
      </x:c>
      <x:c r="L269" s="24" t="s">
        <x:v>675</x:v>
      </x:c>
      <x:c r="M269" s="24">
        <x:v>2464</x:v>
      </x:c>
      <x:c r="N269" s="27" t="s">
        <x:v>675</x:v>
      </x:c>
      <x:c r="O269" s="27">
        <x:v>2464</x:v>
      </x:c>
      <x:c r="P269" s="26"/>
      <x:c r="Q269" s="27"/>
      <x:c r="R269" s="22">
        <x:f>IF(N269="","تکمیل نشده",IF(N269="ادغام با تفصیلی دیگر",IF(O269="","کلید مقصد خالی است",IF(IFERROR(MATCH(O269*1,$A:$A,0),0)=0,"کلید مقصد در این فهرست نیست",IF(O269*1=A269,"ادغام با خودش","OK"))),"OK"))</x:f>
      </x:c>
      <x:c r="S269" s="28"/>
    </x:row>
    <x:row r="270" spans="1:19">
      <x:c r="A270" s="21">
        <x:v>2514</x:v>
      </x:c>
      <x:c r="B270" s="22" t="s">
        <x:v>82</x:v>
      </x:c>
      <x:c r="C270" s="22" t="s">
        <x:v>286</x:v>
      </x:c>
      <x:c r="D270" s="22" t="s">
        <x:v>895</x:v>
      </x:c>
      <x:c r="E270" s="22" t="s">
        <x:v>896</x:v>
      </x:c>
      <x:c r="F270" s="22" t="s">
        <x:v>287</x:v>
      </x:c>
      <x:c r="G270" s="22">
        <x:v>6</x:v>
      </x:c>
      <x:c r="H270" s="23">
        <x:v>1324387425</x:v>
      </x:c>
      <x:c r="I270" s="23">
        <x:v>264877485</x:v>
      </x:c>
      <x:c r="J270" s="23">
        <x:f>H270-I270</x:f>
      </x:c>
      <x:c r="K270" s="22">
        <x:v>2</x:v>
      </x:c>
      <x:c r="L270" s="24" t="s">
        <x:v>675</x:v>
      </x:c>
      <x:c r="M270" s="24">
        <x:v>2465</x:v>
      </x:c>
      <x:c r="N270" s="27" t="s">
        <x:v>675</x:v>
      </x:c>
      <x:c r="O270" s="27">
        <x:v>2465</x:v>
      </x:c>
      <x:c r="P270" s="26"/>
      <x:c r="Q270" s="27"/>
      <x:c r="R270" s="22">
        <x:f>IF(N270="","تکمیل نشده",IF(N270="ادغام با تفصیلی دیگر",IF(O270="","کلید مقصد خالی است",IF(IFERROR(MATCH(O270*1,$A:$A,0),0)=0,"کلید مقصد در این فهرست نیست",IF(O270*1=A270,"ادغام با خودش","OK"))),"OK"))</x:f>
      </x:c>
      <x:c r="S270" s="28"/>
    </x:row>
    <x:row r="271" spans="1:19">
      <x:c r="A271" s="21">
        <x:v>2515</x:v>
      </x:c>
      <x:c r="B271" s="22" t="s">
        <x:v>82</x:v>
      </x:c>
      <x:c r="C271" s="22" t="s">
        <x:v>286</x:v>
      </x:c>
      <x:c r="D271" s="22" t="s">
        <x:v>897</x:v>
      </x:c>
      <x:c r="E271" s="22" t="s">
        <x:v>898</x:v>
      </x:c>
      <x:c r="F271" s="22" t="s">
        <x:v>287</x:v>
      </x:c>
      <x:c r="G271" s="22">
        <x:v>6</x:v>
      </x:c>
      <x:c r="H271" s="23">
        <x:v>1665836710</x:v>
      </x:c>
      <x:c r="I271" s="23">
        <x:v>333167342</x:v>
      </x:c>
      <x:c r="J271" s="23">
        <x:f>H271-I271</x:f>
      </x:c>
      <x:c r="K271" s="22">
        <x:v>2</x:v>
      </x:c>
      <x:c r="L271" s="24" t="s">
        <x:v>675</x:v>
      </x:c>
      <x:c r="M271" s="24">
        <x:v>2466</x:v>
      </x:c>
      <x:c r="N271" s="27" t="s">
        <x:v>675</x:v>
      </x:c>
      <x:c r="O271" s="27">
        <x:v>2466</x:v>
      </x:c>
      <x:c r="P271" s="26"/>
      <x:c r="Q271" s="27"/>
      <x:c r="R271" s="22">
        <x:f>IF(N271="","تکمیل نشده",IF(N271="ادغام با تفصیلی دیگر",IF(O271="","کلید مقصد خالی است",IF(IFERROR(MATCH(O271*1,$A:$A,0),0)=0,"کلید مقصد در این فهرست نیست",IF(O271*1=A271,"ادغام با خودش","OK"))),"OK"))</x:f>
      </x:c>
      <x:c r="S271" s="28"/>
    </x:row>
    <x:row r="272" spans="1:19">
      <x:c r="A272" s="21">
        <x:v>2517</x:v>
      </x:c>
      <x:c r="B272" s="22" t="s">
        <x:v>82</x:v>
      </x:c>
      <x:c r="C272" s="22" t="s">
        <x:v>286</x:v>
      </x:c>
      <x:c r="D272" s="22" t="s">
        <x:v>899</x:v>
      </x:c>
      <x:c r="E272" s="22" t="s">
        <x:v>990</x:v>
      </x:c>
      <x:c r="F272" s="22" t="s">
        <x:v>287</x:v>
      </x:c>
      <x:c r="G272" s="22">
        <x:v>6</x:v>
      </x:c>
      <x:c r="H272" s="23">
        <x:v>1380886350</x:v>
      </x:c>
      <x:c r="I272" s="23">
        <x:v>276177270</x:v>
      </x:c>
      <x:c r="J272" s="23">
        <x:f>H272-I272</x:f>
      </x:c>
      <x:c r="K272" s="22">
        <x:v>1</x:v>
      </x:c>
      <x:c r="L272" s="24" t="s">
        <x:v>623</x:v>
      </x:c>
      <x:c r="M272" s="24"/>
      <x:c r="N272" s="27" t="s">
        <x:v>623</x:v>
      </x:c>
      <x:c r="O272" s="27"/>
      <x:c r="P272" s="26"/>
      <x:c r="Q272" s="27"/>
      <x:c r="R272" s="22">
        <x:f>IF(N272="","تکمیل نشده",IF(N272="ادغام با تفصیلی دیگر",IF(O272="","کلید مقصد خالی است",IF(IFERROR(MATCH(O272*1,$A:$A,0),0)=0,"کلید مقصد در این فهرست نیست",IF(O272*1=A272,"ادغام با خودش","OK"))),"OK"))</x:f>
      </x:c>
      <x:c r="S272" s="28"/>
    </x:row>
    <x:row r="273" spans="1:19">
      <x:c r="A273" s="21">
        <x:v>2518</x:v>
      </x:c>
      <x:c r="B273" s="22" t="s">
        <x:v>82</x:v>
      </x:c>
      <x:c r="C273" s="22" t="s">
        <x:v>286</x:v>
      </x:c>
      <x:c r="D273" s="22" t="s">
        <x:v>901</x:v>
      </x:c>
      <x:c r="E273" s="22" t="s">
        <x:v>902</x:v>
      </x:c>
      <x:c r="F273" s="22" t="s">
        <x:v>287</x:v>
      </x:c>
      <x:c r="G273" s="22">
        <x:v>6</x:v>
      </x:c>
      <x:c r="H273" s="23">
        <x:v>2220303325</x:v>
      </x:c>
      <x:c r="I273" s="23">
        <x:v>444060665</x:v>
      </x:c>
      <x:c r="J273" s="23">
        <x:f>H273-I273</x:f>
      </x:c>
      <x:c r="K273" s="22">
        <x:v>2</x:v>
      </x:c>
      <x:c r="L273" s="24" t="s">
        <x:v>675</x:v>
      </x:c>
      <x:c r="M273" s="24">
        <x:v>2469</x:v>
      </x:c>
      <x:c r="N273" s="27" t="s">
        <x:v>675</x:v>
      </x:c>
      <x:c r="O273" s="27">
        <x:v>2469</x:v>
      </x:c>
      <x:c r="P273" s="26"/>
      <x:c r="Q273" s="27"/>
      <x:c r="R273" s="22">
        <x:f>IF(N273="","تکمیل نشده",IF(N273="ادغام با تفصیلی دیگر",IF(O273="","کلید مقصد خالی است",IF(IFERROR(MATCH(O273*1,$A:$A,0),0)=0,"کلید مقصد در این فهرست نیست",IF(O273*1=A273,"ادغام با خودش","OK"))),"OK"))</x:f>
      </x:c>
      <x:c r="S273" s="28"/>
    </x:row>
    <x:row r="274" spans="1:19">
      <x:c r="A274" s="21">
        <x:v>2519</x:v>
      </x:c>
      <x:c r="B274" s="22" t="s">
        <x:v>82</x:v>
      </x:c>
      <x:c r="C274" s="22" t="s">
        <x:v>286</x:v>
      </x:c>
      <x:c r="D274" s="22" t="s">
        <x:v>903</x:v>
      </x:c>
      <x:c r="E274" s="22" t="s">
        <x:v>904</x:v>
      </x:c>
      <x:c r="F274" s="22" t="s">
        <x:v>287</x:v>
      </x:c>
      <x:c r="G274" s="22">
        <x:v>6</x:v>
      </x:c>
      <x:c r="H274" s="23">
        <x:v>1602099704</x:v>
      </x:c>
      <x:c r="I274" s="23">
        <x:v>552133935</x:v>
      </x:c>
      <x:c r="J274" s="23">
        <x:f>H274-I274</x:f>
      </x:c>
      <x:c r="K274" s="22">
        <x:v>2</x:v>
      </x:c>
      <x:c r="L274" s="24" t="s">
        <x:v>675</x:v>
      </x:c>
      <x:c r="M274" s="24">
        <x:v>2470</x:v>
      </x:c>
      <x:c r="N274" s="27" t="s">
        <x:v>675</x:v>
      </x:c>
      <x:c r="O274" s="27">
        <x:v>2470</x:v>
      </x:c>
      <x:c r="P274" s="26"/>
      <x:c r="Q274" s="27"/>
      <x:c r="R274" s="22">
        <x:f>IF(N274="","تکمیل نشده",IF(N274="ادغام با تفصیلی دیگر",IF(O274="","کلید مقصد خالی است",IF(IFERROR(MATCH(O274*1,$A:$A,0),0)=0,"کلید مقصد در این فهرست نیست",IF(O274*1=A274,"ادغام با خودش","OK"))),"OK"))</x:f>
      </x:c>
      <x:c r="S274" s="28"/>
    </x:row>
    <x:row r="275" spans="1:19">
      <x:c r="A275" s="21">
        <x:v>2520</x:v>
      </x:c>
      <x:c r="B275" s="22" t="s">
        <x:v>82</x:v>
      </x:c>
      <x:c r="C275" s="22" t="s">
        <x:v>286</x:v>
      </x:c>
      <x:c r="D275" s="22" t="s">
        <x:v>905</x:v>
      </x:c>
      <x:c r="E275" s="22" t="s">
        <x:v>724</x:v>
      </x:c>
      <x:c r="F275" s="22" t="s">
        <x:v>287</x:v>
      </x:c>
      <x:c r="G275" s="22">
        <x:v>6</x:v>
      </x:c>
      <x:c r="H275" s="23">
        <x:v>511951228</x:v>
      </x:c>
      <x:c r="I275" s="23">
        <x:v>145374088</x:v>
      </x:c>
      <x:c r="J275" s="23">
        <x:f>H275-I275</x:f>
      </x:c>
      <x:c r="K275" s="22">
        <x:v>3</x:v>
      </x:c>
      <x:c r="L275" s="24" t="s">
        <x:v>675</x:v>
      </x:c>
      <x:c r="M275" s="24">
        <x:v>560</x:v>
      </x:c>
      <x:c r="N275" s="27" t="s">
        <x:v>675</x:v>
      </x:c>
      <x:c r="O275" s="27">
        <x:v>560</x:v>
      </x:c>
      <x:c r="P275" s="26"/>
      <x:c r="Q275" s="27"/>
      <x:c r="R275" s="22">
        <x:f>IF(N275="","تکمیل نشده",IF(N275="ادغام با تفصیلی دیگر",IF(O275="","کلید مقصد خالی است",IF(IFERROR(MATCH(O275*1,$A:$A,0),0)=0,"کلید مقصد در این فهرست نیست",IF(O275*1=A275,"ادغام با خودش","OK"))),"OK"))</x:f>
      </x:c>
      <x:c r="S275" s="28"/>
    </x:row>
    <x:row r="276" spans="1:19">
      <x:c r="A276" s="21">
        <x:v>2522</x:v>
      </x:c>
      <x:c r="B276" s="22" t="s">
        <x:v>82</x:v>
      </x:c>
      <x:c r="C276" s="22" t="s">
        <x:v>286</x:v>
      </x:c>
      <x:c r="D276" s="22" t="s">
        <x:v>906</x:v>
      </x:c>
      <x:c r="E276" s="22" t="s">
        <x:v>907</x:v>
      </x:c>
      <x:c r="F276" s="22" t="s">
        <x:v>287</x:v>
      </x:c>
      <x:c r="G276" s="22">
        <x:v>6</x:v>
      </x:c>
      <x:c r="H276" s="23">
        <x:v>1020726265</x:v>
      </x:c>
      <x:c r="I276" s="23">
        <x:v>204145253</x:v>
      </x:c>
      <x:c r="J276" s="23">
        <x:f>H276-I276</x:f>
      </x:c>
      <x:c r="K276" s="22">
        <x:v>3</x:v>
      </x:c>
      <x:c r="L276" s="24" t="s">
        <x:v>675</x:v>
      </x:c>
      <x:c r="M276" s="24">
        <x:v>2473</x:v>
      </x:c>
      <x:c r="N276" s="27" t="s">
        <x:v>675</x:v>
      </x:c>
      <x:c r="O276" s="27">
        <x:v>2473</x:v>
      </x:c>
      <x:c r="P276" s="26"/>
      <x:c r="Q276" s="27"/>
      <x:c r="R276" s="22">
        <x:f>IF(N276="","تکمیل نشده",IF(N276="ادغام با تفصیلی دیگر",IF(O276="","کلید مقصد خالی است",IF(IFERROR(MATCH(O276*1,$A:$A,0),0)=0,"کلید مقصد در این فهرست نیست",IF(O276*1=A276,"ادغام با خودش","OK"))),"OK"))</x:f>
      </x:c>
      <x:c r="S276" s="28"/>
    </x:row>
    <x:row r="277" spans="1:19">
      <x:c r="A277" s="21">
        <x:v>3668</x:v>
      </x:c>
      <x:c r="B277" s="22" t="s">
        <x:v>82</x:v>
      </x:c>
      <x:c r="C277" s="22" t="s">
        <x:v>286</x:v>
      </x:c>
      <x:c r="D277" s="22" t="s">
        <x:v>908</x:v>
      </x:c>
      <x:c r="E277" s="22" t="s">
        <x:v>991</x:v>
      </x:c>
      <x:c r="F277" s="22" t="s">
        <x:v>287</x:v>
      </x:c>
      <x:c r="G277" s="22">
        <x:v>2</x:v>
      </x:c>
      <x:c r="H277" s="23">
        <x:v>0</x:v>
      </x:c>
      <x:c r="I277" s="23">
        <x:v>128458375</x:v>
      </x:c>
      <x:c r="J277" s="23">
        <x:f>H277-I277</x:f>
      </x:c>
      <x:c r="K277" s="22">
        <x:v>3</x:v>
      </x:c>
      <x:c r="L277" s="24" t="s">
        <x:v>675</x:v>
      </x:c>
      <x:c r="M277" s="24">
        <x:v>587</x:v>
      </x:c>
      <x:c r="N277" s="27" t="s">
        <x:v>675</x:v>
      </x:c>
      <x:c r="O277" s="27">
        <x:v>587</x:v>
      </x:c>
      <x:c r="P277" s="26"/>
      <x:c r="Q277" s="27"/>
      <x:c r="R277" s="22">
        <x:f>IF(N277="","تکمیل نشده",IF(N277="ادغام با تفصیلی دیگر",IF(O277="","کلید مقصد خالی است",IF(IFERROR(MATCH(O277*1,$A:$A,0),0)=0,"کلید مقصد در این فهرست نیست",IF(O277*1=A277,"ادغام با خودش","OK"))),"OK"))</x:f>
      </x:c>
      <x:c r="S277" s="28"/>
    </x:row>
    <x:row r="278" spans="1:19">
      <x:c r="A278" s="21">
        <x:v>2523</x:v>
      </x:c>
      <x:c r="B278" s="22" t="s">
        <x:v>82</x:v>
      </x:c>
      <x:c r="C278" s="22" t="s">
        <x:v>286</x:v>
      </x:c>
      <x:c r="D278" s="22" t="s">
        <x:v>909</x:v>
      </x:c>
      <x:c r="E278" s="22" t="s">
        <x:v>823</x:v>
      </x:c>
      <x:c r="F278" s="22" t="s">
        <x:v>287</x:v>
      </x:c>
      <x:c r="G278" s="22">
        <x:v>6</x:v>
      </x:c>
      <x:c r="H278" s="23">
        <x:v>1027482955</x:v>
      </x:c>
      <x:c r="I278" s="23">
        <x:v>205496591</x:v>
      </x:c>
      <x:c r="J278" s="23">
        <x:f>H278-I278</x:f>
      </x:c>
      <x:c r="K278" s="22">
        <x:v>3</x:v>
      </x:c>
      <x:c r="L278" s="24" t="s">
        <x:v>675</x:v>
      </x:c>
      <x:c r="M278" s="24">
        <x:v>1626</x:v>
      </x:c>
      <x:c r="N278" s="27" t="s">
        <x:v>675</x:v>
      </x:c>
      <x:c r="O278" s="27">
        <x:v>1626</x:v>
      </x:c>
      <x:c r="P278" s="26"/>
      <x:c r="Q278" s="27"/>
      <x:c r="R278" s="22">
        <x:f>IF(N278="","تکمیل نشده",IF(N278="ادغام با تفصیلی دیگر",IF(O278="","کلید مقصد خالی است",IF(IFERROR(MATCH(O278*1,$A:$A,0),0)=0,"کلید مقصد در این فهرست نیست",IF(O278*1=A278,"ادغام با خودش","OK"))),"OK"))</x:f>
      </x:c>
      <x:c r="S278" s="28"/>
    </x:row>
    <x:row r="279" spans="1:19">
      <x:c r="A279" s="21">
        <x:v>2524</x:v>
      </x:c>
      <x:c r="B279" s="22" t="s">
        <x:v>82</x:v>
      </x:c>
      <x:c r="C279" s="22" t="s">
        <x:v>286</x:v>
      </x:c>
      <x:c r="D279" s="22" t="s">
        <x:v>910</x:v>
      </x:c>
      <x:c r="E279" s="22" t="s">
        <x:v>736</x:v>
      </x:c>
      <x:c r="F279" s="22" t="s">
        <x:v>287</x:v>
      </x:c>
      <x:c r="G279" s="22">
        <x:v>6</x:v>
      </x:c>
      <x:c r="H279" s="23">
        <x:v>349409932</x:v>
      </x:c>
      <x:c r="I279" s="23">
        <x:v>141497882</x:v>
      </x:c>
      <x:c r="J279" s="23">
        <x:f>H279-I279</x:f>
      </x:c>
      <x:c r="K279" s="22">
        <x:v>3</x:v>
      </x:c>
      <x:c r="L279" s="24" t="s">
        <x:v>675</x:v>
      </x:c>
      <x:c r="M279" s="24">
        <x:v>586</x:v>
      </x:c>
      <x:c r="N279" s="27" t="s">
        <x:v>675</x:v>
      </x:c>
      <x:c r="O279" s="27">
        <x:v>586</x:v>
      </x:c>
      <x:c r="P279" s="26"/>
      <x:c r="Q279" s="27"/>
      <x:c r="R279" s="22">
        <x:f>IF(N279="","تکمیل نشده",IF(N279="ادغام با تفصیلی دیگر",IF(O279="","کلید مقصد خالی است",IF(IFERROR(MATCH(O279*1,$A:$A,0),0)=0,"کلید مقصد در این فهرست نیست",IF(O279*1=A279,"ادغام با خودش","OK"))),"OK"))</x:f>
      </x:c>
      <x:c r="S279" s="28"/>
    </x:row>
    <x:row r="280" spans="1:19">
      <x:c r="A280" s="21">
        <x:v>2527</x:v>
      </x:c>
      <x:c r="B280" s="22" t="s">
        <x:v>82</x:v>
      </x:c>
      <x:c r="C280" s="22" t="s">
        <x:v>286</x:v>
      </x:c>
      <x:c r="D280" s="22" t="s">
        <x:v>911</x:v>
      </x:c>
      <x:c r="E280" s="22" t="s">
        <x:v>801</x:v>
      </x:c>
      <x:c r="F280" s="22" t="s">
        <x:v>287</x:v>
      </x:c>
      <x:c r="G280" s="22">
        <x:v>6</x:v>
      </x:c>
      <x:c r="H280" s="23">
        <x:v>539312272</x:v>
      </x:c>
      <x:c r="I280" s="23">
        <x:v>501564021</x:v>
      </x:c>
      <x:c r="J280" s="23">
        <x:f>H280-I280</x:f>
      </x:c>
      <x:c r="K280" s="22">
        <x:v>3</x:v>
      </x:c>
      <x:c r="L280" s="24" t="s">
        <x:v>675</x:v>
      </x:c>
      <x:c r="M280" s="24">
        <x:v>1538</x:v>
      </x:c>
      <x:c r="N280" s="27" t="s">
        <x:v>675</x:v>
      </x:c>
      <x:c r="O280" s="27">
        <x:v>1538</x:v>
      </x:c>
      <x:c r="P280" s="26"/>
      <x:c r="Q280" s="27"/>
      <x:c r="R280" s="22">
        <x:f>IF(N280="","تکمیل نشده",IF(N280="ادغام با تفصیلی دیگر",IF(O280="","کلید مقصد خالی است",IF(IFERROR(MATCH(O280*1,$A:$A,0),0)=0,"کلید مقصد در این فهرست نیست",IF(O280*1=A280,"ادغام با خودش","OK"))),"OK"))</x:f>
      </x:c>
      <x:c r="S280" s="28"/>
    </x:row>
    <x:row r="281" spans="1:19">
      <x:c r="A281" s="21">
        <x:v>3682</x:v>
      </x:c>
      <x:c r="B281" s="22" t="s">
        <x:v>82</x:v>
      </x:c>
      <x:c r="C281" s="22" t="s">
        <x:v>286</x:v>
      </x:c>
      <x:c r="D281" s="22" t="s">
        <x:v>912</x:v>
      </x:c>
      <x:c r="E281" s="22" t="s">
        <x:v>913</x:v>
      </x:c>
      <x:c r="F281" s="22" t="s">
        <x:v>287</x:v>
      </x:c>
      <x:c r="G281" s="22">
        <x:v>2</x:v>
      </x:c>
      <x:c r="H281" s="23">
        <x:v>0</x:v>
      </x:c>
      <x:c r="I281" s="23">
        <x:v>92654775</x:v>
      </x:c>
      <x:c r="J281" s="23">
        <x:f>H281-I281</x:f>
      </x:c>
      <x:c r="K281" s="22">
        <x:v>2</x:v>
      </x:c>
      <x:c r="L281" s="24" t="s">
        <x:v>675</x:v>
      </x:c>
      <x:c r="M281" s="24">
        <x:v>3681</x:v>
      </x:c>
      <x:c r="N281" s="27" t="s">
        <x:v>675</x:v>
      </x:c>
      <x:c r="O281" s="27">
        <x:v>3681</x:v>
      </x:c>
      <x:c r="P281" s="26"/>
      <x:c r="Q281" s="27"/>
      <x:c r="R281" s="22">
        <x:f>IF(N281="","تکمیل نشده",IF(N281="ادغام با تفصیلی دیگر",IF(O281="","کلید مقصد خالی است",IF(IFERROR(MATCH(O281*1,$A:$A,0),0)=0,"کلید مقصد در این فهرست نیست",IF(O281*1=A281,"ادغام با خودش","OK"))),"OK"))</x:f>
      </x:c>
      <x:c r="S281" s="28"/>
    </x:row>
    <x:row r="282" spans="1:19">
      <x:c r="A282" s="21">
        <x:v>3660</x:v>
      </x:c>
      <x:c r="B282" s="22" t="s">
        <x:v>82</x:v>
      </x:c>
      <x:c r="C282" s="22" t="s">
        <x:v>286</x:v>
      </x:c>
      <x:c r="D282" s="22" t="s">
        <x:v>914</x:v>
      </x:c>
      <x:c r="E282" s="22" t="s">
        <x:v>915</x:v>
      </x:c>
      <x:c r="F282" s="22" t="s">
        <x:v>287</x:v>
      </x:c>
      <x:c r="G282" s="22">
        <x:v>2</x:v>
      </x:c>
      <x:c r="H282" s="23">
        <x:v>0</x:v>
      </x:c>
      <x:c r="I282" s="23">
        <x:v>261873797</x:v>
      </x:c>
      <x:c r="J282" s="23">
        <x:f>H282-I282</x:f>
      </x:c>
      <x:c r="K282" s="22">
        <x:v>2</x:v>
      </x:c>
      <x:c r="L282" s="24" t="s">
        <x:v>675</x:v>
      </x:c>
      <x:c r="M282" s="24">
        <x:v>3659</x:v>
      </x:c>
      <x:c r="N282" s="27" t="s">
        <x:v>675</x:v>
      </x:c>
      <x:c r="O282" s="27">
        <x:v>3659</x:v>
      </x:c>
      <x:c r="P282" s="26"/>
      <x:c r="Q282" s="27"/>
      <x:c r="R282" s="22">
        <x:f>IF(N282="","تکمیل نشده",IF(N282="ادغام با تفصیلی دیگر",IF(O282="","کلید مقصد خالی است",IF(IFERROR(MATCH(O282*1,$A:$A,0),0)=0,"کلید مقصد در این فهرست نیست",IF(O282*1=A282,"ادغام با خودش","OK"))),"OK"))</x:f>
      </x:c>
      <x:c r="S282" s="28"/>
    </x:row>
    <x:row r="283" spans="1:19">
      <x:c r="A283" s="21">
        <x:v>3769</x:v>
      </x:c>
      <x:c r="B283" s="22" t="s">
        <x:v>82</x:v>
      </x:c>
      <x:c r="C283" s="22" t="s">
        <x:v>286</x:v>
      </x:c>
      <x:c r="D283" s="22" t="s">
        <x:v>916</x:v>
      </x:c>
      <x:c r="E283" s="22" t="s">
        <x:v>742</x:v>
      </x:c>
      <x:c r="F283" s="22" t="s">
        <x:v>287</x:v>
      </x:c>
      <x:c r="G283" s="22">
        <x:v>2</x:v>
      </x:c>
      <x:c r="H283" s="23">
        <x:v>0</x:v>
      </x:c>
      <x:c r="I283" s="23">
        <x:v>309682399</x:v>
      </x:c>
      <x:c r="J283" s="23">
        <x:f>H283-I283</x:f>
      </x:c>
      <x:c r="K283" s="22">
        <x:v>3</x:v>
      </x:c>
      <x:c r="L283" s="24" t="s">
        <x:v>675</x:v>
      </x:c>
      <x:c r="M283" s="24">
        <x:v>3772</x:v>
      </x:c>
      <x:c r="N283" s="27" t="s">
        <x:v>675</x:v>
      </x:c>
      <x:c r="O283" s="27">
        <x:v>3772</x:v>
      </x:c>
      <x:c r="P283" s="26"/>
      <x:c r="Q283" s="27"/>
      <x:c r="R283" s="22">
        <x:f>IF(N283="","تکمیل نشده",IF(N283="ادغام با تفصیلی دیگر",IF(O283="","کلید مقصد خالی است",IF(IFERROR(MATCH(O283*1,$A:$A,0),0)=0,"کلید مقصد در این فهرست نیست",IF(O283*1=A283,"ادغام با خودش","OK"))),"OK"))</x:f>
      </x:c>
      <x:c r="S283" s="28"/>
    </x:row>
    <x:row r="284" spans="1:19">
      <x:c r="A284" s="21">
        <x:v>3663</x:v>
      </x:c>
      <x:c r="B284" s="22" t="s">
        <x:v>82</x:v>
      </x:c>
      <x:c r="C284" s="22" t="s">
        <x:v>286</x:v>
      </x:c>
      <x:c r="D284" s="22" t="s">
        <x:v>917</x:v>
      </x:c>
      <x:c r="E284" s="22" t="s">
        <x:v>918</x:v>
      </x:c>
      <x:c r="F284" s="22" t="s">
        <x:v>287</x:v>
      </x:c>
      <x:c r="G284" s="22">
        <x:v>2</x:v>
      </x:c>
      <x:c r="H284" s="23">
        <x:v>0</x:v>
      </x:c>
      <x:c r="I284" s="23">
        <x:v>43144582</x:v>
      </x:c>
      <x:c r="J284" s="23">
        <x:f>H284-I284</x:f>
      </x:c>
      <x:c r="K284" s="22">
        <x:v>2</x:v>
      </x:c>
      <x:c r="L284" s="24" t="s">
        <x:v>675</x:v>
      </x:c>
      <x:c r="M284" s="24">
        <x:v>3664</x:v>
      </x:c>
      <x:c r="N284" s="27" t="s">
        <x:v>675</x:v>
      </x:c>
      <x:c r="O284" s="27">
        <x:v>3664</x:v>
      </x:c>
      <x:c r="P284" s="26"/>
      <x:c r="Q284" s="27"/>
      <x:c r="R284" s="22">
        <x:f>IF(N284="","تکمیل نشده",IF(N284="ادغام با تفصیلی دیگر",IF(O284="","کلید مقصد خالی است",IF(IFERROR(MATCH(O284*1,$A:$A,0),0)=0,"کلید مقصد در این فهرست نیست",IF(O284*1=A284,"ادغام با خودش","OK"))),"OK"))</x:f>
      </x:c>
      <x:c r="S284" s="28"/>
    </x:row>
    <x:row r="285" spans="1:19">
      <x:c r="A285" s="21">
        <x:v>3702</x:v>
      </x:c>
      <x:c r="B285" s="22" t="s">
        <x:v>82</x:v>
      </x:c>
      <x:c r="C285" s="22" t="s">
        <x:v>286</x:v>
      </x:c>
      <x:c r="D285" s="22" t="s">
        <x:v>919</x:v>
      </x:c>
      <x:c r="E285" s="22" t="s">
        <x:v>920</x:v>
      </x:c>
      <x:c r="F285" s="22" t="s">
        <x:v>287</x:v>
      </x:c>
      <x:c r="G285" s="22">
        <x:v>2</x:v>
      </x:c>
      <x:c r="H285" s="23">
        <x:v>36108078</x:v>
      </x:c>
      <x:c r="I285" s="23">
        <x:v>36108078</x:v>
      </x:c>
      <x:c r="J285" s="23">
        <x:f>H285-I285</x:f>
      </x:c>
      <x:c r="K285" s="22">
        <x:v>2</x:v>
      </x:c>
      <x:c r="L285" s="24" t="s">
        <x:v>675</x:v>
      </x:c>
      <x:c r="M285" s="24">
        <x:v>3701</x:v>
      </x:c>
      <x:c r="N285" s="27" t="s">
        <x:v>675</x:v>
      </x:c>
      <x:c r="O285" s="27">
        <x:v>3701</x:v>
      </x:c>
      <x:c r="P285" s="26"/>
      <x:c r="Q285" s="27"/>
      <x:c r="R285" s="22">
        <x:f>IF(N285="","تکمیل نشده",IF(N285="ادغام با تفصیلی دیگر",IF(O285="","کلید مقصد خالی است",IF(IFERROR(MATCH(O285*1,$A:$A,0),0)=0,"کلید مقصد در این فهرست نیست",IF(O285*1=A285,"ادغام با خودش","OK"))),"OK"))</x:f>
      </x:c>
      <x:c r="S285" s="28"/>
    </x:row>
    <x:row r="286" spans="1:19">
      <x:c r="A286" s="21">
        <x:v>2528</x:v>
      </x:c>
      <x:c r="B286" s="22" t="s">
        <x:v>82</x:v>
      </x:c>
      <x:c r="C286" s="22" t="s">
        <x:v>286</x:v>
      </x:c>
      <x:c r="D286" s="22" t="s">
        <x:v>921</x:v>
      </x:c>
      <x:c r="E286" s="22" t="s">
        <x:v>922</x:v>
      </x:c>
      <x:c r="F286" s="22" t="s">
        <x:v>287</x:v>
      </x:c>
      <x:c r="G286" s="22">
        <x:v>5</x:v>
      </x:c>
      <x:c r="H286" s="23">
        <x:v>49186852</x:v>
      </x:c>
      <x:c r="I286" s="23">
        <x:v>12296713</x:v>
      </x:c>
      <x:c r="J286" s="23">
        <x:f>H286-I286</x:f>
      </x:c>
      <x:c r="K286" s="22">
        <x:v>2</x:v>
      </x:c>
      <x:c r="L286" s="24" t="s">
        <x:v>675</x:v>
      </x:c>
      <x:c r="M286" s="24">
        <x:v>2479</x:v>
      </x:c>
      <x:c r="N286" s="27" t="s">
        <x:v>675</x:v>
      </x:c>
      <x:c r="O286" s="27">
        <x:v>2479</x:v>
      </x:c>
      <x:c r="P286" s="26"/>
      <x:c r="Q286" s="27"/>
      <x:c r="R286" s="22">
        <x:f>IF(N286="","تکمیل نشده",IF(N286="ادغام با تفصیلی دیگر",IF(O286="","کلید مقصد خالی است",IF(IFERROR(MATCH(O286*1,$A:$A,0),0)=0,"کلید مقصد در این فهرست نیست",IF(O286*1=A286,"ادغام با خودش","OK"))),"OK"))</x:f>
      </x:c>
      <x:c r="S286" s="28"/>
    </x:row>
    <x:row r="287" spans="1:19">
      <x:c r="A287" s="21">
        <x:v>2529</x:v>
      </x:c>
      <x:c r="B287" s="22" t="s">
        <x:v>82</x:v>
      </x:c>
      <x:c r="C287" s="22" t="s">
        <x:v>286</x:v>
      </x:c>
      <x:c r="D287" s="22" t="s">
        <x:v>923</x:v>
      </x:c>
      <x:c r="E287" s="22" t="s">
        <x:v>924</x:v>
      </x:c>
      <x:c r="F287" s="22" t="s">
        <x:v>287</x:v>
      </x:c>
      <x:c r="G287" s="22">
        <x:v>6</x:v>
      </x:c>
      <x:c r="H287" s="23">
        <x:v>1210799070</x:v>
      </x:c>
      <x:c r="I287" s="23">
        <x:v>242159814</x:v>
      </x:c>
      <x:c r="J287" s="23">
        <x:f>H287-I287</x:f>
      </x:c>
      <x:c r="K287" s="22">
        <x:v>2</x:v>
      </x:c>
      <x:c r="L287" s="24" t="s">
        <x:v>675</x:v>
      </x:c>
      <x:c r="M287" s="24">
        <x:v>2480</x:v>
      </x:c>
      <x:c r="N287" s="27" t="s">
        <x:v>675</x:v>
      </x:c>
      <x:c r="O287" s="27">
        <x:v>2480</x:v>
      </x:c>
      <x:c r="P287" s="26"/>
      <x:c r="Q287" s="27"/>
      <x:c r="R287" s="22">
        <x:f>IF(N287="","تکمیل نشده",IF(N287="ادغام با تفصیلی دیگر",IF(O287="","کلید مقصد خالی است",IF(IFERROR(MATCH(O287*1,$A:$A,0),0)=0,"کلید مقصد در این فهرست نیست",IF(O287*1=A287,"ادغام با خودش","OK"))),"OK"))</x:f>
      </x:c>
      <x:c r="S287" s="28"/>
    </x:row>
    <x:row r="288" spans="1:19">
      <x:c r="A288" s="21">
        <x:v>2530</x:v>
      </x:c>
      <x:c r="B288" s="22" t="s">
        <x:v>82</x:v>
      </x:c>
      <x:c r="C288" s="22" t="s">
        <x:v>286</x:v>
      </x:c>
      <x:c r="D288" s="22" t="s">
        <x:v>925</x:v>
      </x:c>
      <x:c r="E288" s="22" t="s">
        <x:v>926</x:v>
      </x:c>
      <x:c r="F288" s="22" t="s">
        <x:v>287</x:v>
      </x:c>
      <x:c r="G288" s="22">
        <x:v>6</x:v>
      </x:c>
      <x:c r="H288" s="23">
        <x:v>1345927604</x:v>
      </x:c>
      <x:c r="I288" s="23">
        <x:v>323148682</x:v>
      </x:c>
      <x:c r="J288" s="23">
        <x:f>H288-I288</x:f>
      </x:c>
      <x:c r="K288" s="22">
        <x:v>2</x:v>
      </x:c>
      <x:c r="L288" s="24" t="s">
        <x:v>675</x:v>
      </x:c>
      <x:c r="M288" s="24">
        <x:v>2481</x:v>
      </x:c>
      <x:c r="N288" s="27" t="s">
        <x:v>675</x:v>
      </x:c>
      <x:c r="O288" s="27">
        <x:v>2481</x:v>
      </x:c>
      <x:c r="P288" s="26"/>
      <x:c r="Q288" s="27"/>
      <x:c r="R288" s="22">
        <x:f>IF(N288="","تکمیل نشده",IF(N288="ادغام با تفصیلی دیگر",IF(O288="","کلید مقصد خالی است",IF(IFERROR(MATCH(O288*1,$A:$A,0),0)=0,"کلید مقصد در این فهرست نیست",IF(O288*1=A288,"ادغام با خودش","OK"))),"OK"))</x:f>
      </x:c>
      <x:c r="S288" s="28"/>
    </x:row>
    <x:row r="289" spans="1:19">
      <x:c r="A289" s="21">
        <x:v>2532</x:v>
      </x:c>
      <x:c r="B289" s="22" t="s">
        <x:v>82</x:v>
      </x:c>
      <x:c r="C289" s="22" t="s">
        <x:v>286</x:v>
      </x:c>
      <x:c r="D289" s="22" t="s">
        <x:v>927</x:v>
      </x:c>
      <x:c r="E289" s="22" t="s">
        <x:v>928</x:v>
      </x:c>
      <x:c r="F289" s="22" t="s">
        <x:v>287</x:v>
      </x:c>
      <x:c r="G289" s="22">
        <x:v>6</x:v>
      </x:c>
      <x:c r="H289" s="23">
        <x:v>869787060</x:v>
      </x:c>
      <x:c r="I289" s="23">
        <x:v>173957412</x:v>
      </x:c>
      <x:c r="J289" s="23">
        <x:f>H289-I289</x:f>
      </x:c>
      <x:c r="K289" s="22">
        <x:v>3</x:v>
      </x:c>
      <x:c r="L289" s="24" t="s">
        <x:v>675</x:v>
      </x:c>
      <x:c r="M289" s="24">
        <x:v>1551</x:v>
      </x:c>
      <x:c r="N289" s="27" t="s">
        <x:v>675</x:v>
      </x:c>
      <x:c r="O289" s="27">
        <x:v>1551</x:v>
      </x:c>
      <x:c r="P289" s="26"/>
      <x:c r="Q289" s="27"/>
      <x:c r="R289" s="22">
        <x:f>IF(N289="","تکمیل نشده",IF(N289="ادغام با تفصیلی دیگر",IF(O289="","کلید مقصد خالی است",IF(IFERROR(MATCH(O289*1,$A:$A,0),0)=0,"کلید مقصد در این فهرست نیست",IF(O289*1=A289,"ادغام با خودش","OK"))),"OK"))</x:f>
      </x:c>
      <x:c r="S289" s="28"/>
    </x:row>
    <x:row r="290" spans="1:19">
      <x:c r="A290" s="21">
        <x:v>2533</x:v>
      </x:c>
      <x:c r="B290" s="22" t="s">
        <x:v>82</x:v>
      </x:c>
      <x:c r="C290" s="22" t="s">
        <x:v>286</x:v>
      </x:c>
      <x:c r="D290" s="22" t="s">
        <x:v>929</x:v>
      </x:c>
      <x:c r="E290" s="22" t="s">
        <x:v>930</x:v>
      </x:c>
      <x:c r="F290" s="22" t="s">
        <x:v>287</x:v>
      </x:c>
      <x:c r="G290" s="22">
        <x:v>6</x:v>
      </x:c>
      <x:c r="H290" s="23">
        <x:v>992330856</x:v>
      </x:c>
      <x:c r="I290" s="23">
        <x:v>344596515</x:v>
      </x:c>
      <x:c r="J290" s="23">
        <x:f>H290-I290</x:f>
      </x:c>
      <x:c r="K290" s="22">
        <x:v>2</x:v>
      </x:c>
      <x:c r="L290" s="24" t="s">
        <x:v>675</x:v>
      </x:c>
      <x:c r="M290" s="24">
        <x:v>2484</x:v>
      </x:c>
      <x:c r="N290" s="27" t="s">
        <x:v>675</x:v>
      </x:c>
      <x:c r="O290" s="27">
        <x:v>2484</x:v>
      </x:c>
      <x:c r="P290" s="26"/>
      <x:c r="Q290" s="27"/>
      <x:c r="R290" s="22">
        <x:f>IF(N290="","تکمیل نشده",IF(N290="ادغام با تفصیلی دیگر",IF(O290="","کلید مقصد خالی است",IF(IFERROR(MATCH(O290*1,$A:$A,0),0)=0,"کلید مقصد در این فهرست نیست",IF(O290*1=A290,"ادغام با خودش","OK"))),"OK"))</x:f>
      </x:c>
      <x:c r="S290" s="28"/>
    </x:row>
    <x:row r="291" spans="1:19">
      <x:c r="A291" s="21">
        <x:v>2534</x:v>
      </x:c>
      <x:c r="B291" s="22" t="s">
        <x:v>82</x:v>
      </x:c>
      <x:c r="C291" s="22" t="s">
        <x:v>286</x:v>
      </x:c>
      <x:c r="D291" s="22" t="s">
        <x:v>931</x:v>
      </x:c>
      <x:c r="E291" s="22" t="s">
        <x:v>932</x:v>
      </x:c>
      <x:c r="F291" s="22" t="s">
        <x:v>287</x:v>
      </x:c>
      <x:c r="G291" s="22">
        <x:v>6</x:v>
      </x:c>
      <x:c r="H291" s="23">
        <x:v>910371850</x:v>
      </x:c>
      <x:c r="I291" s="23">
        <x:v>182074370</x:v>
      </x:c>
      <x:c r="J291" s="23">
        <x:f>H291-I291</x:f>
      </x:c>
      <x:c r="K291" s="22">
        <x:v>2</x:v>
      </x:c>
      <x:c r="L291" s="24" t="s">
        <x:v>675</x:v>
      </x:c>
      <x:c r="M291" s="24">
        <x:v>2485</x:v>
      </x:c>
      <x:c r="N291" s="27" t="s">
        <x:v>675</x:v>
      </x:c>
      <x:c r="O291" s="27">
        <x:v>2485</x:v>
      </x:c>
      <x:c r="P291" s="26"/>
      <x:c r="Q291" s="27"/>
      <x:c r="R291" s="22">
        <x:f>IF(N291="","تکمیل نشده",IF(N291="ادغام با تفصیلی دیگر",IF(O291="","کلید مقصد خالی است",IF(IFERROR(MATCH(O291*1,$A:$A,0),0)=0,"کلید مقصد در این فهرست نیست",IF(O291*1=A291,"ادغام با خودش","OK"))),"OK"))</x:f>
      </x:c>
      <x:c r="S291" s="28"/>
    </x:row>
    <x:row r="292" spans="1:19">
      <x:c r="A292" s="21">
        <x:v>2535</x:v>
      </x:c>
      <x:c r="B292" s="22" t="s">
        <x:v>82</x:v>
      </x:c>
      <x:c r="C292" s="22" t="s">
        <x:v>286</x:v>
      </x:c>
      <x:c r="D292" s="22" t="s">
        <x:v>933</x:v>
      </x:c>
      <x:c r="E292" s="22" t="s">
        <x:v>992</x:v>
      </x:c>
      <x:c r="F292" s="22" t="s">
        <x:v>287</x:v>
      </x:c>
      <x:c r="G292" s="22">
        <x:v>6</x:v>
      </x:c>
      <x:c r="H292" s="23">
        <x:v>94577130</x:v>
      </x:c>
      <x:c r="I292" s="23">
        <x:v>18915426</x:v>
      </x:c>
      <x:c r="J292" s="23">
        <x:f>H292-I292</x:f>
      </x:c>
      <x:c r="K292" s="22">
        <x:v>1</x:v>
      </x:c>
      <x:c r="L292" s="24" t="s">
        <x:v>623</x:v>
      </x:c>
      <x:c r="M292" s="24"/>
      <x:c r="N292" s="27" t="s">
        <x:v>623</x:v>
      </x:c>
      <x:c r="O292" s="27"/>
      <x:c r="P292" s="26"/>
      <x:c r="Q292" s="27"/>
      <x:c r="R292" s="22">
        <x:f>IF(N292="","تکمیل نشده",IF(N292="ادغام با تفصیلی دیگر",IF(O292="","کلید مقصد خالی است",IF(IFERROR(MATCH(O292*1,$A:$A,0),0)=0,"کلید مقصد در این فهرست نیست",IF(O292*1=A292,"ادغام با خودش","OK"))),"OK"))</x:f>
      </x:c>
      <x:c r="S292" s="28"/>
    </x:row>
    <x:row r="293" spans="1:19">
      <x:c r="A293" s="21">
        <x:v>2536</x:v>
      </x:c>
      <x:c r="B293" s="22" t="s">
        <x:v>82</x:v>
      </x:c>
      <x:c r="C293" s="22" t="s">
        <x:v>286</x:v>
      </x:c>
      <x:c r="D293" s="22" t="s">
        <x:v>934</x:v>
      </x:c>
      <x:c r="E293" s="22" t="s">
        <x:v>935</x:v>
      </x:c>
      <x:c r="F293" s="22" t="s">
        <x:v>287</x:v>
      </x:c>
      <x:c r="G293" s="22">
        <x:v>6</x:v>
      </x:c>
      <x:c r="H293" s="23">
        <x:v>684448680</x:v>
      </x:c>
      <x:c r="I293" s="23">
        <x:v>206915452</x:v>
      </x:c>
      <x:c r="J293" s="23">
        <x:f>H293-I293</x:f>
      </x:c>
      <x:c r="K293" s="22">
        <x:v>2</x:v>
      </x:c>
      <x:c r="L293" s="24" t="s">
        <x:v>675</x:v>
      </x:c>
      <x:c r="M293" s="24">
        <x:v>2487</x:v>
      </x:c>
      <x:c r="N293" s="27" t="s">
        <x:v>675</x:v>
      </x:c>
      <x:c r="O293" s="27">
        <x:v>2487</x:v>
      </x:c>
      <x:c r="P293" s="26"/>
      <x:c r="Q293" s="27"/>
      <x:c r="R293" s="22">
        <x:f>IF(N293="","تکمیل نشده",IF(N293="ادغام با تفصیلی دیگر",IF(O293="","کلید مقصد خالی است",IF(IFERROR(MATCH(O293*1,$A:$A,0),0)=0,"کلید مقصد در این فهرست نیست",IF(O293*1=A293,"ادغام با خودش","OK"))),"OK"))</x:f>
      </x:c>
      <x:c r="S293" s="28"/>
    </x:row>
    <x:row r="294" spans="1:19">
      <x:c r="A294" s="21">
        <x:v>2537</x:v>
      </x:c>
      <x:c r="B294" s="22" t="s">
        <x:v>82</x:v>
      </x:c>
      <x:c r="C294" s="22" t="s">
        <x:v>286</x:v>
      </x:c>
      <x:c r="D294" s="22" t="s">
        <x:v>936</x:v>
      </x:c>
      <x:c r="E294" s="22" t="s">
        <x:v>937</x:v>
      </x:c>
      <x:c r="F294" s="22" t="s">
        <x:v>287</x:v>
      </x:c>
      <x:c r="G294" s="22">
        <x:v>6</x:v>
      </x:c>
      <x:c r="H294" s="23">
        <x:v>1102975924</x:v>
      </x:c>
      <x:c r="I294" s="23">
        <x:v>372898722</x:v>
      </x:c>
      <x:c r="J294" s="23">
        <x:f>H294-I294</x:f>
      </x:c>
      <x:c r="K294" s="22">
        <x:v>2</x:v>
      </x:c>
      <x:c r="L294" s="24" t="s">
        <x:v>675</x:v>
      </x:c>
      <x:c r="M294" s="24">
        <x:v>2488</x:v>
      </x:c>
      <x:c r="N294" s="27" t="s">
        <x:v>675</x:v>
      </x:c>
      <x:c r="O294" s="27">
        <x:v>2488</x:v>
      </x:c>
      <x:c r="P294" s="26"/>
      <x:c r="Q294" s="27"/>
      <x:c r="R294" s="22">
        <x:f>IF(N294="","تکمیل نشده",IF(N294="ادغام با تفصیلی دیگر",IF(O294="","کلید مقصد خالی است",IF(IFERROR(MATCH(O294*1,$A:$A,0),0)=0,"کلید مقصد در این فهرست نیست",IF(O294*1=A294,"ادغام با خودش","OK"))),"OK"))</x:f>
      </x:c>
      <x:c r="S294" s="28"/>
    </x:row>
    <x:row r="295" spans="1:19">
      <x:c r="A295" s="21">
        <x:v>2538</x:v>
      </x:c>
      <x:c r="B295" s="22" t="s">
        <x:v>82</x:v>
      </x:c>
      <x:c r="C295" s="22" t="s">
        <x:v>286</x:v>
      </x:c>
      <x:c r="D295" s="22" t="s">
        <x:v>938</x:v>
      </x:c>
      <x:c r="E295" s="22" t="s">
        <x:v>757</x:v>
      </x:c>
      <x:c r="F295" s="22" t="s">
        <x:v>287</x:v>
      </x:c>
      <x:c r="G295" s="22">
        <x:v>5</x:v>
      </x:c>
      <x:c r="H295" s="23">
        <x:v>76266384</x:v>
      </x:c>
      <x:c r="I295" s="23">
        <x:v>19066596</x:v>
      </x:c>
      <x:c r="J295" s="23">
        <x:f>H295-I295</x:f>
      </x:c>
      <x:c r="K295" s="22">
        <x:v>3</x:v>
      </x:c>
      <x:c r="L295" s="24" t="s">
        <x:v>675</x:v>
      </x:c>
      <x:c r="M295" s="24">
        <x:v>664</x:v>
      </x:c>
      <x:c r="N295" s="27" t="s">
        <x:v>675</x:v>
      </x:c>
      <x:c r="O295" s="27">
        <x:v>664</x:v>
      </x:c>
      <x:c r="P295" s="26"/>
      <x:c r="Q295" s="27"/>
      <x:c r="R295" s="22">
        <x:f>IF(N295="","تکمیل نشده",IF(N295="ادغام با تفصیلی دیگر",IF(O295="","کلید مقصد خالی است",IF(IFERROR(MATCH(O295*1,$A:$A,0),0)=0,"کلید مقصد در این فهرست نیست",IF(O295*1=A295,"ادغام با خودش","OK"))),"OK"))</x:f>
      </x:c>
      <x:c r="S295" s="28"/>
    </x:row>
    <x:row r="296" spans="1:19">
      <x:c r="A296" s="21">
        <x:v>2539</x:v>
      </x:c>
      <x:c r="B296" s="22" t="s">
        <x:v>82</x:v>
      </x:c>
      <x:c r="C296" s="22" t="s">
        <x:v>286</x:v>
      </x:c>
      <x:c r="D296" s="22" t="s">
        <x:v>939</x:v>
      </x:c>
      <x:c r="E296" s="22" t="s">
        <x:v>940</x:v>
      </x:c>
      <x:c r="F296" s="22" t="s">
        <x:v>287</x:v>
      </x:c>
      <x:c r="G296" s="22">
        <x:v>6</x:v>
      </x:c>
      <x:c r="H296" s="23">
        <x:v>459313729</x:v>
      </x:c>
      <x:c r="I296" s="23">
        <x:v>107588926</x:v>
      </x:c>
      <x:c r="J296" s="23">
        <x:f>H296-I296</x:f>
      </x:c>
      <x:c r="K296" s="22">
        <x:v>2</x:v>
      </x:c>
      <x:c r="L296" s="24" t="s">
        <x:v>675</x:v>
      </x:c>
      <x:c r="M296" s="24">
        <x:v>2490</x:v>
      </x:c>
      <x:c r="N296" s="27" t="s">
        <x:v>675</x:v>
      </x:c>
      <x:c r="O296" s="27">
        <x:v>2490</x:v>
      </x:c>
      <x:c r="P296" s="26"/>
      <x:c r="Q296" s="27"/>
      <x:c r="R296" s="22">
        <x:f>IF(N296="","تکمیل نشده",IF(N296="ادغام با تفصیلی دیگر",IF(O296="","کلید مقصد خالی است",IF(IFERROR(MATCH(O296*1,$A:$A,0),0)=0,"کلید مقصد در این فهرست نیست",IF(O296*1=A296,"ادغام با خودش","OK"))),"OK"))</x:f>
      </x:c>
      <x:c r="S296" s="28"/>
    </x:row>
    <x:row r="297" spans="1:19">
      <x:c r="A297" s="21">
        <x:v>3608</x:v>
      </x:c>
      <x:c r="B297" s="22" t="s">
        <x:v>82</x:v>
      </x:c>
      <x:c r="C297" s="22" t="s">
        <x:v>286</x:v>
      </x:c>
      <x:c r="D297" s="22" t="s">
        <x:v>941</x:v>
      </x:c>
      <x:c r="E297" s="22" t="s">
        <x:v>942</x:v>
      </x:c>
      <x:c r="F297" s="22" t="s">
        <x:v>287</x:v>
      </x:c>
      <x:c r="G297" s="22">
        <x:v>2</x:v>
      </x:c>
      <x:c r="H297" s="23">
        <x:v>0</x:v>
      </x:c>
      <x:c r="I297" s="23">
        <x:v>43225498</x:v>
      </x:c>
      <x:c r="J297" s="23">
        <x:f>H297-I297</x:f>
      </x:c>
      <x:c r="K297" s="22">
        <x:v>2</x:v>
      </x:c>
      <x:c r="L297" s="24" t="s">
        <x:v>675</x:v>
      </x:c>
      <x:c r="M297" s="24">
        <x:v>3607</x:v>
      </x:c>
      <x:c r="N297" s="27" t="s">
        <x:v>675</x:v>
      </x:c>
      <x:c r="O297" s="27">
        <x:v>3607</x:v>
      </x:c>
      <x:c r="P297" s="26"/>
      <x:c r="Q297" s="27"/>
      <x:c r="R297" s="22">
        <x:f>IF(N297="","تکمیل نشده",IF(N297="ادغام با تفصیلی دیگر",IF(O297="","کلید مقصد خالی است",IF(IFERROR(MATCH(O297*1,$A:$A,0),0)=0,"کلید مقصد در این فهرست نیست",IF(O297*1=A297,"ادغام با خودش","OK"))),"OK"))</x:f>
      </x:c>
      <x:c r="S297" s="28"/>
    </x:row>
    <x:row r="298" spans="1:19">
      <x:c r="A298" s="21">
        <x:v>2541</x:v>
      </x:c>
      <x:c r="B298" s="22" t="s">
        <x:v>82</x:v>
      </x:c>
      <x:c r="C298" s="22" t="s">
        <x:v>286</x:v>
      </x:c>
      <x:c r="D298" s="22" t="s">
        <x:v>943</x:v>
      </x:c>
      <x:c r="E298" s="22" t="s">
        <x:v>944</x:v>
      </x:c>
      <x:c r="F298" s="22" t="s">
        <x:v>287</x:v>
      </x:c>
      <x:c r="G298" s="22">
        <x:v>6</x:v>
      </x:c>
      <x:c r="H298" s="23">
        <x:v>301149577</x:v>
      </x:c>
      <x:c r="I298" s="23">
        <x:v>62100241</x:v>
      </x:c>
      <x:c r="J298" s="23">
        <x:f>H298-I298</x:f>
      </x:c>
      <x:c r="K298" s="22">
        <x:v>2</x:v>
      </x:c>
      <x:c r="L298" s="24" t="s">
        <x:v>675</x:v>
      </x:c>
      <x:c r="M298" s="24">
        <x:v>2492</x:v>
      </x:c>
      <x:c r="N298" s="27" t="s">
        <x:v>675</x:v>
      </x:c>
      <x:c r="O298" s="27">
        <x:v>2492</x:v>
      </x:c>
      <x:c r="P298" s="26"/>
      <x:c r="Q298" s="27"/>
      <x:c r="R298" s="22">
        <x:f>IF(N298="","تکمیل نشده",IF(N298="ادغام با تفصیلی دیگر",IF(O298="","کلید مقصد خالی است",IF(IFERROR(MATCH(O298*1,$A:$A,0),0)=0,"کلید مقصد در این فهرست نیست",IF(O298*1=A298,"ادغام با خودش","OK"))),"OK"))</x:f>
      </x:c>
      <x:c r="S298" s="28"/>
    </x:row>
    <x:row r="299" spans="1:19">
      <x:c r="A299" s="21">
        <x:v>3820</x:v>
      </x:c>
      <x:c r="B299" s="22" t="s">
        <x:v>82</x:v>
      </x:c>
      <x:c r="C299" s="22" t="s">
        <x:v>286</x:v>
      </x:c>
      <x:c r="D299" s="22" t="s">
        <x:v>945</x:v>
      </x:c>
      <x:c r="E299" s="22" t="s">
        <x:v>759</x:v>
      </x:c>
      <x:c r="F299" s="22" t="s">
        <x:v>287</x:v>
      </x:c>
      <x:c r="G299" s="22">
        <x:v>2</x:v>
      </x:c>
      <x:c r="H299" s="23">
        <x:v>1545246962</x:v>
      </x:c>
      <x:c r="I299" s="23">
        <x:v>1790449184</x:v>
      </x:c>
      <x:c r="J299" s="23">
        <x:f>H299-I299</x:f>
      </x:c>
      <x:c r="K299" s="22">
        <x:v>3</x:v>
      </x:c>
      <x:c r="L299" s="24" t="s">
        <x:v>675</x:v>
      </x:c>
      <x:c r="M299" s="24">
        <x:v>3818</x:v>
      </x:c>
      <x:c r="N299" s="27" t="s">
        <x:v>675</x:v>
      </x:c>
      <x:c r="O299" s="27">
        <x:v>3818</x:v>
      </x:c>
      <x:c r="P299" s="26"/>
      <x:c r="Q299" s="27"/>
      <x:c r="R299" s="22">
        <x:f>IF(N299="","تکمیل نشده",IF(N299="ادغام با تفصیلی دیگر",IF(O299="","کلید مقصد خالی است",IF(IFERROR(MATCH(O299*1,$A:$A,0),0)=0,"کلید مقصد در این فهرست نیست",IF(O299*1=A299,"ادغام با خودش","OK"))),"OK"))</x:f>
      </x:c>
      <x:c r="S299" s="28"/>
    </x:row>
    <x:row r="300" spans="1:19">
      <x:c r="A300" s="21">
        <x:v>3604</x:v>
      </x:c>
      <x:c r="B300" s="22" t="s">
        <x:v>82</x:v>
      </x:c>
      <x:c r="C300" s="22" t="s">
        <x:v>286</x:v>
      </x:c>
      <x:c r="D300" s="22" t="s">
        <x:v>946</x:v>
      </x:c>
      <x:c r="E300" s="22" t="s">
        <x:v>947</x:v>
      </x:c>
      <x:c r="F300" s="22" t="s">
        <x:v>287</x:v>
      </x:c>
      <x:c r="G300" s="22">
        <x:v>2</x:v>
      </x:c>
      <x:c r="H300" s="23">
        <x:v>27397485</x:v>
      </x:c>
      <x:c r="I300" s="23">
        <x:v>151275279</x:v>
      </x:c>
      <x:c r="J300" s="23">
        <x:f>H300-I300</x:f>
      </x:c>
      <x:c r="K300" s="22">
        <x:v>2</x:v>
      </x:c>
      <x:c r="L300" s="24" t="s">
        <x:v>675</x:v>
      </x:c>
      <x:c r="M300" s="24">
        <x:v>3603</x:v>
      </x:c>
      <x:c r="N300" s="27" t="s">
        <x:v>675</x:v>
      </x:c>
      <x:c r="O300" s="27">
        <x:v>3603</x:v>
      </x:c>
      <x:c r="P300" s="26"/>
      <x:c r="Q300" s="27"/>
      <x:c r="R300" s="22">
        <x:f>IF(N300="","تکمیل نشده",IF(N300="ادغام با تفصیلی دیگر",IF(O300="","کلید مقصد خالی است",IF(IFERROR(MATCH(O300*1,$A:$A,0),0)=0,"کلید مقصد در این فهرست نیست",IF(O300*1=A300,"ادغام با خودش","OK"))),"OK"))</x:f>
      </x:c>
      <x:c r="S300" s="28"/>
    </x:row>
    <x:row r="301" spans="1:19">
      <x:c r="A301" s="21">
        <x:v>2542</x:v>
      </x:c>
      <x:c r="B301" s="22" t="s">
        <x:v>82</x:v>
      </x:c>
      <x:c r="C301" s="22" t="s">
        <x:v>286</x:v>
      </x:c>
      <x:c r="D301" s="22" t="s">
        <x:v>948</x:v>
      </x:c>
      <x:c r="E301" s="22" t="s">
        <x:v>949</x:v>
      </x:c>
      <x:c r="F301" s="22" t="s">
        <x:v>287</x:v>
      </x:c>
      <x:c r="G301" s="22">
        <x:v>6</x:v>
      </x:c>
      <x:c r="H301" s="23">
        <x:v>817712940</x:v>
      </x:c>
      <x:c r="I301" s="23">
        <x:v>274207030</x:v>
      </x:c>
      <x:c r="J301" s="23">
        <x:f>H301-I301</x:f>
      </x:c>
      <x:c r="K301" s="22">
        <x:v>2</x:v>
      </x:c>
      <x:c r="L301" s="24" t="s">
        <x:v>675</x:v>
      </x:c>
      <x:c r="M301" s="24">
        <x:v>2493</x:v>
      </x:c>
      <x:c r="N301" s="27" t="s">
        <x:v>675</x:v>
      </x:c>
      <x:c r="O301" s="27">
        <x:v>2493</x:v>
      </x:c>
      <x:c r="P301" s="26"/>
      <x:c r="Q301" s="27"/>
      <x:c r="R301" s="22">
        <x:f>IF(N301="","تکمیل نشده",IF(N301="ادغام با تفصیلی دیگر",IF(O301="","کلید مقصد خالی است",IF(IFERROR(MATCH(O301*1,$A:$A,0),0)=0,"کلید مقصد در این فهرست نیست",IF(O301*1=A301,"ادغام با خودش","OK"))),"OK"))</x:f>
      </x:c>
      <x:c r="S301" s="28"/>
    </x:row>
    <x:row r="302" spans="1:19">
      <x:c r="A302" s="21">
        <x:v>3705</x:v>
      </x:c>
      <x:c r="B302" s="22" t="s">
        <x:v>82</x:v>
      </x:c>
      <x:c r="C302" s="22" t="s">
        <x:v>286</x:v>
      </x:c>
      <x:c r="D302" s="22" t="s">
        <x:v>950</x:v>
      </x:c>
      <x:c r="E302" s="22" t="s">
        <x:v>951</x:v>
      </x:c>
      <x:c r="F302" s="22" t="s">
        <x:v>287</x:v>
      </x:c>
      <x:c r="G302" s="22">
        <x:v>2</x:v>
      </x:c>
      <x:c r="H302" s="23">
        <x:v>0</x:v>
      </x:c>
      <x:c r="I302" s="23">
        <x:v>155791205</x:v>
      </x:c>
      <x:c r="J302" s="23">
        <x:f>H302-I302</x:f>
      </x:c>
      <x:c r="K302" s="22">
        <x:v>2</x:v>
      </x:c>
      <x:c r="L302" s="24" t="s">
        <x:v>675</x:v>
      </x:c>
      <x:c r="M302" s="24">
        <x:v>3704</x:v>
      </x:c>
      <x:c r="N302" s="27" t="s">
        <x:v>675</x:v>
      </x:c>
      <x:c r="O302" s="27">
        <x:v>3704</x:v>
      </x:c>
      <x:c r="P302" s="26"/>
      <x:c r="Q302" s="27"/>
      <x:c r="R302" s="22">
        <x:f>IF(N302="","تکمیل نشده",IF(N302="ادغام با تفصیلی دیگر",IF(O302="","کلید مقصد خالی است",IF(IFERROR(MATCH(O302*1,$A:$A,0),0)=0,"کلید مقصد در این فهرست نیست",IF(O302*1=A302,"ادغام با خودش","OK"))),"OK"))</x:f>
      </x:c>
      <x:c r="S302" s="28"/>
    </x:row>
    <x:row r="303" spans="1:19">
      <x:c r="A303" s="21">
        <x:v>2543</x:v>
      </x:c>
      <x:c r="B303" s="22" t="s">
        <x:v>82</x:v>
      </x:c>
      <x:c r="C303" s="22" t="s">
        <x:v>286</x:v>
      </x:c>
      <x:c r="D303" s="22" t="s">
        <x:v>952</x:v>
      </x:c>
      <x:c r="E303" s="22" t="s">
        <x:v>818</x:v>
      </x:c>
      <x:c r="F303" s="22" t="s">
        <x:v>287</x:v>
      </x:c>
      <x:c r="G303" s="22">
        <x:v>6</x:v>
      </x:c>
      <x:c r="H303" s="23">
        <x:v>35173370</x:v>
      </x:c>
      <x:c r="I303" s="23">
        <x:v>7034674</x:v>
      </x:c>
      <x:c r="J303" s="23">
        <x:f>H303-I303</x:f>
      </x:c>
      <x:c r="K303" s="22">
        <x:v>4</x:v>
      </x:c>
      <x:c r="L303" s="24" t="s">
        <x:v>675</x:v>
      </x:c>
      <x:c r="M303" s="24">
        <x:v>576</x:v>
      </x:c>
      <x:c r="N303" s="27" t="s">
        <x:v>675</x:v>
      </x:c>
      <x:c r="O303" s="27">
        <x:v>576</x:v>
      </x:c>
      <x:c r="P303" s="26"/>
      <x:c r="Q303" s="27"/>
      <x:c r="R303" s="22">
        <x:f>IF(N303="","تکمیل نشده",IF(N303="ادغام با تفصیلی دیگر",IF(O303="","کلید مقصد خالی است",IF(IFERROR(MATCH(O303*1,$A:$A,0),0)=0,"کلید مقصد در این فهرست نیست",IF(O303*1=A303,"ادغام با خودش","OK"))),"OK"))</x:f>
      </x:c>
      <x:c r="S303" s="28"/>
    </x:row>
    <x:row r="304" spans="1:19">
      <x:c r="A304" s="21">
        <x:v>2544</x:v>
      </x:c>
      <x:c r="B304" s="22" t="s">
        <x:v>82</x:v>
      </x:c>
      <x:c r="C304" s="22" t="s">
        <x:v>286</x:v>
      </x:c>
      <x:c r="D304" s="22" t="s">
        <x:v>953</x:v>
      </x:c>
      <x:c r="E304" s="22" t="s">
        <x:v>954</x:v>
      </x:c>
      <x:c r="F304" s="22" t="s">
        <x:v>287</x:v>
      </x:c>
      <x:c r="G304" s="22">
        <x:v>6</x:v>
      </x:c>
      <x:c r="H304" s="23">
        <x:v>913038672</x:v>
      </x:c>
      <x:c r="I304" s="23">
        <x:v>264395725</x:v>
      </x:c>
      <x:c r="J304" s="23">
        <x:f>H304-I304</x:f>
      </x:c>
      <x:c r="K304" s="22">
        <x:v>2</x:v>
      </x:c>
      <x:c r="L304" s="24" t="s">
        <x:v>675</x:v>
      </x:c>
      <x:c r="M304" s="24">
        <x:v>2495</x:v>
      </x:c>
      <x:c r="N304" s="27" t="s">
        <x:v>675</x:v>
      </x:c>
      <x:c r="O304" s="27">
        <x:v>2495</x:v>
      </x:c>
      <x:c r="P304" s="26"/>
      <x:c r="Q304" s="27"/>
      <x:c r="R304" s="22">
        <x:f>IF(N304="","تکمیل نشده",IF(N304="ادغام با تفصیلی دیگر",IF(O304="","کلید مقصد خالی است",IF(IFERROR(MATCH(O304*1,$A:$A,0),0)=0,"کلید مقصد در این فهرست نیست",IF(O304*1=A304,"ادغام با خودش","OK"))),"OK"))</x:f>
      </x:c>
      <x:c r="S304" s="28"/>
    </x:row>
    <x:row r="305" spans="1:19">
      <x:c r="A305" s="21">
        <x:v>2545</x:v>
      </x:c>
      <x:c r="B305" s="22" t="s">
        <x:v>82</x:v>
      </x:c>
      <x:c r="C305" s="22" t="s">
        <x:v>286</x:v>
      </x:c>
      <x:c r="D305" s="22" t="s">
        <x:v>955</x:v>
      </x:c>
      <x:c r="E305" s="22" t="s">
        <x:v>956</x:v>
      </x:c>
      <x:c r="F305" s="22" t="s">
        <x:v>287</x:v>
      </x:c>
      <x:c r="G305" s="22">
        <x:v>6</x:v>
      </x:c>
      <x:c r="H305" s="23">
        <x:v>54266866</x:v>
      </x:c>
      <x:c r="I305" s="23">
        <x:v>11741920</x:v>
      </x:c>
      <x:c r="J305" s="23">
        <x:f>H305-I305</x:f>
      </x:c>
      <x:c r="K305" s="22">
        <x:v>2</x:v>
      </x:c>
      <x:c r="L305" s="24" t="s">
        <x:v>675</x:v>
      </x:c>
      <x:c r="M305" s="24">
        <x:v>2496</x:v>
      </x:c>
      <x:c r="N305" s="27" t="s">
        <x:v>675</x:v>
      </x:c>
      <x:c r="O305" s="27">
        <x:v>2496</x:v>
      </x:c>
      <x:c r="P305" s="26"/>
      <x:c r="Q305" s="27"/>
      <x:c r="R305" s="22">
        <x:f>IF(N305="","تکمیل نشده",IF(N305="ادغام با تفصیلی دیگر",IF(O305="","کلید مقصد خالی است",IF(IFERROR(MATCH(O305*1,$A:$A,0),0)=0,"کلید مقصد در این فهرست نیست",IF(O305*1=A305,"ادغام با خودش","OK"))),"OK"))</x:f>
      </x:c>
      <x:c r="S305" s="28"/>
    </x:row>
    <x:row r="306" spans="1:19">
      <x:c r="A306" s="21">
        <x:v>2546</x:v>
      </x:c>
      <x:c r="B306" s="22" t="s">
        <x:v>82</x:v>
      </x:c>
      <x:c r="C306" s="22" t="s">
        <x:v>286</x:v>
      </x:c>
      <x:c r="D306" s="22" t="s">
        <x:v>957</x:v>
      </x:c>
      <x:c r="E306" s="22" t="s">
        <x:v>958</x:v>
      </x:c>
      <x:c r="F306" s="22" t="s">
        <x:v>287</x:v>
      </x:c>
      <x:c r="G306" s="22">
        <x:v>6</x:v>
      </x:c>
      <x:c r="H306" s="23">
        <x:v>518327252</x:v>
      </x:c>
      <x:c r="I306" s="23">
        <x:v>183542596</x:v>
      </x:c>
      <x:c r="J306" s="23">
        <x:f>H306-I306</x:f>
      </x:c>
      <x:c r="K306" s="22">
        <x:v>3</x:v>
      </x:c>
      <x:c r="L306" s="24" t="s">
        <x:v>675</x:v>
      </x:c>
      <x:c r="M306" s="24">
        <x:v>562</x:v>
      </x:c>
      <x:c r="N306" s="27" t="s">
        <x:v>675</x:v>
      </x:c>
      <x:c r="O306" s="27">
        <x:v>562</x:v>
      </x:c>
      <x:c r="P306" s="26"/>
      <x:c r="Q306" s="27"/>
      <x:c r="R306" s="22">
        <x:f>IF(N306="","تکمیل نشده",IF(N306="ادغام با تفصیلی دیگر",IF(O306="","کلید مقصد خالی است",IF(IFERROR(MATCH(O306*1,$A:$A,0),0)=0,"کلید مقصد در این فهرست نیست",IF(O306*1=A306,"ادغام با خودش","OK"))),"OK"))</x:f>
      </x:c>
      <x:c r="S306" s="28"/>
    </x:row>
    <x:row r="307" spans="1:19">
      <x:c r="A307" s="21">
        <x:v>2547</x:v>
      </x:c>
      <x:c r="B307" s="22" t="s">
        <x:v>82</x:v>
      </x:c>
      <x:c r="C307" s="22" t="s">
        <x:v>286</x:v>
      </x:c>
      <x:c r="D307" s="22" t="s">
        <x:v>959</x:v>
      </x:c>
      <x:c r="E307" s="22" t="s">
        <x:v>730</x:v>
      </x:c>
      <x:c r="F307" s="22" t="s">
        <x:v>287</x:v>
      </x:c>
      <x:c r="G307" s="22">
        <x:v>6</x:v>
      </x:c>
      <x:c r="H307" s="23">
        <x:v>533625820</x:v>
      </x:c>
      <x:c r="I307" s="23">
        <x:v>201722589</x:v>
      </x:c>
      <x:c r="J307" s="23">
        <x:f>H307-I307</x:f>
      </x:c>
      <x:c r="K307" s="22">
        <x:v>5</x:v>
      </x:c>
      <x:c r="L307" s="24" t="s">
        <x:v>675</x:v>
      </x:c>
      <x:c r="M307" s="24">
        <x:v>563</x:v>
      </x:c>
      <x:c r="N307" s="27" t="s">
        <x:v>675</x:v>
      </x:c>
      <x:c r="O307" s="27">
        <x:v>563</x:v>
      </x:c>
      <x:c r="P307" s="26"/>
      <x:c r="Q307" s="27"/>
      <x:c r="R307" s="22">
        <x:f>IF(N307="","تکمیل نشده",IF(N307="ادغام با تفصیلی دیگر",IF(O307="","کلید مقصد خالی است",IF(IFERROR(MATCH(O307*1,$A:$A,0),0)=0,"کلید مقصد در این فهرست نیست",IF(O307*1=A307,"ادغام با خودش","OK"))),"OK"))</x:f>
      </x:c>
      <x:c r="S307" s="28"/>
    </x:row>
    <x:row r="308" spans="1:19">
      <x:c r="A308" s="21">
        <x:v>2548</x:v>
      </x:c>
      <x:c r="B308" s="22" t="s">
        <x:v>82</x:v>
      </x:c>
      <x:c r="C308" s="22" t="s">
        <x:v>286</x:v>
      </x:c>
      <x:c r="D308" s="22" t="s">
        <x:v>960</x:v>
      </x:c>
      <x:c r="E308" s="22" t="s">
        <x:v>961</x:v>
      </x:c>
      <x:c r="F308" s="22" t="s">
        <x:v>287</x:v>
      </x:c>
      <x:c r="G308" s="22">
        <x:v>6</x:v>
      </x:c>
      <x:c r="H308" s="23">
        <x:v>307287395</x:v>
      </x:c>
      <x:c r="I308" s="23">
        <x:v>61457479</x:v>
      </x:c>
      <x:c r="J308" s="23">
        <x:f>H308-I308</x:f>
      </x:c>
      <x:c r="K308" s="22">
        <x:v>2</x:v>
      </x:c>
      <x:c r="L308" s="24" t="s">
        <x:v>675</x:v>
      </x:c>
      <x:c r="M308" s="24">
        <x:v>2499</x:v>
      </x:c>
      <x:c r="N308" s="27" t="s">
        <x:v>675</x:v>
      </x:c>
      <x:c r="O308" s="27">
        <x:v>2499</x:v>
      </x:c>
      <x:c r="P308" s="26"/>
      <x:c r="Q308" s="27"/>
      <x:c r="R308" s="22">
        <x:f>IF(N308="","تکمیل نشده",IF(N308="ادغام با تفصیلی دیگر",IF(O308="","کلید مقصد خالی است",IF(IFERROR(MATCH(O308*1,$A:$A,0),0)=0,"کلید مقصد در این فهرست نیست",IF(O308*1=A308,"ادغام با خودش","OK"))),"OK"))</x:f>
      </x:c>
      <x:c r="S308" s="28"/>
    </x:row>
    <x:row r="309" spans="1:19">
      <x:c r="A309" s="21">
        <x:v>3667</x:v>
      </x:c>
      <x:c r="B309" s="22" t="s">
        <x:v>82</x:v>
      </x:c>
      <x:c r="C309" s="22" t="s">
        <x:v>286</x:v>
      </x:c>
      <x:c r="D309" s="22" t="s">
        <x:v>962</x:v>
      </x:c>
      <x:c r="E309" s="22" t="s">
        <x:v>963</x:v>
      </x:c>
      <x:c r="F309" s="22" t="s">
        <x:v>287</x:v>
      </x:c>
      <x:c r="G309" s="22">
        <x:v>2</x:v>
      </x:c>
      <x:c r="H309" s="23">
        <x:v>0</x:v>
      </x:c>
      <x:c r="I309" s="23">
        <x:v>190841758</x:v>
      </x:c>
      <x:c r="J309" s="23">
        <x:f>H309-I309</x:f>
      </x:c>
      <x:c r="K309" s="22">
        <x:v>2</x:v>
      </x:c>
      <x:c r="L309" s="24" t="s">
        <x:v>675</x:v>
      </x:c>
      <x:c r="M309" s="24">
        <x:v>3665</x:v>
      </x:c>
      <x:c r="N309" s="27" t="s">
        <x:v>675</x:v>
      </x:c>
      <x:c r="O309" s="27">
        <x:v>3665</x:v>
      </x:c>
      <x:c r="P309" s="26"/>
      <x:c r="Q309" s="27"/>
      <x:c r="R309" s="22">
        <x:f>IF(N309="","تکمیل نشده",IF(N309="ادغام با تفصیلی دیگر",IF(O309="","کلید مقصد خالی است",IF(IFERROR(MATCH(O309*1,$A:$A,0),0)=0,"کلید مقصد در این فهرست نیست",IF(O309*1=A309,"ادغام با خودش","OK"))),"OK"))</x:f>
      </x:c>
      <x:c r="S309" s="28"/>
    </x:row>
    <x:row r="310" spans="1:19">
      <x:c r="A310" s="21">
        <x:v>2549</x:v>
      </x:c>
      <x:c r="B310" s="22" t="s">
        <x:v>82</x:v>
      </x:c>
      <x:c r="C310" s="22" t="s">
        <x:v>286</x:v>
      </x:c>
      <x:c r="D310" s="22" t="s">
        <x:v>964</x:v>
      </x:c>
      <x:c r="E310" s="22" t="s">
        <x:v>965</x:v>
      </x:c>
      <x:c r="F310" s="22" t="s">
        <x:v>287</x:v>
      </x:c>
      <x:c r="G310" s="22">
        <x:v>6</x:v>
      </x:c>
      <x:c r="H310" s="23">
        <x:v>165538056</x:v>
      </x:c>
      <x:c r="I310" s="23">
        <x:v>63870083</x:v>
      </x:c>
      <x:c r="J310" s="23">
        <x:f>H310-I310</x:f>
      </x:c>
      <x:c r="K310" s="22">
        <x:v>3</x:v>
      </x:c>
      <x:c r="L310" s="24" t="s">
        <x:v>675</x:v>
      </x:c>
      <x:c r="M310" s="24">
        <x:v>1534</x:v>
      </x:c>
      <x:c r="N310" s="27" t="s">
        <x:v>675</x:v>
      </x:c>
      <x:c r="O310" s="27">
        <x:v>1534</x:v>
      </x:c>
      <x:c r="P310" s="26"/>
      <x:c r="Q310" s="27"/>
      <x:c r="R310" s="22">
        <x:f>IF(N310="","تکمیل نشده",IF(N310="ادغام با تفصیلی دیگر",IF(O310="","کلید مقصد خالی است",IF(IFERROR(MATCH(O310*1,$A:$A,0),0)=0,"کلید مقصد در این فهرست نیست",IF(O310*1=A310,"ادغام با خودش","OK"))),"OK"))</x:f>
      </x:c>
      <x:c r="S310" s="28"/>
    </x:row>
    <x:row r="311" spans="1:19">
      <x:c r="A311" s="21">
        <x:v>3662</x:v>
      </x:c>
      <x:c r="B311" s="22" t="s">
        <x:v>82</x:v>
      </x:c>
      <x:c r="C311" s="22" t="s">
        <x:v>286</x:v>
      </x:c>
      <x:c r="D311" s="22" t="s">
        <x:v>966</x:v>
      </x:c>
      <x:c r="E311" s="22" t="s">
        <x:v>740</x:v>
      </x:c>
      <x:c r="F311" s="22" t="s">
        <x:v>287</x:v>
      </x:c>
      <x:c r="G311" s="22">
        <x:v>2</x:v>
      </x:c>
      <x:c r="H311" s="23">
        <x:v>0</x:v>
      </x:c>
      <x:c r="I311" s="23">
        <x:v>103655471</x:v>
      </x:c>
      <x:c r="J311" s="23">
        <x:f>H311-I311</x:f>
      </x:c>
      <x:c r="K311" s="22">
        <x:v>3</x:v>
      </x:c>
      <x:c r="L311" s="24" t="s">
        <x:v>675</x:v>
      </x:c>
      <x:c r="M311" s="24">
        <x:v>588</x:v>
      </x:c>
      <x:c r="N311" s="27" t="s">
        <x:v>675</x:v>
      </x:c>
      <x:c r="O311" s="27">
        <x:v>588</x:v>
      </x:c>
      <x:c r="P311" s="26"/>
      <x:c r="Q311" s="27"/>
      <x:c r="R311" s="22">
        <x:f>IF(N311="","تکمیل نشده",IF(N311="ادغام با تفصیلی دیگر",IF(O311="","کلید مقصد خالی است",IF(IFERROR(MATCH(O311*1,$A:$A,0),0)=0,"کلید مقصد در این فهرست نیست",IF(O311*1=A311,"ادغام با خودش","OK"))),"OK"))</x:f>
      </x:c>
      <x:c r="S311" s="28"/>
    </x:row>
    <x:row r="312" spans="1:19">
      <x:c r="A312" s="21">
        <x:v>2550</x:v>
      </x:c>
      <x:c r="B312" s="22" t="s">
        <x:v>82</x:v>
      </x:c>
      <x:c r="C312" s="22" t="s">
        <x:v>286</x:v>
      </x:c>
      <x:c r="D312" s="22" t="s">
        <x:v>967</x:v>
      </x:c>
      <x:c r="E312" s="22" t="s">
        <x:v>968</x:v>
      </x:c>
      <x:c r="F312" s="22" t="s">
        <x:v>287</x:v>
      </x:c>
      <x:c r="G312" s="22">
        <x:v>6</x:v>
      </x:c>
      <x:c r="H312" s="23">
        <x:v>210654324</x:v>
      </x:c>
      <x:c r="I312" s="23">
        <x:v>69719078</x:v>
      </x:c>
      <x:c r="J312" s="23">
        <x:f>H312-I312</x:f>
      </x:c>
      <x:c r="K312" s="22">
        <x:v>2</x:v>
      </x:c>
      <x:c r="L312" s="24" t="s">
        <x:v>675</x:v>
      </x:c>
      <x:c r="M312" s="24">
        <x:v>2501</x:v>
      </x:c>
      <x:c r="N312" s="27" t="s">
        <x:v>675</x:v>
      </x:c>
      <x:c r="O312" s="27">
        <x:v>2501</x:v>
      </x:c>
      <x:c r="P312" s="26"/>
      <x:c r="Q312" s="27"/>
      <x:c r="R312" s="22">
        <x:f>IF(N312="","تکمیل نشده",IF(N312="ادغام با تفصیلی دیگر",IF(O312="","کلید مقصد خالی است",IF(IFERROR(MATCH(O312*1,$A:$A,0),0)=0,"کلید مقصد در این فهرست نیست",IF(O312*1=A312,"ادغام با خودش","OK"))),"OK"))</x:f>
      </x:c>
      <x:c r="S312" s="28"/>
    </x:row>
    <x:row r="313" spans="1:19">
      <x:c r="A313" s="21">
        <x:v>2551</x:v>
      </x:c>
      <x:c r="B313" s="22" t="s">
        <x:v>82</x:v>
      </x:c>
      <x:c r="C313" s="22" t="s">
        <x:v>286</x:v>
      </x:c>
      <x:c r="D313" s="22" t="s">
        <x:v>969</x:v>
      </x:c>
      <x:c r="E313" s="22" t="s">
        <x:v>970</x:v>
      </x:c>
      <x:c r="F313" s="22" t="s">
        <x:v>287</x:v>
      </x:c>
      <x:c r="G313" s="22">
        <x:v>6</x:v>
      </x:c>
      <x:c r="H313" s="23">
        <x:v>152121844</x:v>
      </x:c>
      <x:c r="I313" s="23">
        <x:v>49785340</x:v>
      </x:c>
      <x:c r="J313" s="23">
        <x:f>H313-I313</x:f>
      </x:c>
      <x:c r="K313" s="22">
        <x:v>2</x:v>
      </x:c>
      <x:c r="L313" s="24" t="s">
        <x:v>675</x:v>
      </x:c>
      <x:c r="M313" s="24">
        <x:v>2502</x:v>
      </x:c>
      <x:c r="N313" s="27" t="s">
        <x:v>675</x:v>
      </x:c>
      <x:c r="O313" s="27">
        <x:v>2502</x:v>
      </x:c>
      <x:c r="P313" s="26"/>
      <x:c r="Q313" s="27"/>
      <x:c r="R313" s="22">
        <x:f>IF(N313="","تکمیل نشده",IF(N313="ادغام با تفصیلی دیگر",IF(O313="","کلید مقصد خالی است",IF(IFERROR(MATCH(O313*1,$A:$A,0),0)=0,"کلید مقصد در این فهرست نیست",IF(O313*1=A313,"ادغام با خودش","OK"))),"OK"))</x:f>
      </x:c>
      <x:c r="S313" s="28"/>
    </x:row>
    <x:row r="314" spans="1:19">
      <x:c r="A314" s="21">
        <x:v>2552</x:v>
      </x:c>
      <x:c r="B314" s="22" t="s">
        <x:v>82</x:v>
      </x:c>
      <x:c r="C314" s="22" t="s">
        <x:v>286</x:v>
      </x:c>
      <x:c r="D314" s="22" t="s">
        <x:v>971</x:v>
      </x:c>
      <x:c r="E314" s="22" t="s">
        <x:v>972</x:v>
      </x:c>
      <x:c r="F314" s="22" t="s">
        <x:v>287</x:v>
      </x:c>
      <x:c r="G314" s="22">
        <x:v>6</x:v>
      </x:c>
      <x:c r="H314" s="23">
        <x:v>142457830</x:v>
      </x:c>
      <x:c r="I314" s="23">
        <x:v>28491566</x:v>
      </x:c>
      <x:c r="J314" s="23">
        <x:f>H314-I314</x:f>
      </x:c>
      <x:c r="K314" s="22">
        <x:v>2</x:v>
      </x:c>
      <x:c r="L314" s="24" t="s">
        <x:v>675</x:v>
      </x:c>
      <x:c r="M314" s="24">
        <x:v>2503</x:v>
      </x:c>
      <x:c r="N314" s="27" t="s">
        <x:v>675</x:v>
      </x:c>
      <x:c r="O314" s="27">
        <x:v>2503</x:v>
      </x:c>
      <x:c r="P314" s="26"/>
      <x:c r="Q314" s="27"/>
      <x:c r="R314" s="22">
        <x:f>IF(N314="","تکمیل نشده",IF(N314="ادغام با تفصیلی دیگر",IF(O314="","کلید مقصد خالی است",IF(IFERROR(MATCH(O314*1,$A:$A,0),0)=0,"کلید مقصد در این فهرست نیست",IF(O314*1=A314,"ادغام با خودش","OK"))),"OK"))</x:f>
      </x:c>
      <x:c r="S314" s="28"/>
    </x:row>
    <x:row r="315" spans="1:19">
      <x:c r="A315" s="21">
        <x:v>2553</x:v>
      </x:c>
      <x:c r="B315" s="22" t="s">
        <x:v>82</x:v>
      </x:c>
      <x:c r="C315" s="22" t="s">
        <x:v>286</x:v>
      </x:c>
      <x:c r="D315" s="22" t="s">
        <x:v>973</x:v>
      </x:c>
      <x:c r="E315" s="22" t="s">
        <x:v>974</x:v>
      </x:c>
      <x:c r="F315" s="22" t="s">
        <x:v>287</x:v>
      </x:c>
      <x:c r="G315" s="22">
        <x:v>6</x:v>
      </x:c>
      <x:c r="H315" s="23">
        <x:v>241444900</x:v>
      </x:c>
      <x:c r="I315" s="23">
        <x:v>86409431</x:v>
      </x:c>
      <x:c r="J315" s="23">
        <x:f>H315-I315</x:f>
      </x:c>
      <x:c r="K315" s="22">
        <x:v>2</x:v>
      </x:c>
      <x:c r="L315" s="24" t="s">
        <x:v>675</x:v>
      </x:c>
      <x:c r="M315" s="24">
        <x:v>2504</x:v>
      </x:c>
      <x:c r="N315" s="27" t="s">
        <x:v>675</x:v>
      </x:c>
      <x:c r="O315" s="27">
        <x:v>2504</x:v>
      </x:c>
      <x:c r="P315" s="26"/>
      <x:c r="Q315" s="27"/>
      <x:c r="R315" s="22">
        <x:f>IF(N315="","تکمیل نشده",IF(N315="ادغام با تفصیلی دیگر",IF(O315="","کلید مقصد خالی است",IF(IFERROR(MATCH(O315*1,$A:$A,0),0)=0,"کلید مقصد در این فهرست نیست",IF(O315*1=A315,"ادغام با خودش","OK"))),"OK"))</x:f>
      </x:c>
      <x:c r="S315" s="28"/>
    </x:row>
    <x:row r="316" spans="1:19">
      <x:c r="A316" s="21">
        <x:v>2554</x:v>
      </x:c>
      <x:c r="B316" s="22" t="s">
        <x:v>82</x:v>
      </x:c>
      <x:c r="C316" s="22" t="s">
        <x:v>286</x:v>
      </x:c>
      <x:c r="D316" s="22" t="s">
        <x:v>975</x:v>
      </x:c>
      <x:c r="E316" s="22" t="s">
        <x:v>976</x:v>
      </x:c>
      <x:c r="F316" s="22" t="s">
        <x:v>287</x:v>
      </x:c>
      <x:c r="G316" s="22">
        <x:v>6</x:v>
      </x:c>
      <x:c r="H316" s="23">
        <x:v>289976868</x:v>
      </x:c>
      <x:c r="I316" s="23">
        <x:v>82822347</x:v>
      </x:c>
      <x:c r="J316" s="23">
        <x:f>H316-I316</x:f>
      </x:c>
      <x:c r="K316" s="22">
        <x:v>2</x:v>
      </x:c>
      <x:c r="L316" s="24" t="s">
        <x:v>675</x:v>
      </x:c>
      <x:c r="M316" s="24">
        <x:v>2505</x:v>
      </x:c>
      <x:c r="N316" s="27" t="s">
        <x:v>675</x:v>
      </x:c>
      <x:c r="O316" s="27">
        <x:v>2505</x:v>
      </x:c>
      <x:c r="P316" s="26"/>
      <x:c r="Q316" s="27"/>
      <x:c r="R316" s="22">
        <x:f>IF(N316="","تکمیل نشده",IF(N316="ادغام با تفصیلی دیگر",IF(O316="","کلید مقصد خالی است",IF(IFERROR(MATCH(O316*1,$A:$A,0),0)=0,"کلید مقصد در این فهرست نیست",IF(O316*1=A316,"ادغام با خودش","OK"))),"OK"))</x:f>
      </x:c>
      <x:c r="S316" s="28"/>
    </x:row>
    <x:row r="317" spans="1:19">
      <x:c r="A317" s="21">
        <x:v>2555</x:v>
      </x:c>
      <x:c r="B317" s="22" t="s">
        <x:v>82</x:v>
      </x:c>
      <x:c r="C317" s="22" t="s">
        <x:v>286</x:v>
      </x:c>
      <x:c r="D317" s="22" t="s">
        <x:v>977</x:v>
      </x:c>
      <x:c r="E317" s="22" t="s">
        <x:v>978</x:v>
      </x:c>
      <x:c r="F317" s="22" t="s">
        <x:v>287</x:v>
      </x:c>
      <x:c r="G317" s="22">
        <x:v>6</x:v>
      </x:c>
      <x:c r="H317" s="23">
        <x:v>261220168</x:v>
      </x:c>
      <x:c r="I317" s="23">
        <x:v>97054595</x:v>
      </x:c>
      <x:c r="J317" s="23">
        <x:f>H317-I317</x:f>
      </x:c>
      <x:c r="K317" s="22">
        <x:v>2</x:v>
      </x:c>
      <x:c r="L317" s="24" t="s">
        <x:v>675</x:v>
      </x:c>
      <x:c r="M317" s="24">
        <x:v>2506</x:v>
      </x:c>
      <x:c r="N317" s="27" t="s">
        <x:v>675</x:v>
      </x:c>
      <x:c r="O317" s="27">
        <x:v>2506</x:v>
      </x:c>
      <x:c r="P317" s="26"/>
      <x:c r="Q317" s="27"/>
      <x:c r="R317" s="22">
        <x:f>IF(N317="","تکمیل نشده",IF(N317="ادغام با تفصیلی دیگر",IF(O317="","کلید مقصد خالی است",IF(IFERROR(MATCH(O317*1,$A:$A,0),0)=0,"کلید مقصد در این فهرست نیست",IF(O317*1=A317,"ادغام با خودش","OK"))),"OK"))</x:f>
      </x:c>
      <x:c r="S317" s="28"/>
    </x:row>
    <x:row r="318" spans="1:19">
      <x:c r="A318" s="21">
        <x:v>2556</x:v>
      </x:c>
      <x:c r="B318" s="22" t="s">
        <x:v>82</x:v>
      </x:c>
      <x:c r="C318" s="22" t="s">
        <x:v>286</x:v>
      </x:c>
      <x:c r="D318" s="22" t="s">
        <x:v>979</x:v>
      </x:c>
      <x:c r="E318" s="22" t="s">
        <x:v>980</x:v>
      </x:c>
      <x:c r="F318" s="22" t="s">
        <x:v>287</x:v>
      </x:c>
      <x:c r="G318" s="22">
        <x:v>6</x:v>
      </x:c>
      <x:c r="H318" s="23">
        <x:v>742815080</x:v>
      </x:c>
      <x:c r="I318" s="23">
        <x:v>269493043</x:v>
      </x:c>
      <x:c r="J318" s="23">
        <x:f>H318-I318</x:f>
      </x:c>
      <x:c r="K318" s="22">
        <x:v>2</x:v>
      </x:c>
      <x:c r="L318" s="24" t="s">
        <x:v>675</x:v>
      </x:c>
      <x:c r="M318" s="24">
        <x:v>2507</x:v>
      </x:c>
      <x:c r="N318" s="27" t="s">
        <x:v>675</x:v>
      </x:c>
      <x:c r="O318" s="27">
        <x:v>2507</x:v>
      </x:c>
      <x:c r="P318" s="26"/>
      <x:c r="Q318" s="27"/>
      <x:c r="R318" s="22">
        <x:f>IF(N318="","تکمیل نشده",IF(N318="ادغام با تفصیلی دیگر",IF(O318="","کلید مقصد خالی است",IF(IFERROR(MATCH(O318*1,$A:$A,0),0)=0,"کلید مقصد در این فهرست نیست",IF(O318*1=A318,"ادغام با خودش","OK"))),"OK"))</x:f>
      </x:c>
      <x:c r="S318" s="28"/>
    </x:row>
    <x:row r="319" spans="1:19">
      <x:c r="A319" s="21">
        <x:v>2557</x:v>
      </x:c>
      <x:c r="B319" s="22" t="s">
        <x:v>82</x:v>
      </x:c>
      <x:c r="C319" s="22" t="s">
        <x:v>286</x:v>
      </x:c>
      <x:c r="D319" s="22" t="s">
        <x:v>981</x:v>
      </x:c>
      <x:c r="E319" s="22" t="s">
        <x:v>744</x:v>
      </x:c>
      <x:c r="F319" s="22" t="s">
        <x:v>287</x:v>
      </x:c>
      <x:c r="G319" s="22">
        <x:v>6</x:v>
      </x:c>
      <x:c r="H319" s="23">
        <x:v>506223340</x:v>
      </x:c>
      <x:c r="I319" s="23">
        <x:v>193466863</x:v>
      </x:c>
      <x:c r="J319" s="23">
        <x:f>H319-I319</x:f>
      </x:c>
      <x:c r="K319" s="22">
        <x:v>3</x:v>
      </x:c>
      <x:c r="L319" s="24" t="s">
        <x:v>675</x:v>
      </x:c>
      <x:c r="M319" s="24">
        <x:v>3842</x:v>
      </x:c>
      <x:c r="N319" s="27" t="s">
        <x:v>675</x:v>
      </x:c>
      <x:c r="O319" s="27">
        <x:v>3842</x:v>
      </x:c>
      <x:c r="P319" s="26"/>
      <x:c r="Q319" s="27"/>
      <x:c r="R319" s="22">
        <x:f>IF(N319="","تکمیل نشده",IF(N319="ادغام با تفصیلی دیگر",IF(O319="","کلید مقصد خالی است",IF(IFERROR(MATCH(O319*1,$A:$A,0),0)=0,"کلید مقصد در این فهرست نیست",IF(O319*1=A319,"ادغام با خودش","OK"))),"OK"))</x:f>
      </x:c>
      <x:c r="S319" s="28"/>
    </x:row>
    <x:row r="320" spans="1:19">
      <x:c r="A320" s="21">
        <x:v>3606</x:v>
      </x:c>
      <x:c r="B320" s="22" t="s">
        <x:v>82</x:v>
      </x:c>
      <x:c r="C320" s="22" t="s">
        <x:v>286</x:v>
      </x:c>
      <x:c r="D320" s="22" t="s">
        <x:v>982</x:v>
      </x:c>
      <x:c r="E320" s="22" t="s">
        <x:v>983</x:v>
      </x:c>
      <x:c r="F320" s="22" t="s">
        <x:v>287</x:v>
      </x:c>
      <x:c r="G320" s="22">
        <x:v>2</x:v>
      </x:c>
      <x:c r="H320" s="23">
        <x:v>0</x:v>
      </x:c>
      <x:c r="I320" s="23">
        <x:v>70220306</x:v>
      </x:c>
      <x:c r="J320" s="23">
        <x:f>H320-I320</x:f>
      </x:c>
      <x:c r="K320" s="22">
        <x:v>2</x:v>
      </x:c>
      <x:c r="L320" s="24" t="s">
        <x:v>675</x:v>
      </x:c>
      <x:c r="M320" s="24">
        <x:v>3605</x:v>
      </x:c>
      <x:c r="N320" s="27" t="s">
        <x:v>675</x:v>
      </x:c>
      <x:c r="O320" s="27">
        <x:v>3605</x:v>
      </x:c>
      <x:c r="P320" s="26"/>
      <x:c r="Q320" s="27"/>
      <x:c r="R320" s="22">
        <x:f>IF(N320="","تکمیل نشده",IF(N320="ادغام با تفصیلی دیگر",IF(O320="","کلید مقصد خالی است",IF(IFERROR(MATCH(O320*1,$A:$A,0),0)=0,"کلید مقصد در این فهرست نیست",IF(O320*1=A320,"ادغام با خودش","OK"))),"OK"))</x:f>
      </x:c>
      <x:c r="S320" s="28"/>
    </x:row>
    <x:row r="321" spans="1:19">
      <x:c r="A321" s="21">
        <x:v>3796</x:v>
      </x:c>
      <x:c r="B321" s="22" t="s">
        <x:v>82</x:v>
      </x:c>
      <x:c r="C321" s="22" t="s">
        <x:v>286</x:v>
      </x:c>
      <x:c r="D321" s="22" t="s">
        <x:v>986</x:v>
      </x:c>
      <x:c r="E321" s="22" t="s">
        <x:v>987</x:v>
      </x:c>
      <x:c r="F321" s="22" t="s">
        <x:v>287</x:v>
      </x:c>
      <x:c r="G321" s="22">
        <x:v>2</x:v>
      </x:c>
      <x:c r="H321" s="23">
        <x:v>0</x:v>
      </x:c>
      <x:c r="I321" s="23">
        <x:v>139611346</x:v>
      </x:c>
      <x:c r="J321" s="23">
        <x:f>H321-I321</x:f>
      </x:c>
      <x:c r="K321" s="22">
        <x:v>2</x:v>
      </x:c>
      <x:c r="L321" s="24" t="s">
        <x:v>675</x:v>
      </x:c>
      <x:c r="M321" s="24">
        <x:v>3795</x:v>
      </x:c>
      <x:c r="N321" s="27" t="s">
        <x:v>675</x:v>
      </x:c>
      <x:c r="O321" s="27">
        <x:v>3795</x:v>
      </x:c>
      <x:c r="P321" s="26"/>
      <x:c r="Q321" s="27"/>
      <x:c r="R321" s="22">
        <x:f>IF(N321="","تکمیل نشده",IF(N321="ادغام با تفصیلی دیگر",IF(O321="","کلید مقصد خالی است",IF(IFERROR(MATCH(O321*1,$A:$A,0),0)=0,"کلید مقصد در این فهرست نیست",IF(O321*1=A321,"ادغام با خودش","OK"))),"OK"))</x:f>
      </x:c>
      <x:c r="S321" s="28"/>
    </x:row>
    <x:row r="322" spans="1:19">
      <x:c r="A322" s="21">
        <x:v>3794</x:v>
      </x:c>
      <x:c r="B322" s="22" t="s">
        <x:v>82</x:v>
      </x:c>
      <x:c r="C322" s="22" t="s">
        <x:v>286</x:v>
      </x:c>
      <x:c r="D322" s="22" t="s">
        <x:v>988</x:v>
      </x:c>
      <x:c r="E322" s="22" t="s">
        <x:v>989</x:v>
      </x:c>
      <x:c r="F322" s="22" t="s">
        <x:v>287</x:v>
      </x:c>
      <x:c r="G322" s="22">
        <x:v>2</x:v>
      </x:c>
      <x:c r="H322" s="23">
        <x:v>0</x:v>
      </x:c>
      <x:c r="I322" s="23">
        <x:v>110637435</x:v>
      </x:c>
      <x:c r="J322" s="23">
        <x:f>H322-I322</x:f>
      </x:c>
      <x:c r="K322" s="22">
        <x:v>2</x:v>
      </x:c>
      <x:c r="L322" s="24" t="s">
        <x:v>675</x:v>
      </x:c>
      <x:c r="M322" s="24">
        <x:v>3793</x:v>
      </x:c>
      <x:c r="N322" s="27" t="s">
        <x:v>675</x:v>
      </x:c>
      <x:c r="O322" s="27">
        <x:v>3793</x:v>
      </x:c>
      <x:c r="P322" s="26"/>
      <x:c r="Q322" s="27"/>
      <x:c r="R322" s="22">
        <x:f>IF(N322="","تکمیل نشده",IF(N322="ادغام با تفصیلی دیگر",IF(O322="","کلید مقصد خالی است",IF(IFERROR(MATCH(O322*1,$A:$A,0),0)=0,"کلید مقصد در این فهرست نیست",IF(O322*1=A322,"ادغام با خودش","OK"))),"OK"))</x:f>
      </x:c>
      <x:c r="S322" s="28"/>
    </x:row>
    <x:row r="323" spans="1:19">
      <x:c r="A323" s="21">
        <x:v>11242</x:v>
      </x:c>
      <x:c r="B323" s="22" t="s">
        <x:v>86</x:v>
      </x:c>
      <x:c r="C323" s="22" t="s">
        <x:v>204</x:v>
      </x:c>
      <x:c r="D323" s="22" t="s">
        <x:v>619</x:v>
      </x:c>
      <x:c r="E323" s="22" t="s">
        <x:v>288</x:v>
      </x:c>
      <x:c r="F323" s="22" t="s">
        <x:v>288</x:v>
      </x:c>
      <x:c r="G323" s="22">
        <x:v>1</x:v>
      </x:c>
      <x:c r="H323" s="23">
        <x:v>0</x:v>
      </x:c>
      <x:c r="I323" s="23">
        <x:v>1</x:v>
      </x:c>
      <x:c r="J323" s="23">
        <x:f>H323-I323</x:f>
      </x:c>
      <x:c r="K323" s="22">
        <x:v>3</x:v>
      </x:c>
      <x:c r="L323" s="24" t="s">
        <x:v>620</x:v>
      </x:c>
      <x:c r="M323" s="24"/>
      <x:c r="N323" s="27" t="s">
        <x:v>620</x:v>
      </x:c>
      <x:c r="O323" s="27"/>
      <x:c r="P323" s="26"/>
      <x:c r="Q323" s="27"/>
      <x:c r="R323" s="22">
        <x:f>IF(N323="","تکمیل نشده",IF(N323="ادغام با تفصیلی دیگر",IF(O323="","کلید مقصد خالی است",IF(IFERROR(MATCH(O323*1,$A:$A,0),0)=0,"کلید مقصد در این فهرست نیست",IF(O323*1=A323,"ادغام با خودش","OK"))),"OK"))</x:f>
      </x:c>
      <x:c r="S323" s="28"/>
    </x:row>
    <x:row r="324" spans="1:19">
      <x:c r="A324" s="21">
        <x:v>2588</x:v>
      </x:c>
      <x:c r="B324" s="22" t="s">
        <x:v>98</x:v>
      </x:c>
      <x:c r="C324" s="22" t="s">
        <x:v>199</x:v>
      </x:c>
      <x:c r="D324" s="22" t="s">
        <x:v>619</x:v>
      </x:c>
      <x:c r="E324" s="22" t="s">
        <x:v>993</x:v>
      </x:c>
      <x:c r="F324" s="22" t="s">
        <x:v>289</x:v>
      </x:c>
      <x:c r="G324" s="22">
        <x:v>2</x:v>
      </x:c>
      <x:c r="H324" s="23">
        <x:v>2020000</x:v>
      </x:c>
      <x:c r="I324" s="23">
        <x:v>2020000</x:v>
      </x:c>
      <x:c r="J324" s="23">
        <x:f>H324-I324</x:f>
      </x:c>
      <x:c r="K324" s="22">
        <x:v>1</x:v>
      </x:c>
      <x:c r="L324" s="24" t="s">
        <x:v>620</x:v>
      </x:c>
      <x:c r="M324" s="24"/>
      <x:c r="N324" s="27" t="s">
        <x:v>620</x:v>
      </x:c>
      <x:c r="O324" s="27"/>
      <x:c r="P324" s="26"/>
      <x:c r="Q324" s="27"/>
      <x:c r="R324" s="22">
        <x:f>IF(N324="","تکمیل نشده",IF(N324="ادغام با تفصیلی دیگر",IF(O324="","کلید مقصد خالی است",IF(IFERROR(MATCH(O324*1,$A:$A,0),0)=0,"کلید مقصد در این فهرست نیست",IF(O324*1=A324,"ادغام با خودش","OK"))),"OK"))</x:f>
      </x:c>
      <x:c r="S324" s="28"/>
    </x:row>
    <x:row r="325" spans="1:19">
      <x:c r="A325" s="21">
        <x:v>2595</x:v>
      </x:c>
      <x:c r="B325" s="22" t="s">
        <x:v>102</x:v>
      </x:c>
      <x:c r="C325" s="22" t="s">
        <x:v>292</x:v>
      </x:c>
      <x:c r="D325" s="22" t="s">
        <x:v>719</x:v>
      </x:c>
      <x:c r="E325" s="22" t="s">
        <x:v>994</x:v>
      </x:c>
      <x:c r="F325" s="22" t="s">
        <x:v>293</x:v>
      </x:c>
      <x:c r="G325" s="22">
        <x:v>31</x:v>
      </x:c>
      <x:c r="H325" s="23">
        <x:v>422947900</x:v>
      </x:c>
      <x:c r="I325" s="23">
        <x:v>422947900</x:v>
      </x:c>
      <x:c r="J325" s="23">
        <x:f>H325-I325</x:f>
      </x:c>
      <x:c r="K325" s="22">
        <x:v>1</x:v>
      </x:c>
      <x:c r="L325" s="24" t="s">
        <x:v>623</x:v>
      </x:c>
      <x:c r="M325" s="24"/>
      <x:c r="N325" s="27" t="s">
        <x:v>623</x:v>
      </x:c>
      <x:c r="O325" s="27"/>
      <x:c r="P325" s="26"/>
      <x:c r="Q325" s="27"/>
      <x:c r="R325" s="22">
        <x:f>IF(N325="","تکمیل نشده",IF(N325="ادغام با تفصیلی دیگر",IF(O325="","کلید مقصد خالی است",IF(IFERROR(MATCH(O325*1,$A:$A,0),0)=0,"کلید مقصد در این فهرست نیست",IF(O325*1=A325,"ادغام با خودش","OK"))),"OK"))</x:f>
      </x:c>
      <x:c r="S325" s="28"/>
    </x:row>
    <x:row r="326" spans="1:19">
      <x:c r="A326" s="21">
        <x:v>2598</x:v>
      </x:c>
      <x:c r="B326" s="22" t="s">
        <x:v>102</x:v>
      </x:c>
      <x:c r="C326" s="22" t="s">
        <x:v>292</x:v>
      </x:c>
      <x:c r="D326" s="22" t="s">
        <x:v>721</x:v>
      </x:c>
      <x:c r="E326" s="22" t="s">
        <x:v>995</x:v>
      </x:c>
      <x:c r="F326" s="22" t="s">
        <x:v>293</x:v>
      </x:c>
      <x:c r="G326" s="22">
        <x:v>29</x:v>
      </x:c>
      <x:c r="H326" s="23">
        <x:v>980861300</x:v>
      </x:c>
      <x:c r="I326" s="23">
        <x:v>980861300</x:v>
      </x:c>
      <x:c r="J326" s="23">
        <x:f>H326-I326</x:f>
      </x:c>
      <x:c r="K326" s="22">
        <x:v>1</x:v>
      </x:c>
      <x:c r="L326" s="24" t="s">
        <x:v>623</x:v>
      </x:c>
      <x:c r="M326" s="24"/>
      <x:c r="N326" s="27" t="s">
        <x:v>623</x:v>
      </x:c>
      <x:c r="O326" s="27"/>
      <x:c r="P326" s="26"/>
      <x:c r="Q326" s="27"/>
      <x:c r="R326" s="22">
        <x:f>IF(N326="","تکمیل نشده",IF(N326="ادغام با تفصیلی دیگر",IF(O326="","کلید مقصد خالی است",IF(IFERROR(MATCH(O326*1,$A:$A,0),0)=0,"کلید مقصد در این فهرست نیست",IF(O326*1=A326,"ادغام با خودش","OK"))),"OK"))</x:f>
      </x:c>
      <x:c r="S326" s="28"/>
    </x:row>
    <x:row r="327" spans="1:19">
      <x:c r="A327" s="21">
        <x:v>2618</x:v>
      </x:c>
      <x:c r="B327" s="22" t="s">
        <x:v>102</x:v>
      </x:c>
      <x:c r="C327" s="22" t="s">
        <x:v>211</x:v>
      </x:c>
      <x:c r="D327" s="22" t="s">
        <x:v>619</x:v>
      </x:c>
      <x:c r="E327" s="22" t="s">
        <x:v>296</x:v>
      </x:c>
      <x:c r="F327" s="22" t="s">
        <x:v>296</x:v>
      </x:c>
      <x:c r="G327" s="22">
        <x:v>5</x:v>
      </x:c>
      <x:c r="H327" s="23">
        <x:v>62865000</x:v>
      </x:c>
      <x:c r="I327" s="23">
        <x:v>62865000</x:v>
      </x:c>
      <x:c r="J327" s="23">
        <x:f>H327-I327</x:f>
      </x:c>
      <x:c r="K327" s="22">
        <x:v>1</x:v>
      </x:c>
      <x:c r="L327" s="24" t="s">
        <x:v>620</x:v>
      </x:c>
      <x:c r="M327" s="24"/>
      <x:c r="N327" s="27" t="s">
        <x:v>620</x:v>
      </x:c>
      <x:c r="O327" s="27"/>
      <x:c r="P327" s="26"/>
      <x:c r="Q327" s="27"/>
      <x:c r="R327" s="22">
        <x:f>IF(N327="","تکمیل نشده",IF(N327="ادغام با تفصیلی دیگر",IF(O327="","کلید مقصد خالی است",IF(IFERROR(MATCH(O327*1,$A:$A,0),0)=0,"کلید مقصد در این فهرست نیست",IF(O327*1=A327,"ادغام با خودش","OK"))),"OK"))</x:f>
      </x:c>
      <x:c r="S327" s="28"/>
    </x:row>
    <x:row r="328" spans="1:19">
      <x:c r="A328" s="21">
        <x:v>2622</x:v>
      </x:c>
      <x:c r="B328" s="22" t="s">
        <x:v>102</x:v>
      </x:c>
      <x:c r="C328" s="22" t="s">
        <x:v>102</x:v>
      </x:c>
      <x:c r="D328" s="22" t="s">
        <x:v>619</x:v>
      </x:c>
      <x:c r="E328" s="22" t="s">
        <x:v>299</x:v>
      </x:c>
      <x:c r="F328" s="22" t="s">
        <x:v>299</x:v>
      </x:c>
      <x:c r="G328" s="22">
        <x:v>2</x:v>
      </x:c>
      <x:c r="H328" s="23">
        <x:v>52585000</x:v>
      </x:c>
      <x:c r="I328" s="23">
        <x:v>52585000</x:v>
      </x:c>
      <x:c r="J328" s="23">
        <x:f>H328-I328</x:f>
      </x:c>
      <x:c r="K328" s="22">
        <x:v>1</x:v>
      </x:c>
      <x:c r="L328" s="24" t="s">
        <x:v>620</x:v>
      </x:c>
      <x:c r="M328" s="24"/>
      <x:c r="N328" s="27" t="s">
        <x:v>620</x:v>
      </x:c>
      <x:c r="O328" s="27"/>
      <x:c r="P328" s="26"/>
      <x:c r="Q328" s="27"/>
      <x:c r="R328" s="22">
        <x:f>IF(N328="","تکمیل نشده",IF(N328="ادغام با تفصیلی دیگر",IF(O328="","کلید مقصد خالی است",IF(IFERROR(MATCH(O328*1,$A:$A,0),0)=0,"کلید مقصد در این فهرست نیست",IF(O328*1=A328,"ادغام با خودش","OK"))),"OK"))</x:f>
      </x:c>
      <x:c r="S328" s="28"/>
    </x:row>
    <x:row r="329" spans="1:19">
      <x:c r="A329" s="21">
        <x:v>2654</x:v>
      </x:c>
      <x:c r="B329" s="22" t="s">
        <x:v>116</x:v>
      </x:c>
      <x:c r="C329" s="22" t="s">
        <x:v>27</x:v>
      </x:c>
      <x:c r="D329" s="22" t="s">
        <x:v>996</x:v>
      </x:c>
      <x:c r="E329" s="22" t="s">
        <x:v>997</x:v>
      </x:c>
      <x:c r="F329" s="22" t="s">
        <x:v>302</x:v>
      </x:c>
      <x:c r="G329" s="22">
        <x:v>2</x:v>
      </x:c>
      <x:c r="H329" s="23">
        <x:v>27604800</x:v>
      </x:c>
      <x:c r="I329" s="23">
        <x:v>27604800</x:v>
      </x:c>
      <x:c r="J329" s="23">
        <x:f>H329-I329</x:f>
      </x:c>
      <x:c r="K329" s="22">
        <x:v>1</x:v>
      </x:c>
      <x:c r="L329" s="24" t="s">
        <x:v>623</x:v>
      </x:c>
      <x:c r="M329" s="24"/>
      <x:c r="N329" s="27" t="s">
        <x:v>623</x:v>
      </x:c>
      <x:c r="O329" s="27"/>
      <x:c r="P329" s="26"/>
      <x:c r="Q329" s="27"/>
      <x:c r="R329" s="22">
        <x:f>IF(N329="","تکمیل نشده",IF(N329="ادغام با تفصیلی دیگر",IF(O329="","کلید مقصد خالی است",IF(IFERROR(MATCH(O329*1,$A:$A,0),0)=0,"کلید مقصد در این فهرست نیست",IF(O329*1=A329,"ادغام با خودش","OK"))),"OK"))</x:f>
      </x:c>
      <x:c r="S329" s="28"/>
    </x:row>
    <x:row r="330" spans="1:19">
      <x:c r="A330" s="21">
        <x:v>2680</x:v>
      </x:c>
      <x:c r="B330" s="22" t="s">
        <x:v>128</x:v>
      </x:c>
      <x:c r="C330" s="22" t="s">
        <x:v>251</x:v>
      </x:c>
      <x:c r="D330" s="22" t="s">
        <x:v>627</x:v>
      </x:c>
      <x:c r="E330" s="22" t="s">
        <x:v>998</x:v>
      </x:c>
      <x:c r="F330" s="22" t="s">
        <x:v>305</x:v>
      </x:c>
      <x:c r="G330" s="22">
        <x:v>11</x:v>
      </x:c>
      <x:c r="H330" s="23">
        <x:v>968481344</x:v>
      </x:c>
      <x:c r="I330" s="23">
        <x:v>1190043588</x:v>
      </x:c>
      <x:c r="J330" s="23">
        <x:f>H330-I330</x:f>
      </x:c>
      <x:c r="K330" s="22">
        <x:v>1</x:v>
      </x:c>
      <x:c r="L330" s="24" t="s">
        <x:v>623</x:v>
      </x:c>
      <x:c r="M330" s="24"/>
      <x:c r="N330" s="27" t="s">
        <x:v>623</x:v>
      </x:c>
      <x:c r="O330" s="27"/>
      <x:c r="P330" s="26"/>
      <x:c r="Q330" s="27"/>
      <x:c r="R330" s="22">
        <x:f>IF(N330="","تکمیل نشده",IF(N330="ادغام با تفصیلی دیگر",IF(O330="","کلید مقصد خالی است",IF(IFERROR(MATCH(O330*1,$A:$A,0),0)=0,"کلید مقصد در این فهرست نیست",IF(O330*1=A330,"ادغام با خودش","OK"))),"OK"))</x:f>
      </x:c>
      <x:c r="S330" s="28"/>
    </x:row>
    <x:row r="331" spans="1:19">
      <x:c r="A331" s="21">
        <x:v>2681</x:v>
      </x:c>
      <x:c r="B331" s="22" t="s">
        <x:v>128</x:v>
      </x:c>
      <x:c r="C331" s="22" t="s">
        <x:v>251</x:v>
      </x:c>
      <x:c r="D331" s="22" t="s">
        <x:v>721</x:v>
      </x:c>
      <x:c r="E331" s="22" t="s">
        <x:v>999</x:v>
      </x:c>
      <x:c r="F331" s="22" t="s">
        <x:v>305</x:v>
      </x:c>
      <x:c r="G331" s="22">
        <x:v>13</x:v>
      </x:c>
      <x:c r="H331" s="23">
        <x:v>1085749981</x:v>
      </x:c>
      <x:c r="I331" s="23">
        <x:v>1404686369</x:v>
      </x:c>
      <x:c r="J331" s="23">
        <x:f>H331-I331</x:f>
      </x:c>
      <x:c r="K331" s="22">
        <x:v>1</x:v>
      </x:c>
      <x:c r="L331" s="24" t="s">
        <x:v>623</x:v>
      </x:c>
      <x:c r="M331" s="24"/>
      <x:c r="N331" s="27" t="s">
        <x:v>623</x:v>
      </x:c>
      <x:c r="O331" s="27"/>
      <x:c r="P331" s="26"/>
      <x:c r="Q331" s="27"/>
      <x:c r="R331" s="22">
        <x:f>IF(N331="","تکمیل نشده",IF(N331="ادغام با تفصیلی دیگر",IF(O331="","کلید مقصد خالی است",IF(IFERROR(MATCH(O331*1,$A:$A,0),0)=0,"کلید مقصد در این فهرست نیست",IF(O331*1=A331,"ادغام با خودش","OK"))),"OK"))</x:f>
      </x:c>
      <x:c r="S331" s="28"/>
    </x:row>
    <x:row r="332" spans="1:19">
      <x:c r="A332" s="21">
        <x:v>2682</x:v>
      </x:c>
      <x:c r="B332" s="22" t="s">
        <x:v>128</x:v>
      </x:c>
      <x:c r="C332" s="22" t="s">
        <x:v>251</x:v>
      </x:c>
      <x:c r="D332" s="22" t="s">
        <x:v>723</x:v>
      </x:c>
      <x:c r="E332" s="22" t="s">
        <x:v>1000</x:v>
      </x:c>
      <x:c r="F332" s="22" t="s">
        <x:v>305</x:v>
      </x:c>
      <x:c r="G332" s="22">
        <x:v>2</x:v>
      </x:c>
      <x:c r="H332" s="23">
        <x:v>80539563</x:v>
      </x:c>
      <x:c r="I332" s="23">
        <x:v>80539563</x:v>
      </x:c>
      <x:c r="J332" s="23">
        <x:f>H332-I332</x:f>
      </x:c>
      <x:c r="K332" s="22">
        <x:v>1</x:v>
      </x:c>
      <x:c r="L332" s="24" t="s">
        <x:v>623</x:v>
      </x:c>
      <x:c r="M332" s="24"/>
      <x:c r="N332" s="27" t="s">
        <x:v>623</x:v>
      </x:c>
      <x:c r="O332" s="27"/>
      <x:c r="P332" s="26"/>
      <x:c r="Q332" s="27"/>
      <x:c r="R332" s="22">
        <x:f>IF(N332="","تکمیل نشده",IF(N332="ادغام با تفصیلی دیگر",IF(O332="","کلید مقصد خالی است",IF(IFERROR(MATCH(O332*1,$A:$A,0),0)=0,"کلید مقصد در این فهرست نیست",IF(O332*1=A332,"ادغام با خودش","OK"))),"OK"))</x:f>
      </x:c>
      <x:c r="S332" s="28"/>
    </x:row>
    <x:row r="333" spans="1:19">
      <x:c r="A333" s="21">
        <x:v>2684</x:v>
      </x:c>
      <x:c r="B333" s="22" t="s">
        <x:v>128</x:v>
      </x:c>
      <x:c r="C333" s="22" t="s">
        <x:v>306</x:v>
      </x:c>
      <x:c r="D333" s="22" t="s">
        <x:v>719</x:v>
      </x:c>
      <x:c r="E333" s="22" t="s">
        <x:v>1001</x:v>
      </x:c>
      <x:c r="F333" s="22" t="s">
        <x:v>307</x:v>
      </x:c>
      <x:c r="G333" s="22">
        <x:v>4</x:v>
      </x:c>
      <x:c r="H333" s="23">
        <x:v>34658994</x:v>
      </x:c>
      <x:c r="I333" s="23">
        <x:v>34658994</x:v>
      </x:c>
      <x:c r="J333" s="23">
        <x:f>H333-I333</x:f>
      </x:c>
      <x:c r="K333" s="22">
        <x:v>1</x:v>
      </x:c>
      <x:c r="L333" s="24" t="s">
        <x:v>623</x:v>
      </x:c>
      <x:c r="M333" s="24"/>
      <x:c r="N333" s="27" t="s">
        <x:v>623</x:v>
      </x:c>
      <x:c r="O333" s="27"/>
      <x:c r="P333" s="26"/>
      <x:c r="Q333" s="27"/>
      <x:c r="R333" s="22">
        <x:f>IF(N333="","تکمیل نشده",IF(N333="ادغام با تفصیلی دیگر",IF(O333="","کلید مقصد خالی است",IF(IFERROR(MATCH(O333*1,$A:$A,0),0)=0,"کلید مقصد در این فهرست نیست",IF(O333*1=A333,"ادغام با خودش","OK"))),"OK"))</x:f>
      </x:c>
      <x:c r="S333" s="28"/>
    </x:row>
    <x:row r="334" spans="1:19">
      <x:c r="A334" s="21">
        <x:v>2685</x:v>
      </x:c>
      <x:c r="B334" s="22" t="s">
        <x:v>128</x:v>
      </x:c>
      <x:c r="C334" s="22" t="s">
        <x:v>306</x:v>
      </x:c>
      <x:c r="D334" s="22" t="s">
        <x:v>1002</x:v>
      </x:c>
      <x:c r="E334" s="22" t="s">
        <x:v>1003</x:v>
      </x:c>
      <x:c r="F334" s="22" t="s">
        <x:v>307</x:v>
      </x:c>
      <x:c r="G334" s="22">
        <x:v>4</x:v>
      </x:c>
      <x:c r="H334" s="23">
        <x:v>34658994</x:v>
      </x:c>
      <x:c r="I334" s="23">
        <x:v>404354930</x:v>
      </x:c>
      <x:c r="J334" s="23">
        <x:f>H334-I334</x:f>
      </x:c>
      <x:c r="K334" s="22">
        <x:v>1</x:v>
      </x:c>
      <x:c r="L334" s="24" t="s">
        <x:v>623</x:v>
      </x:c>
      <x:c r="M334" s="24"/>
      <x:c r="N334" s="27" t="s">
        <x:v>623</x:v>
      </x:c>
      <x:c r="O334" s="27"/>
      <x:c r="P334" s="26"/>
      <x:c r="Q334" s="27"/>
      <x:c r="R334" s="22">
        <x:f>IF(N334="","تکمیل نشده",IF(N334="ادغام با تفصیلی دیگر",IF(O334="","کلید مقصد خالی است",IF(IFERROR(MATCH(O334*1,$A:$A,0),0)=0,"کلید مقصد در این فهرست نیست",IF(O334*1=A334,"ادغام با خودش","OK"))),"OK"))</x:f>
      </x:c>
      <x:c r="S334" s="28"/>
    </x:row>
    <x:row r="335" spans="1:19">
      <x:c r="A335" s="21">
        <x:v>2686</x:v>
      </x:c>
      <x:c r="B335" s="22" t="s">
        <x:v>128</x:v>
      </x:c>
      <x:c r="C335" s="22" t="s">
        <x:v>306</x:v>
      </x:c>
      <x:c r="D335" s="22" t="s">
        <x:v>1004</x:v>
      </x:c>
      <x:c r="E335" s="22" t="s">
        <x:v>1005</x:v>
      </x:c>
      <x:c r="F335" s="22" t="s">
        <x:v>307</x:v>
      </x:c>
      <x:c r="G335" s="22">
        <x:v>4</x:v>
      </x:c>
      <x:c r="H335" s="23">
        <x:v>34658994</x:v>
      </x:c>
      <x:c r="I335" s="23">
        <x:v>138635976</x:v>
      </x:c>
      <x:c r="J335" s="23">
        <x:f>H335-I335</x:f>
      </x:c>
      <x:c r="K335" s="22">
        <x:v>1</x:v>
      </x:c>
      <x:c r="L335" s="24" t="s">
        <x:v>623</x:v>
      </x:c>
      <x:c r="M335" s="24"/>
      <x:c r="N335" s="27" t="s">
        <x:v>623</x:v>
      </x:c>
      <x:c r="O335" s="27"/>
      <x:c r="P335" s="26"/>
      <x:c r="Q335" s="27"/>
      <x:c r="R335" s="22">
        <x:f>IF(N335="","تکمیل نشده",IF(N335="ادغام با تفصیلی دیگر",IF(O335="","کلید مقصد خالی است",IF(IFERROR(MATCH(O335*1,$A:$A,0),0)=0,"کلید مقصد در این فهرست نیست",IF(O335*1=A335,"ادغام با خودش","OK"))),"OK"))</x:f>
      </x:c>
      <x:c r="S335" s="28"/>
    </x:row>
    <x:row r="336" spans="1:19">
      <x:c r="A336" s="21">
        <x:v>2689</x:v>
      </x:c>
      <x:c r="B336" s="22" t="s">
        <x:v>128</x:v>
      </x:c>
      <x:c r="C336" s="22" t="s">
        <x:v>308</x:v>
      </x:c>
      <x:c r="D336" s="22" t="s">
        <x:v>719</x:v>
      </x:c>
      <x:c r="E336" s="22" t="s">
        <x:v>1006</x:v>
      </x:c>
      <x:c r="F336" s="22" t="s">
        <x:v>309</x:v>
      </x:c>
      <x:c r="G336" s="22">
        <x:v>1</x:v>
      </x:c>
      <x:c r="H336" s="23">
        <x:v>0</x:v>
      </x:c>
      <x:c r="I336" s="23">
        <x:v>760000000</x:v>
      </x:c>
      <x:c r="J336" s="23">
        <x:f>H336-I336</x:f>
      </x:c>
      <x:c r="K336" s="22">
        <x:v>1</x:v>
      </x:c>
      <x:c r="L336" s="24" t="s">
        <x:v>623</x:v>
      </x:c>
      <x:c r="M336" s="24"/>
      <x:c r="N336" s="27" t="s">
        <x:v>623</x:v>
      </x:c>
      <x:c r="O336" s="27"/>
      <x:c r="P336" s="26"/>
      <x:c r="Q336" s="27"/>
      <x:c r="R336" s="22">
        <x:f>IF(N336="","تکمیل نشده",IF(N336="ادغام با تفصیلی دیگر",IF(O336="","کلید مقصد خالی است",IF(IFERROR(MATCH(O336*1,$A:$A,0),0)=0,"کلید مقصد در این فهرست نیست",IF(O336*1=A336,"ادغام با خودش","OK"))),"OK"))</x:f>
      </x:c>
      <x:c r="S336" s="28"/>
    </x:row>
    <x:row r="337" spans="1:19">
      <x:c r="A337" s="21">
        <x:v>2698</x:v>
      </x:c>
      <x:c r="B337" s="22" t="s">
        <x:v>128</x:v>
      </x:c>
      <x:c r="C337" s="22" t="s">
        <x:v>310</x:v>
      </x:c>
      <x:c r="D337" s="22" t="s">
        <x:v>719</x:v>
      </x:c>
      <x:c r="E337" s="22" t="s">
        <x:v>1007</x:v>
      </x:c>
      <x:c r="F337" s="22" t="s">
        <x:v>311</x:v>
      </x:c>
      <x:c r="G337" s="22">
        <x:v>7</x:v>
      </x:c>
      <x:c r="H337" s="23">
        <x:v>120320</x:v>
      </x:c>
      <x:c r="I337" s="23">
        <x:v>20000</x:v>
      </x:c>
      <x:c r="J337" s="23">
        <x:f>H337-I337</x:f>
      </x:c>
      <x:c r="K337" s="22">
        <x:v>1</x:v>
      </x:c>
      <x:c r="L337" s="24" t="s">
        <x:v>623</x:v>
      </x:c>
      <x:c r="M337" s="24"/>
      <x:c r="N337" s="27" t="s">
        <x:v>623</x:v>
      </x:c>
      <x:c r="O337" s="27"/>
      <x:c r="P337" s="26"/>
      <x:c r="Q337" s="27"/>
      <x:c r="R337" s="22">
        <x:f>IF(N337="","تکمیل نشده",IF(N337="ادغام با تفصیلی دیگر",IF(O337="","کلید مقصد خالی است",IF(IFERROR(MATCH(O337*1,$A:$A,0),0)=0,"کلید مقصد در این فهرست نیست",IF(O337*1=A337,"ادغام با خودش","OK"))),"OK"))</x:f>
      </x:c>
      <x:c r="S337" s="28"/>
    </x:row>
    <x:row r="338" spans="1:19">
      <x:c r="A338" s="21">
        <x:v>2700</x:v>
      </x:c>
      <x:c r="B338" s="22" t="s">
        <x:v>128</x:v>
      </x:c>
      <x:c r="C338" s="22" t="s">
        <x:v>310</x:v>
      </x:c>
      <x:c r="D338" s="22" t="s">
        <x:v>780</x:v>
      </x:c>
      <x:c r="E338" s="22" t="s">
        <x:v>1008</x:v>
      </x:c>
      <x:c r="F338" s="22" t="s">
        <x:v>311</x:v>
      </x:c>
      <x:c r="G338" s="22">
        <x:v>6</x:v>
      </x:c>
      <x:c r="H338" s="23">
        <x:v>181251010</x:v>
      </x:c>
      <x:c r="I338" s="23">
        <x:v>2000</x:v>
      </x:c>
      <x:c r="J338" s="23">
        <x:f>H338-I338</x:f>
      </x:c>
      <x:c r="K338" s="22">
        <x:v>1</x:v>
      </x:c>
      <x:c r="L338" s="24" t="s">
        <x:v>623</x:v>
      </x:c>
      <x:c r="M338" s="24"/>
      <x:c r="N338" s="27" t="s">
        <x:v>623</x:v>
      </x:c>
      <x:c r="O338" s="27"/>
      <x:c r="P338" s="26"/>
      <x:c r="Q338" s="27"/>
      <x:c r="R338" s="22">
        <x:f>IF(N338="","تکمیل نشده",IF(N338="ادغام با تفصیلی دیگر",IF(O338="","کلید مقصد خالی است",IF(IFERROR(MATCH(O338*1,$A:$A,0),0)=0,"کلید مقصد در این فهرست نیست",IF(O338*1=A338,"ادغام با خودش","OK"))),"OK"))</x:f>
      </x:c>
      <x:c r="S338" s="28"/>
    </x:row>
    <x:row r="339" spans="1:19">
      <x:c r="A339" s="21">
        <x:v>2701</x:v>
      </x:c>
      <x:c r="B339" s="22" t="s">
        <x:v>128</x:v>
      </x:c>
      <x:c r="C339" s="22" t="s">
        <x:v>310</x:v>
      </x:c>
      <x:c r="D339" s="22" t="s">
        <x:v>721</x:v>
      </x:c>
      <x:c r="E339" s="22" t="s">
        <x:v>1009</x:v>
      </x:c>
      <x:c r="F339" s="22" t="s">
        <x:v>311</x:v>
      </x:c>
      <x:c r="G339" s="22">
        <x:v>14</x:v>
      </x:c>
      <x:c r="H339" s="23">
        <x:v>531252067</x:v>
      </x:c>
      <x:c r="I339" s="23">
        <x:v>531252067</x:v>
      </x:c>
      <x:c r="J339" s="23">
        <x:f>H339-I339</x:f>
      </x:c>
      <x:c r="K339" s="22">
        <x:v>1</x:v>
      </x:c>
      <x:c r="L339" s="24" t="s">
        <x:v>623</x:v>
      </x:c>
      <x:c r="M339" s="24"/>
      <x:c r="N339" s="27" t="s">
        <x:v>623</x:v>
      </x:c>
      <x:c r="O339" s="27"/>
      <x:c r="P339" s="26"/>
      <x:c r="Q339" s="27"/>
      <x:c r="R339" s="22">
        <x:f>IF(N339="","تکمیل نشده",IF(N339="ادغام با تفصیلی دیگر",IF(O339="","کلید مقصد خالی است",IF(IFERROR(MATCH(O339*1,$A:$A,0),0)=0,"کلید مقصد در این فهرست نیست",IF(O339*1=A339,"ادغام با خودش","OK"))),"OK"))</x:f>
      </x:c>
      <x:c r="S339" s="28"/>
    </x:row>
    <x:row r="340" spans="1:19">
      <x:c r="A340" s="21">
        <x:v>2702</x:v>
      </x:c>
      <x:c r="B340" s="22" t="s">
        <x:v>128</x:v>
      </x:c>
      <x:c r="C340" s="22" t="s">
        <x:v>310</x:v>
      </x:c>
      <x:c r="D340" s="22" t="s">
        <x:v>723</x:v>
      </x:c>
      <x:c r="E340" s="22" t="s">
        <x:v>1010</x:v>
      </x:c>
      <x:c r="F340" s="22" t="s">
        <x:v>311</x:v>
      </x:c>
      <x:c r="G340" s="22">
        <x:v>38</x:v>
      </x:c>
      <x:c r="H340" s="23">
        <x:v>113595660</x:v>
      </x:c>
      <x:c r="I340" s="23">
        <x:v>113595660</x:v>
      </x:c>
      <x:c r="J340" s="23">
        <x:f>H340-I340</x:f>
      </x:c>
      <x:c r="K340" s="22">
        <x:v>1</x:v>
      </x:c>
      <x:c r="L340" s="24" t="s">
        <x:v>623</x:v>
      </x:c>
      <x:c r="M340" s="24"/>
      <x:c r="N340" s="27" t="s">
        <x:v>623</x:v>
      </x:c>
      <x:c r="O340" s="27"/>
      <x:c r="P340" s="26"/>
      <x:c r="Q340" s="27"/>
      <x:c r="R340" s="22">
        <x:f>IF(N340="","تکمیل نشده",IF(N340="ادغام با تفصیلی دیگر",IF(O340="","کلید مقصد خالی است",IF(IFERROR(MATCH(O340*1,$A:$A,0),0)=0,"کلید مقصد در این فهرست نیست",IF(O340*1=A340,"ادغام با خودش","OK"))),"OK"))</x:f>
      </x:c>
      <x:c r="S340" s="28"/>
    </x:row>
    <x:row r="341" spans="1:19">
      <x:c r="A341" s="21">
        <x:v>2705</x:v>
      </x:c>
      <x:c r="B341" s="22" t="s">
        <x:v>128</x:v>
      </x:c>
      <x:c r="C341" s="22" t="s">
        <x:v>310</x:v>
      </x:c>
      <x:c r="D341" s="22" t="s">
        <x:v>729</x:v>
      </x:c>
      <x:c r="E341" s="22" t="s">
        <x:v>1011</x:v>
      </x:c>
      <x:c r="F341" s="22" t="s">
        <x:v>311</x:v>
      </x:c>
      <x:c r="G341" s="22">
        <x:v>72</x:v>
      </x:c>
      <x:c r="H341" s="23">
        <x:v>3099201713</x:v>
      </x:c>
      <x:c r="I341" s="23">
        <x:v>3099201713</x:v>
      </x:c>
      <x:c r="J341" s="23">
        <x:f>H341-I341</x:f>
      </x:c>
      <x:c r="K341" s="22">
        <x:v>1</x:v>
      </x:c>
      <x:c r="L341" s="24" t="s">
        <x:v>623</x:v>
      </x:c>
      <x:c r="M341" s="24"/>
      <x:c r="N341" s="27" t="s">
        <x:v>623</x:v>
      </x:c>
      <x:c r="O341" s="27"/>
      <x:c r="P341" s="26"/>
      <x:c r="Q341" s="27"/>
      <x:c r="R341" s="22">
        <x:f>IF(N341="","تکمیل نشده",IF(N341="ادغام با تفصیلی دیگر",IF(O341="","کلید مقصد خالی است",IF(IFERROR(MATCH(O341*1,$A:$A,0),0)=0,"کلید مقصد در این فهرست نیست",IF(O341*1=A341,"ادغام با خودش","OK"))),"OK"))</x:f>
      </x:c>
      <x:c r="S341" s="28"/>
    </x:row>
    <x:row r="342" spans="1:19">
      <x:c r="A342" s="21">
        <x:v>3726</x:v>
      </x:c>
      <x:c r="B342" s="22" t="s">
        <x:v>128</x:v>
      </x:c>
      <x:c r="C342" s="22" t="s">
        <x:v>310</x:v>
      </x:c>
      <x:c r="D342" s="22" t="s">
        <x:v>804</x:v>
      </x:c>
      <x:c r="E342" s="22" t="s">
        <x:v>577</x:v>
      </x:c>
      <x:c r="F342" s="22" t="s">
        <x:v>311</x:v>
      </x:c>
      <x:c r="G342" s="22">
        <x:v>5</x:v>
      </x:c>
      <x:c r="H342" s="23">
        <x:v>14006122</x:v>
      </x:c>
      <x:c r="I342" s="23">
        <x:v>14006122</x:v>
      </x:c>
      <x:c r="J342" s="23">
        <x:f>H342-I342</x:f>
      </x:c>
      <x:c r="K342" s="22">
        <x:v>1</x:v>
      </x:c>
      <x:c r="L342" s="24" t="s">
        <x:v>623</x:v>
      </x:c>
      <x:c r="M342" s="24"/>
      <x:c r="N342" s="27" t="s">
        <x:v>623</x:v>
      </x:c>
      <x:c r="O342" s="27"/>
      <x:c r="P342" s="26"/>
      <x:c r="Q342" s="27"/>
      <x:c r="R342" s="22">
        <x:f>IF(N342="","تکمیل نشده",IF(N342="ادغام با تفصیلی دیگر",IF(O342="","کلید مقصد خالی است",IF(IFERROR(MATCH(O342*1,$A:$A,0),0)=0,"کلید مقصد در این فهرست نیست",IF(O342*1=A342,"ادغام با خودش","OK"))),"OK"))</x:f>
      </x:c>
      <x:c r="S342" s="28"/>
    </x:row>
    <x:row r="343" spans="1:19">
      <x:c r="A343" s="21">
        <x:v>3727</x:v>
      </x:c>
      <x:c r="B343" s="22" t="s">
        <x:v>128</x:v>
      </x:c>
      <x:c r="C343" s="22" t="s">
        <x:v>310</x:v>
      </x:c>
      <x:c r="D343" s="22" t="s">
        <x:v>850</x:v>
      </x:c>
      <x:c r="E343" s="22" t="s">
        <x:v>1012</x:v>
      </x:c>
      <x:c r="F343" s="22" t="s">
        <x:v>311</x:v>
      </x:c>
      <x:c r="G343" s="22">
        <x:v>9</x:v>
      </x:c>
      <x:c r="H343" s="23">
        <x:v>11524272</x:v>
      </x:c>
      <x:c r="I343" s="23">
        <x:v>11524272</x:v>
      </x:c>
      <x:c r="J343" s="23">
        <x:f>H343-I343</x:f>
      </x:c>
      <x:c r="K343" s="22">
        <x:v>1</x:v>
      </x:c>
      <x:c r="L343" s="24" t="s">
        <x:v>623</x:v>
      </x:c>
      <x:c r="M343" s="24"/>
      <x:c r="N343" s="27" t="s">
        <x:v>623</x:v>
      </x:c>
      <x:c r="O343" s="27"/>
      <x:c r="P343" s="26"/>
      <x:c r="Q343" s="27"/>
      <x:c r="R343" s="22">
        <x:f>IF(N343="","تکمیل نشده",IF(N343="ادغام با تفصیلی دیگر",IF(O343="","کلید مقصد خالی است",IF(IFERROR(MATCH(O343*1,$A:$A,0),0)=0,"کلید مقصد در این فهرست نیست",IF(O343*1=A343,"ادغام با خودش","OK"))),"OK"))</x:f>
      </x:c>
      <x:c r="S343" s="28"/>
    </x:row>
    <x:row r="344" spans="1:19">
      <x:c r="A344" s="21">
        <x:v>2707</x:v>
      </x:c>
      <x:c r="B344" s="22" t="s">
        <x:v>128</x:v>
      </x:c>
      <x:c r="C344" s="22" t="s">
        <x:v>310</x:v>
      </x:c>
      <x:c r="D344" s="22" t="s">
        <x:v>1013</x:v>
      </x:c>
      <x:c r="E344" s="22" t="s">
        <x:v>1014</x:v>
      </x:c>
      <x:c r="F344" s="22" t="s">
        <x:v>311</x:v>
      </x:c>
      <x:c r="G344" s="22">
        <x:v>63</x:v>
      </x:c>
      <x:c r="H344" s="23">
        <x:v>90564070379</x:v>
      </x:c>
      <x:c r="I344" s="23">
        <x:v>22685690788</x:v>
      </x:c>
      <x:c r="J344" s="23">
        <x:f>H344-I344</x:f>
      </x:c>
      <x:c r="K344" s="22">
        <x:v>1</x:v>
      </x:c>
      <x:c r="L344" s="24" t="s">
        <x:v>623</x:v>
      </x:c>
      <x:c r="M344" s="24"/>
      <x:c r="N344" s="27" t="s">
        <x:v>623</x:v>
      </x:c>
      <x:c r="O344" s="27"/>
      <x:c r="P344" s="26"/>
      <x:c r="Q344" s="27"/>
      <x:c r="R344" s="22">
        <x:f>IF(N344="","تکمیل نشده",IF(N344="ادغام با تفصیلی دیگر",IF(O344="","کلید مقصد خالی است",IF(IFERROR(MATCH(O344*1,$A:$A,0),0)=0,"کلید مقصد در این فهرست نیست",IF(O344*1=A344,"ادغام با خودش","OK"))),"OK"))</x:f>
      </x:c>
      <x:c r="S344" s="28"/>
    </x:row>
    <x:row r="345" spans="1:19">
      <x:c r="A345" s="21">
        <x:v>11221</x:v>
      </x:c>
      <x:c r="B345" s="22" t="s">
        <x:v>136</x:v>
      </x:c>
      <x:c r="C345" s="22" t="s">
        <x:v>251</x:v>
      </x:c>
      <x:c r="D345" s="22" t="s">
        <x:v>719</x:v>
      </x:c>
      <x:c r="E345" s="22" t="s">
        <x:v>52</x:v>
      </x:c>
      <x:c r="F345" s="22" t="s">
        <x:v>312</x:v>
      </x:c>
      <x:c r="G345" s="22">
        <x:v>5</x:v>
      </x:c>
      <x:c r="H345" s="23">
        <x:v>760000104</x:v>
      </x:c>
      <x:c r="I345" s="23">
        <x:v>110</x:v>
      </x:c>
      <x:c r="J345" s="23">
        <x:f>H345-I345</x:f>
      </x:c>
      <x:c r="K345" s="22">
        <x:v>1</x:v>
      </x:c>
      <x:c r="L345" s="24" t="s">
        <x:v>623</x:v>
      </x:c>
      <x:c r="M345" s="24"/>
      <x:c r="N345" s="27" t="s">
        <x:v>623</x:v>
      </x:c>
      <x:c r="O345" s="27"/>
      <x:c r="P345" s="26"/>
      <x:c r="Q345" s="27"/>
      <x:c r="R345" s="22">
        <x:f>IF(N345="","تکمیل نشده",IF(N345="ادغام با تفصیلی دیگر",IF(O345="","کلید مقصد خالی است",IF(IFERROR(MATCH(O345*1,$A:$A,0),0)=0,"کلید مقصد در این فهرست نیست",IF(O345*1=A345,"ادغام با خودش","OK"))),"OK"))</x:f>
      </x:c>
      <x:c r="S345" s="28"/>
    </x:row>
    <x:row r="346" spans="1:19">
      <x:c r="A346" s="21">
        <x:v>2745</x:v>
      </x:c>
      <x:c r="B346" s="22" t="s">
        <x:v>136</x:v>
      </x:c>
      <x:c r="C346" s="22" t="s">
        <x:v>251</x:v>
      </x:c>
      <x:c r="D346" s="22" t="s">
        <x:v>1002</x:v>
      </x:c>
      <x:c r="E346" s="22" t="s">
        <x:v>1015</x:v>
      </x:c>
      <x:c r="F346" s="22" t="s">
        <x:v>312</x:v>
      </x:c>
      <x:c r="G346" s="22">
        <x:v>48</x:v>
      </x:c>
      <x:c r="H346" s="23">
        <x:v>100006118144221</x:v>
      </x:c>
      <x:c r="I346" s="23">
        <x:v>7921105978</x:v>
      </x:c>
      <x:c r="J346" s="23">
        <x:f>H346-I346</x:f>
      </x:c>
      <x:c r="K346" s="22">
        <x:v>1</x:v>
      </x:c>
      <x:c r="L346" s="24" t="s">
        <x:v>623</x:v>
      </x:c>
      <x:c r="M346" s="24"/>
      <x:c r="N346" s="27" t="s">
        <x:v>623</x:v>
      </x:c>
      <x:c r="O346" s="27"/>
      <x:c r="P346" s="26"/>
      <x:c r="Q346" s="27"/>
      <x:c r="R346" s="22">
        <x:f>IF(N346="","تکمیل نشده",IF(N346="ادغام با تفصیلی دیگر",IF(O346="","کلید مقصد خالی است",IF(IFERROR(MATCH(O346*1,$A:$A,0),0)=0,"کلید مقصد در این فهرست نیست",IF(O346*1=A346,"ادغام با خودش","OK"))),"OK"))</x:f>
      </x:c>
      <x:c r="S346" s="28"/>
    </x:row>
    <x:row r="347" spans="1:19">
      <x:c r="A347" s="21">
        <x:v>2746</x:v>
      </x:c>
      <x:c r="B347" s="22" t="s">
        <x:v>136</x:v>
      </x:c>
      <x:c r="C347" s="22" t="s">
        <x:v>251</x:v>
      </x:c>
      <x:c r="D347" s="22" t="s">
        <x:v>996</x:v>
      </x:c>
      <x:c r="E347" s="22" t="s">
        <x:v>1016</x:v>
      </x:c>
      <x:c r="F347" s="22" t="s">
        <x:v>312</x:v>
      </x:c>
      <x:c r="G347" s="22">
        <x:v>14</x:v>
      </x:c>
      <x:c r="H347" s="23">
        <x:v>3529591205</x:v>
      </x:c>
      <x:c r="I347" s="23">
        <x:v>4589259185</x:v>
      </x:c>
      <x:c r="J347" s="23">
        <x:f>H347-I347</x:f>
      </x:c>
      <x:c r="K347" s="22">
        <x:v>1</x:v>
      </x:c>
      <x:c r="L347" s="24" t="s">
        <x:v>623</x:v>
      </x:c>
      <x:c r="M347" s="24"/>
      <x:c r="N347" s="27" t="s">
        <x:v>623</x:v>
      </x:c>
      <x:c r="O347" s="27"/>
      <x:c r="P347" s="26"/>
      <x:c r="Q347" s="27"/>
      <x:c r="R347" s="22">
        <x:f>IF(N347="","تکمیل نشده",IF(N347="ادغام با تفصیلی دیگر",IF(O347="","کلید مقصد خالی است",IF(IFERROR(MATCH(O347*1,$A:$A,0),0)=0,"کلید مقصد در این فهرست نیست",IF(O347*1=A347,"ادغام با خودش","OK"))),"OK"))</x:f>
      </x:c>
      <x:c r="S347" s="28"/>
    </x:row>
    <x:row r="348" spans="1:19">
      <x:c r="A348" s="21">
        <x:v>2747</x:v>
      </x:c>
      <x:c r="B348" s="22" t="s">
        <x:v>136</x:v>
      </x:c>
      <x:c r="C348" s="22" t="s">
        <x:v>251</x:v>
      </x:c>
      <x:c r="D348" s="22" t="s">
        <x:v>638</x:v>
      </x:c>
      <x:c r="E348" s="22" t="s">
        <x:v>1017</x:v>
      </x:c>
      <x:c r="F348" s="22" t="s">
        <x:v>312</x:v>
      </x:c>
      <x:c r="G348" s="22">
        <x:v>14</x:v>
      </x:c>
      <x:c r="H348" s="23">
        <x:v>1071886204</x:v>
      </x:c>
      <x:c r="I348" s="23">
        <x:v>1397407134</x:v>
      </x:c>
      <x:c r="J348" s="23">
        <x:f>H348-I348</x:f>
      </x:c>
      <x:c r="K348" s="22">
        <x:v>1</x:v>
      </x:c>
      <x:c r="L348" s="24" t="s">
        <x:v>623</x:v>
      </x:c>
      <x:c r="M348" s="24"/>
      <x:c r="N348" s="27" t="s">
        <x:v>623</x:v>
      </x:c>
      <x:c r="O348" s="27"/>
      <x:c r="P348" s="26"/>
      <x:c r="Q348" s="27"/>
      <x:c r="R348" s="22">
        <x:f>IF(N348="","تکمیل نشده",IF(N348="ادغام با تفصیلی دیگر",IF(O348="","کلید مقصد خالی است",IF(IFERROR(MATCH(O348*1,$A:$A,0),0)=0,"کلید مقصد در این فهرست نیست",IF(O348*1=A348,"ادغام با خودش","OK"))),"OK"))</x:f>
      </x:c>
      <x:c r="S348" s="28"/>
    </x:row>
    <x:row r="349" spans="1:19">
      <x:c r="A349" s="21">
        <x:v>2748</x:v>
      </x:c>
      <x:c r="B349" s="22" t="s">
        <x:v>136</x:v>
      </x:c>
      <x:c r="C349" s="22" t="s">
        <x:v>251</x:v>
      </x:c>
      <x:c r="D349" s="22" t="s">
        <x:v>1018</x:v>
      </x:c>
      <x:c r="E349" s="22" t="s">
        <x:v>1019</x:v>
      </x:c>
      <x:c r="F349" s="22" t="s">
        <x:v>312</x:v>
      </x:c>
      <x:c r="G349" s="22">
        <x:v>13</x:v>
      </x:c>
      <x:c r="H349" s="23">
        <x:v>1775258718</x:v>
      </x:c>
      <x:c r="I349" s="23">
        <x:v>2351730439</x:v>
      </x:c>
      <x:c r="J349" s="23">
        <x:f>H349-I349</x:f>
      </x:c>
      <x:c r="K349" s="22">
        <x:v>1</x:v>
      </x:c>
      <x:c r="L349" s="24" t="s">
        <x:v>623</x:v>
      </x:c>
      <x:c r="M349" s="24"/>
      <x:c r="N349" s="27" t="s">
        <x:v>623</x:v>
      </x:c>
      <x:c r="O349" s="27"/>
      <x:c r="P349" s="26"/>
      <x:c r="Q349" s="27"/>
      <x:c r="R349" s="22">
        <x:f>IF(N349="","تکمیل نشده",IF(N349="ادغام با تفصیلی دیگر",IF(O349="","کلید مقصد خالی است",IF(IFERROR(MATCH(O349*1,$A:$A,0),0)=0,"کلید مقصد در این فهرست نیست",IF(O349*1=A349,"ادغام با خودش","OK"))),"OK"))</x:f>
      </x:c>
      <x:c r="S349" s="28"/>
    </x:row>
    <x:row r="350" spans="1:19">
      <x:c r="A350" s="21">
        <x:v>2749</x:v>
      </x:c>
      <x:c r="B350" s="22" t="s">
        <x:v>136</x:v>
      </x:c>
      <x:c r="C350" s="22" t="s">
        <x:v>251</x:v>
      </x:c>
      <x:c r="D350" s="22" t="s">
        <x:v>1020</x:v>
      </x:c>
      <x:c r="E350" s="22" t="s">
        <x:v>1021</x:v>
      </x:c>
      <x:c r="F350" s="22" t="s">
        <x:v>312</x:v>
      </x:c>
      <x:c r="G350" s="22">
        <x:v>13</x:v>
      </x:c>
      <x:c r="H350" s="23">
        <x:v>3629039285</x:v>
      </x:c>
      <x:c r="I350" s="23">
        <x:v>4763105883</x:v>
      </x:c>
      <x:c r="J350" s="23">
        <x:f>H350-I350</x:f>
      </x:c>
      <x:c r="K350" s="22">
        <x:v>1</x:v>
      </x:c>
      <x:c r="L350" s="24" t="s">
        <x:v>623</x:v>
      </x:c>
      <x:c r="M350" s="24"/>
      <x:c r="N350" s="27" t="s">
        <x:v>623</x:v>
      </x:c>
      <x:c r="O350" s="27"/>
      <x:c r="P350" s="26"/>
      <x:c r="Q350" s="27"/>
      <x:c r="R350" s="22">
        <x:f>IF(N350="","تکمیل نشده",IF(N350="ادغام با تفصیلی دیگر",IF(O350="","کلید مقصد خالی است",IF(IFERROR(MATCH(O350*1,$A:$A,0),0)=0,"کلید مقصد در این فهرست نیست",IF(O350*1=A350,"ادغام با خودش","OK"))),"OK"))</x:f>
      </x:c>
      <x:c r="S350" s="28"/>
    </x:row>
    <x:row r="351" spans="1:19">
      <x:c r="A351" s="21">
        <x:v>2750</x:v>
      </x:c>
      <x:c r="B351" s="22" t="s">
        <x:v>136</x:v>
      </x:c>
      <x:c r="C351" s="22" t="s">
        <x:v>251</x:v>
      </x:c>
      <x:c r="D351" s="22" t="s">
        <x:v>1022</x:v>
      </x:c>
      <x:c r="E351" s="22" t="s">
        <x:v>1023</x:v>
      </x:c>
      <x:c r="F351" s="22" t="s">
        <x:v>312</x:v>
      </x:c>
      <x:c r="G351" s="22">
        <x:v>9</x:v>
      </x:c>
      <x:c r="H351" s="23">
        <x:v>24961293</x:v>
      </x:c>
      <x:c r="I351" s="23">
        <x:v>0</x:v>
      </x:c>
      <x:c r="J351" s="23">
        <x:f>H351-I351</x:f>
      </x:c>
      <x:c r="K351" s="22">
        <x:v>1</x:v>
      </x:c>
      <x:c r="L351" s="24" t="s">
        <x:v>623</x:v>
      </x:c>
      <x:c r="M351" s="24"/>
      <x:c r="N351" s="27" t="s">
        <x:v>623</x:v>
      </x:c>
      <x:c r="O351" s="27"/>
      <x:c r="P351" s="26"/>
      <x:c r="Q351" s="27"/>
      <x:c r="R351" s="22">
        <x:f>IF(N351="","تکمیل نشده",IF(N351="ادغام با تفصیلی دیگر",IF(O351="","کلید مقصد خالی است",IF(IFERROR(MATCH(O351*1,$A:$A,0),0)=0,"کلید مقصد در این فهرست نیست",IF(O351*1=A351,"ادغام با خودش","OK"))),"OK"))</x:f>
      </x:c>
      <x:c r="S351" s="28"/>
    </x:row>
    <x:row r="352" spans="1:19">
      <x:c r="A352" s="21">
        <x:v>2751</x:v>
      </x:c>
      <x:c r="B352" s="22" t="s">
        <x:v>136</x:v>
      </x:c>
      <x:c r="C352" s="22" t="s">
        <x:v>251</x:v>
      </x:c>
      <x:c r="D352" s="22" t="s">
        <x:v>1024</x:v>
      </x:c>
      <x:c r="E352" s="22" t="s">
        <x:v>1025</x:v>
      </x:c>
      <x:c r="F352" s="22" t="s">
        <x:v>312</x:v>
      </x:c>
      <x:c r="G352" s="22">
        <x:v>1</x:v>
      </x:c>
      <x:c r="H352" s="23">
        <x:v>10</x:v>
      </x:c>
      <x:c r="I352" s="23">
        <x:v>0</x:v>
      </x:c>
      <x:c r="J352" s="23">
        <x:f>H352-I352</x:f>
      </x:c>
      <x:c r="K352" s="22">
        <x:v>1</x:v>
      </x:c>
      <x:c r="L352" s="24" t="s">
        <x:v>623</x:v>
      </x:c>
      <x:c r="M352" s="24"/>
      <x:c r="N352" s="27" t="s">
        <x:v>623</x:v>
      </x:c>
      <x:c r="O352" s="27"/>
      <x:c r="P352" s="26"/>
      <x:c r="Q352" s="27"/>
      <x:c r="R352" s="22">
        <x:f>IF(N352="","تکمیل نشده",IF(N352="ادغام با تفصیلی دیگر",IF(O352="","کلید مقصد خالی است",IF(IFERROR(MATCH(O352*1,$A:$A,0),0)=0,"کلید مقصد در این فهرست نیست",IF(O352*1=A352,"ادغام با خودش","OK"))),"OK"))</x:f>
      </x:c>
      <x:c r="S352" s="28"/>
    </x:row>
    <x:row r="353" spans="1:19">
      <x:c r="A353" s="21">
        <x:v>2758</x:v>
      </x:c>
      <x:c r="B353" s="22" t="s">
        <x:v>136</x:v>
      </x:c>
      <x:c r="C353" s="22" t="s">
        <x:v>251</x:v>
      </x:c>
      <x:c r="D353" s="22" t="s">
        <x:v>1026</x:v>
      </x:c>
      <x:c r="E353" s="22" t="s">
        <x:v>1027</x:v>
      </x:c>
      <x:c r="F353" s="22" t="s">
        <x:v>312</x:v>
      </x:c>
      <x:c r="G353" s="22">
        <x:v>12</x:v>
      </x:c>
      <x:c r="H353" s="23">
        <x:v>1241495789</x:v>
      </x:c>
      <x:c r="I353" s="23">
        <x:v>1620014084</x:v>
      </x:c>
      <x:c r="J353" s="23">
        <x:f>H353-I353</x:f>
      </x:c>
      <x:c r="K353" s="22">
        <x:v>1</x:v>
      </x:c>
      <x:c r="L353" s="24" t="s">
        <x:v>623</x:v>
      </x:c>
      <x:c r="M353" s="24"/>
      <x:c r="N353" s="27" t="s">
        <x:v>623</x:v>
      </x:c>
      <x:c r="O353" s="27"/>
      <x:c r="P353" s="26"/>
      <x:c r="Q353" s="27"/>
      <x:c r="R353" s="22">
        <x:f>IF(N353="","تکمیل نشده",IF(N353="ادغام با تفصیلی دیگر",IF(O353="","کلید مقصد خالی است",IF(IFERROR(MATCH(O353*1,$A:$A,0),0)=0,"کلید مقصد در این فهرست نیست",IF(O353*1=A353,"ادغام با خودش","OK"))),"OK"))</x:f>
      </x:c>
      <x:c r="S353" s="28"/>
    </x:row>
    <x:row r="354" spans="1:19">
      <x:c r="A354" s="21">
        <x:v>2759</x:v>
      </x:c>
      <x:c r="B354" s="22" t="s">
        <x:v>136</x:v>
      </x:c>
      <x:c r="C354" s="22" t="s">
        <x:v>251</x:v>
      </x:c>
      <x:c r="D354" s="22" t="s">
        <x:v>1028</x:v>
      </x:c>
      <x:c r="E354" s="22" t="s">
        <x:v>1029</x:v>
      </x:c>
      <x:c r="F354" s="22" t="s">
        <x:v>312</x:v>
      </x:c>
      <x:c r="G354" s="22">
        <x:v>12</x:v>
      </x:c>
      <x:c r="H354" s="23">
        <x:v>60624000</x:v>
      </x:c>
      <x:c r="I354" s="23">
        <x:v>69951600</x:v>
      </x:c>
      <x:c r="J354" s="23">
        <x:f>H354-I354</x:f>
      </x:c>
      <x:c r="K354" s="22">
        <x:v>1</x:v>
      </x:c>
      <x:c r="L354" s="24" t="s">
        <x:v>623</x:v>
      </x:c>
      <x:c r="M354" s="24"/>
      <x:c r="N354" s="27" t="s">
        <x:v>623</x:v>
      </x:c>
      <x:c r="O354" s="27"/>
      <x:c r="P354" s="26"/>
      <x:c r="Q354" s="27"/>
      <x:c r="R354" s="22">
        <x:f>IF(N354="","تکمیل نشده",IF(N354="ادغام با تفصیلی دیگر",IF(O354="","کلید مقصد خالی است",IF(IFERROR(MATCH(O354*1,$A:$A,0),0)=0,"کلید مقصد در این فهرست نیست",IF(O354*1=A354,"ادغام با خودش","OK"))),"OK"))</x:f>
      </x:c>
      <x:c r="S354" s="28"/>
    </x:row>
    <x:row r="355" spans="1:19">
      <x:c r="A355" s="21">
        <x:v>2760</x:v>
      </x:c>
      <x:c r="B355" s="22" t="s">
        <x:v>136</x:v>
      </x:c>
      <x:c r="C355" s="22" t="s">
        <x:v>251</x:v>
      </x:c>
      <x:c r="D355" s="22" t="s">
        <x:v>1030</x:v>
      </x:c>
      <x:c r="E355" s="22" t="s">
        <x:v>1031</x:v>
      </x:c>
      <x:c r="F355" s="22" t="s">
        <x:v>312</x:v>
      </x:c>
      <x:c r="G355" s="22">
        <x:v>12</x:v>
      </x:c>
      <x:c r="H355" s="23">
        <x:v>410583739</x:v>
      </x:c>
      <x:c r="I355" s="23">
        <x:v>542481022</x:v>
      </x:c>
      <x:c r="J355" s="23">
        <x:f>H355-I355</x:f>
      </x:c>
      <x:c r="K355" s="22">
        <x:v>1</x:v>
      </x:c>
      <x:c r="L355" s="24" t="s">
        <x:v>623</x:v>
      </x:c>
      <x:c r="M355" s="24"/>
      <x:c r="N355" s="27" t="s">
        <x:v>623</x:v>
      </x:c>
      <x:c r="O355" s="27"/>
      <x:c r="P355" s="26"/>
      <x:c r="Q355" s="27"/>
      <x:c r="R355" s="22">
        <x:f>IF(N355="","تکمیل نشده",IF(N355="ادغام با تفصیلی دیگر",IF(O355="","کلید مقصد خالی است",IF(IFERROR(MATCH(O355*1,$A:$A,0),0)=0,"کلید مقصد در این فهرست نیست",IF(O355*1=A355,"ادغام با خودش","OK"))),"OK"))</x:f>
      </x:c>
      <x:c r="S355" s="28"/>
    </x:row>
    <x:row r="356" spans="1:19">
      <x:c r="A356" s="21">
        <x:v>2761</x:v>
      </x:c>
      <x:c r="B356" s="22" t="s">
        <x:v>136</x:v>
      </x:c>
      <x:c r="C356" s="22" t="s">
        <x:v>251</x:v>
      </x:c>
      <x:c r="D356" s="22" t="s">
        <x:v>1004</x:v>
      </x:c>
      <x:c r="E356" s="22" t="s">
        <x:v>1032</x:v>
      </x:c>
      <x:c r="F356" s="22" t="s">
        <x:v>312</x:v>
      </x:c>
      <x:c r="G356" s="22">
        <x:v>12</x:v>
      </x:c>
      <x:c r="H356" s="23">
        <x:v>612104306</x:v>
      </x:c>
      <x:c r="I356" s="23">
        <x:v>952106228</x:v>
      </x:c>
      <x:c r="J356" s="23">
        <x:f>H356-I356</x:f>
      </x:c>
      <x:c r="K356" s="22">
        <x:v>1</x:v>
      </x:c>
      <x:c r="L356" s="24" t="s">
        <x:v>623</x:v>
      </x:c>
      <x:c r="M356" s="24"/>
      <x:c r="N356" s="27" t="s">
        <x:v>623</x:v>
      </x:c>
      <x:c r="O356" s="27"/>
      <x:c r="P356" s="26"/>
      <x:c r="Q356" s="27"/>
      <x:c r="R356" s="22">
        <x:f>IF(N356="","تکمیل نشده",IF(N356="ادغام با تفصیلی دیگر",IF(O356="","کلید مقصد خالی است",IF(IFERROR(MATCH(O356*1,$A:$A,0),0)=0,"کلید مقصد در این فهرست نیست",IF(O356*1=A356,"ادغام با خودش","OK"))),"OK"))</x:f>
      </x:c>
      <x:c r="S356" s="28"/>
    </x:row>
    <x:row r="357" spans="1:19">
      <x:c r="A357" s="21">
        <x:v>2762</x:v>
      </x:c>
      <x:c r="B357" s="22" t="s">
        <x:v>136</x:v>
      </x:c>
      <x:c r="C357" s="22" t="s">
        <x:v>251</x:v>
      </x:c>
      <x:c r="D357" s="22" t="s">
        <x:v>1033</x:v>
      </x:c>
      <x:c r="E357" s="22" t="s">
        <x:v>1034</x:v>
      </x:c>
      <x:c r="F357" s="22" t="s">
        <x:v>312</x:v>
      </x:c>
      <x:c r="G357" s="22">
        <x:v>12</x:v>
      </x:c>
      <x:c r="H357" s="23">
        <x:v>417795369</x:v>
      </x:c>
      <x:c r="I357" s="23">
        <x:v>659056258</x:v>
      </x:c>
      <x:c r="J357" s="23">
        <x:f>H357-I357</x:f>
      </x:c>
      <x:c r="K357" s="22">
        <x:v>1</x:v>
      </x:c>
      <x:c r="L357" s="24" t="s">
        <x:v>623</x:v>
      </x:c>
      <x:c r="M357" s="24"/>
      <x:c r="N357" s="27" t="s">
        <x:v>623</x:v>
      </x:c>
      <x:c r="O357" s="27"/>
      <x:c r="P357" s="26"/>
      <x:c r="Q357" s="27"/>
      <x:c r="R357" s="22">
        <x:f>IF(N357="","تکمیل نشده",IF(N357="ادغام با تفصیلی دیگر",IF(O357="","کلید مقصد خالی است",IF(IFERROR(MATCH(O357*1,$A:$A,0),0)=0,"کلید مقصد در این فهرست نیست",IF(O357*1=A357,"ادغام با خودش","OK"))),"OK"))</x:f>
      </x:c>
      <x:c r="S357" s="28"/>
    </x:row>
    <x:row r="358" spans="1:19">
      <x:c r="A358" s="21">
        <x:v>2763</x:v>
      </x:c>
      <x:c r="B358" s="22" t="s">
        <x:v>136</x:v>
      </x:c>
      <x:c r="C358" s="22" t="s">
        <x:v>251</x:v>
      </x:c>
      <x:c r="D358" s="22" t="s">
        <x:v>1035</x:v>
      </x:c>
      <x:c r="E358" s="22" t="s">
        <x:v>1036</x:v>
      </x:c>
      <x:c r="F358" s="22" t="s">
        <x:v>312</x:v>
      </x:c>
      <x:c r="G358" s="22">
        <x:v>12</x:v>
      </x:c>
      <x:c r="H358" s="23">
        <x:v>76032201</x:v>
      </x:c>
      <x:c r="I358" s="23">
        <x:v>122038704</x:v>
      </x:c>
      <x:c r="J358" s="23">
        <x:f>H358-I358</x:f>
      </x:c>
      <x:c r="K358" s="22">
        <x:v>1</x:v>
      </x:c>
      <x:c r="L358" s="24" t="s">
        <x:v>623</x:v>
      </x:c>
      <x:c r="M358" s="24"/>
      <x:c r="N358" s="27" t="s">
        <x:v>623</x:v>
      </x:c>
      <x:c r="O358" s="27"/>
      <x:c r="P358" s="26"/>
      <x:c r="Q358" s="27"/>
      <x:c r="R358" s="22">
        <x:f>IF(N358="","تکمیل نشده",IF(N358="ادغام با تفصیلی دیگر",IF(O358="","کلید مقصد خالی است",IF(IFERROR(MATCH(O358*1,$A:$A,0),0)=0,"کلید مقصد در این فهرست نیست",IF(O358*1=A358,"ادغام با خودش","OK"))),"OK"))</x:f>
      </x:c>
      <x:c r="S358" s="28"/>
    </x:row>
    <x:row r="359" spans="1:19">
      <x:c r="A359" s="21">
        <x:v>2764</x:v>
      </x:c>
      <x:c r="B359" s="22" t="s">
        <x:v>136</x:v>
      </x:c>
      <x:c r="C359" s="22" t="s">
        <x:v>251</x:v>
      </x:c>
      <x:c r="D359" s="22" t="s">
        <x:v>1037</x:v>
      </x:c>
      <x:c r="E359" s="22" t="s">
        <x:v>1038</x:v>
      </x:c>
      <x:c r="F359" s="22" t="s">
        <x:v>312</x:v>
      </x:c>
      <x:c r="G359" s="22">
        <x:v>12</x:v>
      </x:c>
      <x:c r="H359" s="23">
        <x:v>148583237</x:v>
      </x:c>
      <x:c r="I359" s="23">
        <x:v>242433750</x:v>
      </x:c>
      <x:c r="J359" s="23">
        <x:f>H359-I359</x:f>
      </x:c>
      <x:c r="K359" s="22">
        <x:v>1</x:v>
      </x:c>
      <x:c r="L359" s="24" t="s">
        <x:v>623</x:v>
      </x:c>
      <x:c r="M359" s="24"/>
      <x:c r="N359" s="27" t="s">
        <x:v>623</x:v>
      </x:c>
      <x:c r="O359" s="27"/>
      <x:c r="P359" s="26"/>
      <x:c r="Q359" s="27"/>
      <x:c r="R359" s="22">
        <x:f>IF(N359="","تکمیل نشده",IF(N359="ادغام با تفصیلی دیگر",IF(O359="","کلید مقصد خالی است",IF(IFERROR(MATCH(O359*1,$A:$A,0),0)=0,"کلید مقصد در این فهرست نیست",IF(O359*1=A359,"ادغام با خودش","OK"))),"OK"))</x:f>
      </x:c>
      <x:c r="S359" s="28"/>
    </x:row>
    <x:row r="360" spans="1:19">
      <x:c r="A360" s="21">
        <x:v>2765</x:v>
      </x:c>
      <x:c r="B360" s="22" t="s">
        <x:v>136</x:v>
      </x:c>
      <x:c r="C360" s="22" t="s">
        <x:v>251</x:v>
      </x:c>
      <x:c r="D360" s="22" t="s">
        <x:v>1039</x:v>
      </x:c>
      <x:c r="E360" s="22" t="s">
        <x:v>1040</x:v>
      </x:c>
      <x:c r="F360" s="22" t="s">
        <x:v>312</x:v>
      </x:c>
      <x:c r="G360" s="22">
        <x:v>12</x:v>
      </x:c>
      <x:c r="H360" s="23">
        <x:v>341623358</x:v>
      </x:c>
      <x:c r="I360" s="23">
        <x:v>545583788</x:v>
      </x:c>
      <x:c r="J360" s="23">
        <x:f>H360-I360</x:f>
      </x:c>
      <x:c r="K360" s="22">
        <x:v>1</x:v>
      </x:c>
      <x:c r="L360" s="24" t="s">
        <x:v>623</x:v>
      </x:c>
      <x:c r="M360" s="24"/>
      <x:c r="N360" s="27" t="s">
        <x:v>623</x:v>
      </x:c>
      <x:c r="O360" s="27"/>
      <x:c r="P360" s="26"/>
      <x:c r="Q360" s="27"/>
      <x:c r="R360" s="22">
        <x:f>IF(N360="","تکمیل نشده",IF(N360="ادغام با تفصیلی دیگر",IF(O360="","کلید مقصد خالی است",IF(IFERROR(MATCH(O360*1,$A:$A,0),0)=0,"کلید مقصد در این فهرست نیست",IF(O360*1=A360,"ادغام با خودش","OK"))),"OK"))</x:f>
      </x:c>
      <x:c r="S360" s="28"/>
    </x:row>
    <x:row r="361" spans="1:19">
      <x:c r="A361" s="21">
        <x:v>2766</x:v>
      </x:c>
      <x:c r="B361" s="22" t="s">
        <x:v>136</x:v>
      </x:c>
      <x:c r="C361" s="22" t="s">
        <x:v>251</x:v>
      </x:c>
      <x:c r="D361" s="22" t="s">
        <x:v>1041</x:v>
      </x:c>
      <x:c r="E361" s="22" t="s">
        <x:v>1042</x:v>
      </x:c>
      <x:c r="F361" s="22" t="s">
        <x:v>312</x:v>
      </x:c>
      <x:c r="G361" s="22">
        <x:v>12</x:v>
      </x:c>
      <x:c r="H361" s="23">
        <x:v>2106720</x:v>
      </x:c>
      <x:c r="I361" s="23">
        <x:v>2940768</x:v>
      </x:c>
      <x:c r="J361" s="23">
        <x:f>H361-I361</x:f>
      </x:c>
      <x:c r="K361" s="22">
        <x:v>1</x:v>
      </x:c>
      <x:c r="L361" s="24" t="s">
        <x:v>623</x:v>
      </x:c>
      <x:c r="M361" s="24"/>
      <x:c r="N361" s="27" t="s">
        <x:v>623</x:v>
      </x:c>
      <x:c r="O361" s="27"/>
      <x:c r="P361" s="26"/>
      <x:c r="Q361" s="27"/>
      <x:c r="R361" s="22">
        <x:f>IF(N361="","تکمیل نشده",IF(N361="ادغام با تفصیلی دیگر",IF(O361="","کلید مقصد خالی است",IF(IFERROR(MATCH(O361*1,$A:$A,0),0)=0,"کلید مقصد در این فهرست نیست",IF(O361*1=A361,"ادغام با خودش","OK"))),"OK"))</x:f>
      </x:c>
      <x:c r="S361" s="28"/>
    </x:row>
    <x:row r="362" spans="1:19">
      <x:c r="A362" s="21">
        <x:v>2774</x:v>
      </x:c>
      <x:c r="B362" s="22" t="s">
        <x:v>136</x:v>
      </x:c>
      <x:c r="C362" s="22" t="s">
        <x:v>251</x:v>
      </x:c>
      <x:c r="D362" s="22" t="s">
        <x:v>1043</x:v>
      </x:c>
      <x:c r="E362" s="22" t="s">
        <x:v>1044</x:v>
      </x:c>
      <x:c r="F362" s="22" t="s">
        <x:v>312</x:v>
      </x:c>
      <x:c r="G362" s="22">
        <x:v>12</x:v>
      </x:c>
      <x:c r="H362" s="23">
        <x:v>117737828</x:v>
      </x:c>
      <x:c r="I362" s="23">
        <x:v>187297387</x:v>
      </x:c>
      <x:c r="J362" s="23">
        <x:f>H362-I362</x:f>
      </x:c>
      <x:c r="K362" s="22">
        <x:v>1</x:v>
      </x:c>
      <x:c r="L362" s="24" t="s">
        <x:v>623</x:v>
      </x:c>
      <x:c r="M362" s="24"/>
      <x:c r="N362" s="27" t="s">
        <x:v>623</x:v>
      </x:c>
      <x:c r="O362" s="27"/>
      <x:c r="P362" s="26"/>
      <x:c r="Q362" s="27"/>
      <x:c r="R362" s="22">
        <x:f>IF(N362="","تکمیل نشده",IF(N362="ادغام با تفصیلی دیگر",IF(O362="","کلید مقصد خالی است",IF(IFERROR(MATCH(O362*1,$A:$A,0),0)=0,"کلید مقصد در این فهرست نیست",IF(O362*1=A362,"ادغام با خودش","OK"))),"OK"))</x:f>
      </x:c>
      <x:c r="S362" s="28"/>
    </x:row>
    <x:row r="363" spans="1:19">
      <x:c r="A363" s="21">
        <x:v>2776</x:v>
      </x:c>
      <x:c r="B363" s="22" t="s">
        <x:v>136</x:v>
      </x:c>
      <x:c r="C363" s="22" t="s">
        <x:v>251</x:v>
      </x:c>
      <x:c r="D363" s="22" t="s">
        <x:v>1045</x:v>
      </x:c>
      <x:c r="E363" s="22" t="s">
        <x:v>1046</x:v>
      </x:c>
      <x:c r="F363" s="22" t="s">
        <x:v>312</x:v>
      </x:c>
      <x:c r="G363" s="22">
        <x:v>12</x:v>
      </x:c>
      <x:c r="H363" s="23">
        <x:v>41563903</x:v>
      </x:c>
      <x:c r="I363" s="23">
        <x:v>67338775</x:v>
      </x:c>
      <x:c r="J363" s="23">
        <x:f>H363-I363</x:f>
      </x:c>
      <x:c r="K363" s="22">
        <x:v>1</x:v>
      </x:c>
      <x:c r="L363" s="24" t="s">
        <x:v>623</x:v>
      </x:c>
      <x:c r="M363" s="24"/>
      <x:c r="N363" s="27" t="s">
        <x:v>623</x:v>
      </x:c>
      <x:c r="O363" s="27"/>
      <x:c r="P363" s="26"/>
      <x:c r="Q363" s="27"/>
      <x:c r="R363" s="22">
        <x:f>IF(N363="","تکمیل نشده",IF(N363="ادغام با تفصیلی دیگر",IF(O363="","کلید مقصد خالی است",IF(IFERROR(MATCH(O363*1,$A:$A,0),0)=0,"کلید مقصد در این فهرست نیست",IF(O363*1=A363,"ادغام با خودش","OK"))),"OK"))</x:f>
      </x:c>
      <x:c r="S363" s="28"/>
    </x:row>
    <x:row r="364" spans="1:19">
      <x:c r="A364" s="21">
        <x:v>2792</x:v>
      </x:c>
      <x:c r="B364" s="22" t="s">
        <x:v>136</x:v>
      </x:c>
      <x:c r="C364" s="22" t="s">
        <x:v>306</x:v>
      </x:c>
      <x:c r="D364" s="22" t="s">
        <x:v>619</x:v>
      </x:c>
      <x:c r="E364" s="22" t="s">
        <x:v>313</x:v>
      </x:c>
      <x:c r="F364" s="22" t="s">
        <x:v>313</x:v>
      </x:c>
      <x:c r="G364" s="22">
        <x:v>12</x:v>
      </x:c>
      <x:c r="H364" s="23">
        <x:v>1196733024</x:v>
      </x:c>
      <x:c r="I364" s="23">
        <x:v>1616709244</x:v>
      </x:c>
      <x:c r="J364" s="23">
        <x:f>H364-I364</x:f>
      </x:c>
      <x:c r="K364" s="22">
        <x:v>1</x:v>
      </x:c>
      <x:c r="L364" s="24" t="s">
        <x:v>620</x:v>
      </x:c>
      <x:c r="M364" s="24"/>
      <x:c r="N364" s="27" t="s">
        <x:v>620</x:v>
      </x:c>
      <x:c r="O364" s="27"/>
      <x:c r="P364" s="26"/>
      <x:c r="Q364" s="27"/>
      <x:c r="R364" s="22">
        <x:f>IF(N364="","تکمیل نشده",IF(N364="ادغام با تفصیلی دیگر",IF(O364="","کلید مقصد خالی است",IF(IFERROR(MATCH(O364*1,$A:$A,0),0)=0,"کلید مقصد در این فهرست نیست",IF(O364*1=A364,"ادغام با خودش","OK"))),"OK"))</x:f>
      </x:c>
      <x:c r="S364" s="28"/>
    </x:row>
    <x:row r="365" spans="1:19">
      <x:c r="A365" s="21">
        <x:v>2821</x:v>
      </x:c>
      <x:c r="B365" s="22" t="s">
        <x:v>139</x:v>
      </x:c>
      <x:c r="C365" s="22" t="s">
        <x:v>251</x:v>
      </x:c>
      <x:c r="D365" s="22" t="s">
        <x:v>1002</x:v>
      </x:c>
      <x:c r="E365" s="22" t="s">
        <x:v>1047</x:v>
      </x:c>
      <x:c r="F365" s="22" t="s">
        <x:v>314</x:v>
      </x:c>
      <x:c r="G365" s="22">
        <x:v>12</x:v>
      </x:c>
      <x:c r="H365" s="23">
        <x:v>737860691</x:v>
      </x:c>
      <x:c r="I365" s="23">
        <x:v>972507596</x:v>
      </x:c>
      <x:c r="J365" s="23">
        <x:f>H365-I365</x:f>
      </x:c>
      <x:c r="K365" s="22">
        <x:v>1</x:v>
      </x:c>
      <x:c r="L365" s="24" t="s">
        <x:v>623</x:v>
      </x:c>
      <x:c r="M365" s="24"/>
      <x:c r="N365" s="27" t="s">
        <x:v>623</x:v>
      </x:c>
      <x:c r="O365" s="27"/>
      <x:c r="P365" s="26"/>
      <x:c r="Q365" s="27"/>
      <x:c r="R365" s="22">
        <x:f>IF(N365="","تکمیل نشده",IF(N365="ادغام با تفصیلی دیگر",IF(O365="","کلید مقصد خالی است",IF(IFERROR(MATCH(O365*1,$A:$A,0),0)=0,"کلید مقصد در این فهرست نیست",IF(O365*1=A365,"ادغام با خودش","OK"))),"OK"))</x:f>
      </x:c>
      <x:c r="S365" s="28"/>
    </x:row>
    <x:row r="366" spans="1:19">
      <x:c r="A366" s="21">
        <x:v>2822</x:v>
      </x:c>
      <x:c r="B366" s="22" t="s">
        <x:v>139</x:v>
      </x:c>
      <x:c r="C366" s="22" t="s">
        <x:v>251</x:v>
      </x:c>
      <x:c r="D366" s="22" t="s">
        <x:v>996</x:v>
      </x:c>
      <x:c r="E366" s="22" t="s">
        <x:v>1048</x:v>
      </x:c>
      <x:c r="F366" s="22" t="s">
        <x:v>314</x:v>
      </x:c>
      <x:c r="G366" s="22">
        <x:v>2</x:v>
      </x:c>
      <x:c r="H366" s="23">
        <x:v>10</x:v>
      </x:c>
      <x:c r="I366" s="23">
        <x:v>10</x:v>
      </x:c>
      <x:c r="J366" s="23">
        <x:f>H366-I366</x:f>
      </x:c>
      <x:c r="K366" s="22">
        <x:v>1</x:v>
      </x:c>
      <x:c r="L366" s="24" t="s">
        <x:v>623</x:v>
      </x:c>
      <x:c r="M366" s="24"/>
      <x:c r="N366" s="27" t="s">
        <x:v>623</x:v>
      </x:c>
      <x:c r="O366" s="27"/>
      <x:c r="P366" s="26"/>
      <x:c r="Q366" s="27"/>
      <x:c r="R366" s="22">
        <x:f>IF(N366="","تکمیل نشده",IF(N366="ادغام با تفصیلی دیگر",IF(O366="","کلید مقصد خالی است",IF(IFERROR(MATCH(O366*1,$A:$A,0),0)=0,"کلید مقصد در این فهرست نیست",IF(O366*1=A366,"ادغام با خودش","OK"))),"OK"))</x:f>
      </x:c>
      <x:c r="S366" s="28"/>
    </x:row>
    <x:row r="367" spans="1:19">
      <x:c r="A367" s="21">
        <x:v>2823</x:v>
      </x:c>
      <x:c r="B367" s="22" t="s">
        <x:v>139</x:v>
      </x:c>
      <x:c r="C367" s="22" t="s">
        <x:v>251</x:v>
      </x:c>
      <x:c r="D367" s="22" t="s">
        <x:v>638</x:v>
      </x:c>
      <x:c r="E367" s="22" t="s">
        <x:v>1049</x:v>
      </x:c>
      <x:c r="F367" s="22" t="s">
        <x:v>314</x:v>
      </x:c>
      <x:c r="G367" s="22">
        <x:v>13</x:v>
      </x:c>
      <x:c r="H367" s="23">
        <x:v>153382170</x:v>
      </x:c>
      <x:c r="I367" s="23">
        <x:v>191662415</x:v>
      </x:c>
      <x:c r="J367" s="23">
        <x:f>H367-I367</x:f>
      </x:c>
      <x:c r="K367" s="22">
        <x:v>1</x:v>
      </x:c>
      <x:c r="L367" s="24" t="s">
        <x:v>623</x:v>
      </x:c>
      <x:c r="M367" s="24"/>
      <x:c r="N367" s="27" t="s">
        <x:v>623</x:v>
      </x:c>
      <x:c r="O367" s="27"/>
      <x:c r="P367" s="26"/>
      <x:c r="Q367" s="27"/>
      <x:c r="R367" s="22">
        <x:f>IF(N367="","تکمیل نشده",IF(N367="ادغام با تفصیلی دیگر",IF(O367="","کلید مقصد خالی است",IF(IFERROR(MATCH(O367*1,$A:$A,0),0)=0,"کلید مقصد در این فهرست نیست",IF(O367*1=A367,"ادغام با خودش","OK"))),"OK"))</x:f>
      </x:c>
      <x:c r="S367" s="28"/>
    </x:row>
    <x:row r="368" spans="1:19">
      <x:c r="A368" s="21">
        <x:v>2824</x:v>
      </x:c>
      <x:c r="B368" s="22" t="s">
        <x:v>139</x:v>
      </x:c>
      <x:c r="C368" s="22" t="s">
        <x:v>251</x:v>
      </x:c>
      <x:c r="D368" s="22" t="s">
        <x:v>1018</x:v>
      </x:c>
      <x:c r="E368" s="22" t="s">
        <x:v>1050</x:v>
      </x:c>
      <x:c r="F368" s="22" t="s">
        <x:v>314</x:v>
      </x:c>
      <x:c r="G368" s="22">
        <x:v>12</x:v>
      </x:c>
      <x:c r="H368" s="23">
        <x:v>293248005</x:v>
      </x:c>
      <x:c r="I368" s="23">
        <x:v>390525243</x:v>
      </x:c>
      <x:c r="J368" s="23">
        <x:f>H368-I368</x:f>
      </x:c>
      <x:c r="K368" s="22">
        <x:v>1</x:v>
      </x:c>
      <x:c r="L368" s="24" t="s">
        <x:v>623</x:v>
      </x:c>
      <x:c r="M368" s="24"/>
      <x:c r="N368" s="27" t="s">
        <x:v>623</x:v>
      </x:c>
      <x:c r="O368" s="27"/>
      <x:c r="P368" s="26"/>
      <x:c r="Q368" s="27"/>
      <x:c r="R368" s="22">
        <x:f>IF(N368="","تکمیل نشده",IF(N368="ادغام با تفصیلی دیگر",IF(O368="","کلید مقصد خالی است",IF(IFERROR(MATCH(O368*1,$A:$A,0),0)=0,"کلید مقصد در این فهرست نیست",IF(O368*1=A368,"ادغام با خودش","OK"))),"OK"))</x:f>
      </x:c>
      <x:c r="S368" s="28"/>
    </x:row>
    <x:row r="369" spans="1:19">
      <x:c r="A369" s="21">
        <x:v>2825</x:v>
      </x:c>
      <x:c r="B369" s="22" t="s">
        <x:v>139</x:v>
      </x:c>
      <x:c r="C369" s="22" t="s">
        <x:v>251</x:v>
      </x:c>
      <x:c r="D369" s="22" t="s">
        <x:v>1020</x:v>
      </x:c>
      <x:c r="E369" s="22" t="s">
        <x:v>1051</x:v>
      </x:c>
      <x:c r="F369" s="22" t="s">
        <x:v>314</x:v>
      </x:c>
      <x:c r="G369" s="22">
        <x:v>12</x:v>
      </x:c>
      <x:c r="H369" s="23">
        <x:v>368335122</x:v>
      </x:c>
      <x:c r="I369" s="23">
        <x:v>498800783</x:v>
      </x:c>
      <x:c r="J369" s="23">
        <x:f>H369-I369</x:f>
      </x:c>
      <x:c r="K369" s="22">
        <x:v>1</x:v>
      </x:c>
      <x:c r="L369" s="24" t="s">
        <x:v>623</x:v>
      </x:c>
      <x:c r="M369" s="24"/>
      <x:c r="N369" s="27" t="s">
        <x:v>623</x:v>
      </x:c>
      <x:c r="O369" s="27"/>
      <x:c r="P369" s="26"/>
      <x:c r="Q369" s="27"/>
      <x:c r="R369" s="22">
        <x:f>IF(N369="","تکمیل نشده",IF(N369="ادغام با تفصیلی دیگر",IF(O369="","کلید مقصد خالی است",IF(IFERROR(MATCH(O369*1,$A:$A,0),0)=0,"کلید مقصد در این فهرست نیست",IF(O369*1=A369,"ادغام با خودش","OK"))),"OK"))</x:f>
      </x:c>
      <x:c r="S369" s="28"/>
    </x:row>
    <x:row r="370" spans="1:19">
      <x:c r="A370" s="21">
        <x:v>2827</x:v>
      </x:c>
      <x:c r="B370" s="22" t="s">
        <x:v>139</x:v>
      </x:c>
      <x:c r="C370" s="22" t="s">
        <x:v>251</x:v>
      </x:c>
      <x:c r="D370" s="22" t="s">
        <x:v>1024</x:v>
      </x:c>
      <x:c r="E370" s="22" t="s">
        <x:v>1052</x:v>
      </x:c>
      <x:c r="F370" s="22" t="s">
        <x:v>314</x:v>
      </x:c>
      <x:c r="G370" s="22">
        <x:v>3</x:v>
      </x:c>
      <x:c r="H370" s="23">
        <x:v>7832446</x:v>
      </x:c>
      <x:c r="I370" s="23">
        <x:v>7832446</x:v>
      </x:c>
      <x:c r="J370" s="23">
        <x:f>H370-I370</x:f>
      </x:c>
      <x:c r="K370" s="22">
        <x:v>1</x:v>
      </x:c>
      <x:c r="L370" s="24" t="s">
        <x:v>623</x:v>
      </x:c>
      <x:c r="M370" s="24"/>
      <x:c r="N370" s="27" t="s">
        <x:v>623</x:v>
      </x:c>
      <x:c r="O370" s="27"/>
      <x:c r="P370" s="26"/>
      <x:c r="Q370" s="27"/>
      <x:c r="R370" s="22">
        <x:f>IF(N370="","تکمیل نشده",IF(N370="ادغام با تفصیلی دیگر",IF(O370="","کلید مقصد خالی است",IF(IFERROR(MATCH(O370*1,$A:$A,0),0)=0,"کلید مقصد در این فهرست نیست",IF(O370*1=A370,"ادغام با خودش","OK"))),"OK"))</x:f>
      </x:c>
      <x:c r="S370" s="28"/>
    </x:row>
    <x:row r="371" spans="1:19">
      <x:c r="A371" s="21">
        <x:v>2828</x:v>
      </x:c>
      <x:c r="B371" s="22" t="s">
        <x:v>139</x:v>
      </x:c>
      <x:c r="C371" s="22" t="s">
        <x:v>251</x:v>
      </x:c>
      <x:c r="D371" s="22" t="s">
        <x:v>1053</x:v>
      </x:c>
      <x:c r="E371" s="22" t="s">
        <x:v>1054</x:v>
      </x:c>
      <x:c r="F371" s="22" t="s">
        <x:v>314</x:v>
      </x:c>
      <x:c r="G371" s="22">
        <x:v>14</x:v>
      </x:c>
      <x:c r="H371" s="23">
        <x:v>2259338674</x:v>
      </x:c>
      <x:c r="I371" s="23">
        <x:v>2946605628</x:v>
      </x:c>
      <x:c r="J371" s="23">
        <x:f>H371-I371</x:f>
      </x:c>
      <x:c r="K371" s="22">
        <x:v>1</x:v>
      </x:c>
      <x:c r="L371" s="24" t="s">
        <x:v>623</x:v>
      </x:c>
      <x:c r="M371" s="24"/>
      <x:c r="N371" s="27" t="s">
        <x:v>623</x:v>
      </x:c>
      <x:c r="O371" s="27"/>
      <x:c r="P371" s="26"/>
      <x:c r="Q371" s="27"/>
      <x:c r="R371" s="22">
        <x:f>IF(N371="","تکمیل نشده",IF(N371="ادغام با تفصیلی دیگر",IF(O371="","کلید مقصد خالی است",IF(IFERROR(MATCH(O371*1,$A:$A,0),0)=0,"کلید مقصد در این فهرست نیست",IF(O371*1=A371,"ادغام با خودش","OK"))),"OK"))</x:f>
      </x:c>
      <x:c r="S371" s="28"/>
    </x:row>
    <x:row r="372" spans="1:19">
      <x:c r="A372" s="21">
        <x:v>2829</x:v>
      </x:c>
      <x:c r="B372" s="22" t="s">
        <x:v>139</x:v>
      </x:c>
      <x:c r="C372" s="22" t="s">
        <x:v>251</x:v>
      </x:c>
      <x:c r="D372" s="22" t="s">
        <x:v>1004</x:v>
      </x:c>
      <x:c r="E372" s="22" t="s">
        <x:v>1055</x:v>
      </x:c>
      <x:c r="F372" s="22" t="s">
        <x:v>314</x:v>
      </x:c>
      <x:c r="G372" s="22">
        <x:v>12</x:v>
      </x:c>
      <x:c r="H372" s="23">
        <x:v>107731274</x:v>
      </x:c>
      <x:c r="I372" s="23">
        <x:v>156248258</x:v>
      </x:c>
      <x:c r="J372" s="23">
        <x:f>H372-I372</x:f>
      </x:c>
      <x:c r="K372" s="22">
        <x:v>1</x:v>
      </x:c>
      <x:c r="L372" s="24" t="s">
        <x:v>623</x:v>
      </x:c>
      <x:c r="M372" s="24"/>
      <x:c r="N372" s="27" t="s">
        <x:v>623</x:v>
      </x:c>
      <x:c r="O372" s="27"/>
      <x:c r="P372" s="26"/>
      <x:c r="Q372" s="27"/>
      <x:c r="R372" s="22">
        <x:f>IF(N372="","تکمیل نشده",IF(N372="ادغام با تفصیلی دیگر",IF(O372="","کلید مقصد خالی است",IF(IFERROR(MATCH(O372*1,$A:$A,0),0)=0,"کلید مقصد در این فهرست نیست",IF(O372*1=A372,"ادغام با خودش","OK"))),"OK"))</x:f>
      </x:c>
      <x:c r="S372" s="28"/>
    </x:row>
    <x:row r="373" spans="1:19">
      <x:c r="A373" s="21">
        <x:v>2832</x:v>
      </x:c>
      <x:c r="B373" s="22" t="s">
        <x:v>139</x:v>
      </x:c>
      <x:c r="C373" s="22" t="s">
        <x:v>251</x:v>
      </x:c>
      <x:c r="D373" s="22" t="s">
        <x:v>1037</x:v>
      </x:c>
      <x:c r="E373" s="22" t="s">
        <x:v>1056</x:v>
      </x:c>
      <x:c r="F373" s="22" t="s">
        <x:v>314</x:v>
      </x:c>
      <x:c r="G373" s="22">
        <x:v>12</x:v>
      </x:c>
      <x:c r="H373" s="23">
        <x:v>37121220</x:v>
      </x:c>
      <x:c r="I373" s="23">
        <x:v>56264966</x:v>
      </x:c>
      <x:c r="J373" s="23">
        <x:f>H373-I373</x:f>
      </x:c>
      <x:c r="K373" s="22">
        <x:v>1</x:v>
      </x:c>
      <x:c r="L373" s="24" t="s">
        <x:v>623</x:v>
      </x:c>
      <x:c r="M373" s="24"/>
      <x:c r="N373" s="27" t="s">
        <x:v>623</x:v>
      </x:c>
      <x:c r="O373" s="27"/>
      <x:c r="P373" s="26"/>
      <x:c r="Q373" s="27"/>
      <x:c r="R373" s="22">
        <x:f>IF(N373="","تکمیل نشده",IF(N373="ادغام با تفصیلی دیگر",IF(O373="","کلید مقصد خالی است",IF(IFERROR(MATCH(O373*1,$A:$A,0),0)=0,"کلید مقصد در این فهرست نیست",IF(O373*1=A373,"ادغام با خودش","OK"))),"OK"))</x:f>
      </x:c>
      <x:c r="S373" s="28"/>
    </x:row>
    <x:row r="374" spans="1:19">
      <x:c r="A374" s="21">
        <x:v>2836</x:v>
      </x:c>
      <x:c r="B374" s="22" t="s">
        <x:v>139</x:v>
      </x:c>
      <x:c r="C374" s="22" t="s">
        <x:v>251</x:v>
      </x:c>
      <x:c r="D374" s="22" t="s">
        <x:v>1057</x:v>
      </x:c>
      <x:c r="E374" s="22" t="s">
        <x:v>1058</x:v>
      </x:c>
      <x:c r="F374" s="22" t="s">
        <x:v>314</x:v>
      </x:c>
      <x:c r="G374" s="22">
        <x:v>12</x:v>
      </x:c>
      <x:c r="H374" s="23">
        <x:v>241686497</x:v>
      </x:c>
      <x:c r="I374" s="23">
        <x:v>382484542</x:v>
      </x:c>
      <x:c r="J374" s="23">
        <x:f>H374-I374</x:f>
      </x:c>
      <x:c r="K374" s="22">
        <x:v>1</x:v>
      </x:c>
      <x:c r="L374" s="24" t="s">
        <x:v>623</x:v>
      </x:c>
      <x:c r="M374" s="24"/>
      <x:c r="N374" s="27" t="s">
        <x:v>623</x:v>
      </x:c>
      <x:c r="O374" s="27"/>
      <x:c r="P374" s="26"/>
      <x:c r="Q374" s="27"/>
      <x:c r="R374" s="22">
        <x:f>IF(N374="","تکمیل نشده",IF(N374="ادغام با تفصیلی دیگر",IF(O374="","کلید مقصد خالی است",IF(IFERROR(MATCH(O374*1,$A:$A,0),0)=0,"کلید مقصد در این فهرست نیست",IF(O374*1=A374,"ادغام با خودش","OK"))),"OK"))</x:f>
      </x:c>
      <x:c r="S374" s="28"/>
    </x:row>
    <x:row r="375" spans="1:19">
      <x:c r="A375" s="21">
        <x:v>2867</x:v>
      </x:c>
      <x:c r="B375" s="22" t="s">
        <x:v>139</x:v>
      </x:c>
      <x:c r="C375" s="22" t="s">
        <x:v>255</x:v>
      </x:c>
      <x:c r="D375" s="22" t="s">
        <x:v>1059</x:v>
      </x:c>
      <x:c r="E375" s="22" t="s">
        <x:v>1060</x:v>
      </x:c>
      <x:c r="F375" s="22" t="s">
        <x:v>315</x:v>
      </x:c>
      <x:c r="G375" s="22">
        <x:v>14</x:v>
      </x:c>
      <x:c r="H375" s="23">
        <x:v>7824721010</x:v>
      </x:c>
      <x:c r="I375" s="23">
        <x:v>10148298918</x:v>
      </x:c>
      <x:c r="J375" s="23">
        <x:f>H375-I375</x:f>
      </x:c>
      <x:c r="K375" s="22">
        <x:v>1</x:v>
      </x:c>
      <x:c r="L375" s="24" t="s">
        <x:v>623</x:v>
      </x:c>
      <x:c r="M375" s="24"/>
      <x:c r="N375" s="27" t="s">
        <x:v>623</x:v>
      </x:c>
      <x:c r="O375" s="27"/>
      <x:c r="P375" s="26"/>
      <x:c r="Q375" s="27"/>
      <x:c r="R375" s="22">
        <x:f>IF(N375="","تکمیل نشده",IF(N375="ادغام با تفصیلی دیگر",IF(O375="","کلید مقصد خالی است",IF(IFERROR(MATCH(O375*1,$A:$A,0),0)=0,"کلید مقصد در این فهرست نیست",IF(O375*1=A375,"ادغام با خودش","OK"))),"OK"))</x:f>
      </x:c>
      <x:c r="S375" s="28"/>
    </x:row>
    <x:row r="376" spans="1:19">
      <x:c r="A376" s="21">
        <x:v>2868</x:v>
      </x:c>
      <x:c r="B376" s="22" t="s">
        <x:v>139</x:v>
      </x:c>
      <x:c r="C376" s="22" t="s">
        <x:v>255</x:v>
      </x:c>
      <x:c r="D376" s="22" t="s">
        <x:v>1061</x:v>
      </x:c>
      <x:c r="E376" s="22" t="s">
        <x:v>1062</x:v>
      </x:c>
      <x:c r="F376" s="22" t="s">
        <x:v>315</x:v>
      </x:c>
      <x:c r="G376" s="22">
        <x:v>7</x:v>
      </x:c>
      <x:c r="H376" s="23">
        <x:v>361370348</x:v>
      </x:c>
      <x:c r="I376" s="23">
        <x:v>825127742</x:v>
      </x:c>
      <x:c r="J376" s="23">
        <x:f>H376-I376</x:f>
      </x:c>
      <x:c r="K376" s="22">
        <x:v>1</x:v>
      </x:c>
      <x:c r="L376" s="24" t="s">
        <x:v>623</x:v>
      </x:c>
      <x:c r="M376" s="24"/>
      <x:c r="N376" s="27" t="s">
        <x:v>623</x:v>
      </x:c>
      <x:c r="O376" s="27"/>
      <x:c r="P376" s="26"/>
      <x:c r="Q376" s="27"/>
      <x:c r="R376" s="22">
        <x:f>IF(N376="","تکمیل نشده",IF(N376="ادغام با تفصیلی دیگر",IF(O376="","کلید مقصد خالی است",IF(IFERROR(MATCH(O376*1,$A:$A,0),0)=0,"کلید مقصد در این فهرست نیست",IF(O376*1=A376,"ادغام با خودش","OK"))),"OK"))</x:f>
      </x:c>
      <x:c r="S376" s="28"/>
    </x:row>
    <x:row r="377" spans="1:19">
      <x:c r="A377" s="21">
        <x:v>2872</x:v>
      </x:c>
      <x:c r="B377" s="22" t="s">
        <x:v>139</x:v>
      </x:c>
      <x:c r="C377" s="22" t="s">
        <x:v>308</x:v>
      </x:c>
      <x:c r="D377" s="22" t="s">
        <x:v>719</x:v>
      </x:c>
      <x:c r="E377" s="22" t="s">
        <x:v>1063</x:v>
      </x:c>
      <x:c r="F377" s="22" t="s">
        <x:v>316</x:v>
      </x:c>
      <x:c r="G377" s="22">
        <x:v>40</x:v>
      </x:c>
      <x:c r="H377" s="23">
        <x:v>10580026204</x:v>
      </x:c>
      <x:c r="I377" s="23">
        <x:v>13797850849</x:v>
      </x:c>
      <x:c r="J377" s="23">
        <x:f>H377-I377</x:f>
      </x:c>
      <x:c r="K377" s="22">
        <x:v>1</x:v>
      </x:c>
      <x:c r="L377" s="24" t="s">
        <x:v>623</x:v>
      </x:c>
      <x:c r="M377" s="24"/>
      <x:c r="N377" s="27" t="s">
        <x:v>623</x:v>
      </x:c>
      <x:c r="O377" s="27"/>
      <x:c r="P377" s="26"/>
      <x:c r="Q377" s="27"/>
      <x:c r="R377" s="22">
        <x:f>IF(N377="","تکمیل نشده",IF(N377="ادغام با تفصیلی دیگر",IF(O377="","کلید مقصد خالی است",IF(IFERROR(MATCH(O377*1,$A:$A,0),0)=0,"کلید مقصد در این فهرست نیست",IF(O377*1=A377,"ادغام با خودش","OK"))),"OK"))</x:f>
      </x:c>
      <x:c r="S377" s="28"/>
    </x:row>
    <x:row r="378" spans="1:19">
      <x:c r="A378" s="21">
        <x:v>2874</x:v>
      </x:c>
      <x:c r="B378" s="22" t="s">
        <x:v>139</x:v>
      </x:c>
      <x:c r="C378" s="22" t="s">
        <x:v>308</x:v>
      </x:c>
      <x:c r="D378" s="22" t="s">
        <x:v>780</x:v>
      </x:c>
      <x:c r="E378" s="22" t="s">
        <x:v>1064</x:v>
      </x:c>
      <x:c r="F378" s="22" t="s">
        <x:v>316</x:v>
      </x:c>
      <x:c r="G378" s="22">
        <x:v>22</x:v>
      </x:c>
      <x:c r="H378" s="23">
        <x:v>560876536</x:v>
      </x:c>
      <x:c r="I378" s="23">
        <x:v>744234031</x:v>
      </x:c>
      <x:c r="J378" s="23">
        <x:f>H378-I378</x:f>
      </x:c>
      <x:c r="K378" s="22">
        <x:v>1</x:v>
      </x:c>
      <x:c r="L378" s="24" t="s">
        <x:v>623</x:v>
      </x:c>
      <x:c r="M378" s="24"/>
      <x:c r="N378" s="27" t="s">
        <x:v>623</x:v>
      </x:c>
      <x:c r="O378" s="27"/>
      <x:c r="P378" s="26"/>
      <x:c r="Q378" s="27"/>
      <x:c r="R378" s="22">
        <x:f>IF(N378="","تکمیل نشده",IF(N378="ادغام با تفصیلی دیگر",IF(O378="","کلید مقصد خالی است",IF(IFERROR(MATCH(O378*1,$A:$A,0),0)=0,"کلید مقصد در این فهرست نیست",IF(O378*1=A378,"ادغام با خودش","OK"))),"OK"))</x:f>
      </x:c>
      <x:c r="S378" s="28"/>
    </x:row>
    <x:row r="379" spans="1:19">
      <x:c r="A379" s="21">
        <x:v>2878</x:v>
      </x:c>
      <x:c r="B379" s="22" t="s">
        <x:v>139</x:v>
      </x:c>
      <x:c r="C379" s="22" t="s">
        <x:v>308</x:v>
      </x:c>
      <x:c r="D379" s="22" t="s">
        <x:v>729</x:v>
      </x:c>
      <x:c r="E379" s="22" t="s">
        <x:v>1065</x:v>
      </x:c>
      <x:c r="F379" s="22" t="s">
        <x:v>316</x:v>
      </x:c>
      <x:c r="G379" s="22">
        <x:v>13</x:v>
      </x:c>
      <x:c r="H379" s="23">
        <x:v>223691326</x:v>
      </x:c>
      <x:c r="I379" s="23">
        <x:v>234701326</x:v>
      </x:c>
      <x:c r="J379" s="23">
        <x:f>H379-I379</x:f>
      </x:c>
      <x:c r="K379" s="22">
        <x:v>1</x:v>
      </x:c>
      <x:c r="L379" s="24" t="s">
        <x:v>623</x:v>
      </x:c>
      <x:c r="M379" s="24"/>
      <x:c r="N379" s="27" t="s">
        <x:v>623</x:v>
      </x:c>
      <x:c r="O379" s="27"/>
      <x:c r="P379" s="26"/>
      <x:c r="Q379" s="27"/>
      <x:c r="R379" s="22">
        <x:f>IF(N379="","تکمیل نشده",IF(N379="ادغام با تفصیلی دیگر",IF(O379="","کلید مقصد خالی است",IF(IFERROR(MATCH(O379*1,$A:$A,0),0)=0,"کلید مقصد در این فهرست نیست",IF(O379*1=A379,"ادغام با خودش","OK"))),"OK"))</x:f>
      </x:c>
      <x:c r="S379" s="28"/>
    </x:row>
    <x:row r="380" spans="1:19">
      <x:c r="A380" s="21">
        <x:v>2882</x:v>
      </x:c>
      <x:c r="B380" s="22" t="s">
        <x:v>139</x:v>
      </x:c>
      <x:c r="C380" s="22" t="s">
        <x:v>317</x:v>
      </x:c>
      <x:c r="D380" s="22" t="s">
        <x:v>1002</x:v>
      </x:c>
      <x:c r="E380" s="22" t="s">
        <x:v>1066</x:v>
      </x:c>
      <x:c r="F380" s="22" t="s">
        <x:v>318</x:v>
      </x:c>
      <x:c r="G380" s="22">
        <x:v>3</x:v>
      </x:c>
      <x:c r="H380" s="23">
        <x:v>3859718547</x:v>
      </x:c>
      <x:c r="I380" s="23">
        <x:v>3859718547</x:v>
      </x:c>
      <x:c r="J380" s="23">
        <x:f>H380-I380</x:f>
      </x:c>
      <x:c r="K380" s="22">
        <x:v>1</x:v>
      </x:c>
      <x:c r="L380" s="24" t="s">
        <x:v>623</x:v>
      </x:c>
      <x:c r="M380" s="24"/>
      <x:c r="N380" s="27" t="s">
        <x:v>623</x:v>
      </x:c>
      <x:c r="O380" s="27"/>
      <x:c r="P380" s="26"/>
      <x:c r="Q380" s="27"/>
      <x:c r="R380" s="22">
        <x:f>IF(N380="","تکمیل نشده",IF(N380="ادغام با تفصیلی دیگر",IF(O380="","کلید مقصد خالی است",IF(IFERROR(MATCH(O380*1,$A:$A,0),0)=0,"کلید مقصد در این فهرست نیست",IF(O380*1=A380,"ادغام با خودش","OK"))),"OK"))</x:f>
      </x:c>
      <x:c r="S380" s="28"/>
    </x:row>
    <x:row r="381" spans="1:19">
      <x:c r="A381" s="21">
        <x:v>2883</x:v>
      </x:c>
      <x:c r="B381" s="22" t="s">
        <x:v>139</x:v>
      </x:c>
      <x:c r="C381" s="22" t="s">
        <x:v>317</x:v>
      </x:c>
      <x:c r="D381" s="22" t="s">
        <x:v>996</x:v>
      </x:c>
      <x:c r="E381" s="22" t="s">
        <x:v>1067</x:v>
      </x:c>
      <x:c r="F381" s="22" t="s">
        <x:v>318</x:v>
      </x:c>
      <x:c r="G381" s="22">
        <x:v>2</x:v>
      </x:c>
      <x:c r="H381" s="23">
        <x:v>568605479</x:v>
      </x:c>
      <x:c r="I381" s="23">
        <x:v>568605479</x:v>
      </x:c>
      <x:c r="J381" s="23">
        <x:f>H381-I381</x:f>
      </x:c>
      <x:c r="K381" s="22">
        <x:v>1</x:v>
      </x:c>
      <x:c r="L381" s="24" t="s">
        <x:v>623</x:v>
      </x:c>
      <x:c r="M381" s="24"/>
      <x:c r="N381" s="27" t="s">
        <x:v>623</x:v>
      </x:c>
      <x:c r="O381" s="27"/>
      <x:c r="P381" s="26"/>
      <x:c r="Q381" s="27"/>
      <x:c r="R381" s="22">
        <x:f>IF(N381="","تکمیل نشده",IF(N381="ادغام با تفصیلی دیگر",IF(O381="","کلید مقصد خالی است",IF(IFERROR(MATCH(O381*1,$A:$A,0),0)=0,"کلید مقصد در این فهرست نیست",IF(O381*1=A381,"ادغام با خودش","OK"))),"OK"))</x:f>
      </x:c>
      <x:c r="S381" s="28"/>
    </x:row>
    <x:row r="382" spans="1:19">
      <x:c r="A382" s="21">
        <x:v>2884</x:v>
      </x:c>
      <x:c r="B382" s="22" t="s">
        <x:v>139</x:v>
      </x:c>
      <x:c r="C382" s="22" t="s">
        <x:v>317</x:v>
      </x:c>
      <x:c r="D382" s="22" t="s">
        <x:v>1004</x:v>
      </x:c>
      <x:c r="E382" s="22" t="s">
        <x:v>1068</x:v>
      </x:c>
      <x:c r="F382" s="22" t="s">
        <x:v>318</x:v>
      </x:c>
      <x:c r="G382" s="22">
        <x:v>3</x:v>
      </x:c>
      <x:c r="H382" s="23">
        <x:v>328943605</x:v>
      </x:c>
      <x:c r="I382" s="23">
        <x:v>328943605</x:v>
      </x:c>
      <x:c r="J382" s="23">
        <x:f>H382-I382</x:f>
      </x:c>
      <x:c r="K382" s="22">
        <x:v>1</x:v>
      </x:c>
      <x:c r="L382" s="24" t="s">
        <x:v>623</x:v>
      </x:c>
      <x:c r="M382" s="24"/>
      <x:c r="N382" s="27" t="s">
        <x:v>623</x:v>
      </x:c>
      <x:c r="O382" s="27"/>
      <x:c r="P382" s="26"/>
      <x:c r="Q382" s="27"/>
      <x:c r="R382" s="22">
        <x:f>IF(N382="","تکمیل نشده",IF(N382="ادغام با تفصیلی دیگر",IF(O382="","کلید مقصد خالی است",IF(IFERROR(MATCH(O382*1,$A:$A,0),0)=0,"کلید مقصد در این فهرست نیست",IF(O382*1=A382,"ادغام با خودش","OK"))),"OK"))</x:f>
      </x:c>
      <x:c r="S382" s="28"/>
    </x:row>
    <x:row r="383" spans="1:19">
      <x:c r="A383" s="21">
        <x:v>2885</x:v>
      </x:c>
      <x:c r="B383" s="22" t="s">
        <x:v>139</x:v>
      </x:c>
      <x:c r="C383" s="22" t="s">
        <x:v>317</x:v>
      </x:c>
      <x:c r="D383" s="22" t="s">
        <x:v>1033</x:v>
      </x:c>
      <x:c r="E383" s="22" t="s">
        <x:v>1069</x:v>
      </x:c>
      <x:c r="F383" s="22" t="s">
        <x:v>318</x:v>
      </x:c>
      <x:c r="G383" s="22">
        <x:v>2</x:v>
      </x:c>
      <x:c r="H383" s="23">
        <x:v>62564683</x:v>
      </x:c>
      <x:c r="I383" s="23">
        <x:v>62564683</x:v>
      </x:c>
      <x:c r="J383" s="23">
        <x:f>H383-I383</x:f>
      </x:c>
      <x:c r="K383" s="22">
        <x:v>1</x:v>
      </x:c>
      <x:c r="L383" s="24" t="s">
        <x:v>623</x:v>
      </x:c>
      <x:c r="M383" s="24"/>
      <x:c r="N383" s="27" t="s">
        <x:v>623</x:v>
      </x:c>
      <x:c r="O383" s="27"/>
      <x:c r="P383" s="26"/>
      <x:c r="Q383" s="27"/>
      <x:c r="R383" s="22">
        <x:f>IF(N383="","تکمیل نشده",IF(N383="ادغام با تفصیلی دیگر",IF(O383="","کلید مقصد خالی است",IF(IFERROR(MATCH(O383*1,$A:$A,0),0)=0,"کلید مقصد در این فهرست نیست",IF(O383*1=A383,"ادغام با خودش","OK"))),"OK"))</x:f>
      </x:c>
      <x:c r="S383" s="28"/>
    </x:row>
    <x:row r="384" spans="1:19">
      <x:c r="A384" s="21">
        <x:v>3746</x:v>
      </x:c>
      <x:c r="B384" s="22" t="s">
        <x:v>139</x:v>
      </x:c>
      <x:c r="C384" s="22" t="s">
        <x:v>193</x:v>
      </x:c>
      <x:c r="D384" s="22" t="s">
        <x:v>1070</x:v>
      </x:c>
      <x:c r="E384" s="22" t="s">
        <x:v>1071</x:v>
      </x:c>
      <x:c r="F384" s="22" t="s">
        <x:v>319</x:v>
      </x:c>
      <x:c r="G384" s="22">
        <x:v>9</x:v>
      </x:c>
      <x:c r="H384" s="23">
        <x:v>121360905</x:v>
      </x:c>
      <x:c r="I384" s="23">
        <x:v>121360905</x:v>
      </x:c>
      <x:c r="J384" s="23">
        <x:f>H384-I384</x:f>
      </x:c>
      <x:c r="K384" s="22">
        <x:v>2</x:v>
      </x:c>
      <x:c r="L384" s="24" t="s">
        <x:v>623</x:v>
      </x:c>
      <x:c r="M384" s="24"/>
      <x:c r="N384" s="27" t="s">
        <x:v>623</x:v>
      </x:c>
      <x:c r="O384" s="27"/>
      <x:c r="P384" s="26"/>
      <x:c r="Q384" s="27"/>
      <x:c r="R384" s="22">
        <x:f>IF(N384="","تکمیل نشده",IF(N384="ادغام با تفصیلی دیگر",IF(O384="","کلید مقصد خالی است",IF(IFERROR(MATCH(O384*1,$A:$A,0),0)=0,"کلید مقصد در این فهرست نیست",IF(O384*1=A384,"ادغام با خودش","OK"))),"OK"))</x:f>
      </x:c>
      <x:c r="S384" s="28"/>
    </x:row>
    <x:row r="385" spans="1:19">
      <x:c r="A385" s="21">
        <x:v>2898</x:v>
      </x:c>
      <x:c r="B385" s="22" t="s">
        <x:v>139</x:v>
      </x:c>
      <x:c r="C385" s="22" t="s">
        <x:v>193</x:v>
      </x:c>
      <x:c r="D385" s="22" t="s">
        <x:v>1002</x:v>
      </x:c>
      <x:c r="E385" s="22" t="s">
        <x:v>1072</x:v>
      </x:c>
      <x:c r="F385" s="22" t="s">
        <x:v>319</x:v>
      </x:c>
      <x:c r="G385" s="22">
        <x:v>5</x:v>
      </x:c>
      <x:c r="H385" s="23">
        <x:v>729226143</x:v>
      </x:c>
      <x:c r="I385" s="23">
        <x:v>937613543</x:v>
      </x:c>
      <x:c r="J385" s="23">
        <x:f>H385-I385</x:f>
      </x:c>
      <x:c r="K385" s="22">
        <x:v>2</x:v>
      </x:c>
      <x:c r="L385" s="24" t="s">
        <x:v>623</x:v>
      </x:c>
      <x:c r="M385" s="24"/>
      <x:c r="N385" s="27" t="s">
        <x:v>623</x:v>
      </x:c>
      <x:c r="O385" s="27"/>
      <x:c r="P385" s="26"/>
      <x:c r="Q385" s="27"/>
      <x:c r="R385" s="22">
        <x:f>IF(N385="","تکمیل نشده",IF(N385="ادغام با تفصیلی دیگر",IF(O385="","کلید مقصد خالی است",IF(IFERROR(MATCH(O385*1,$A:$A,0),0)=0,"کلید مقصد در این فهرست نیست",IF(O385*1=A385,"ادغام با خودش","OK"))),"OK"))</x:f>
      </x:c>
      <x:c r="S385" s="28"/>
    </x:row>
    <x:row r="386" spans="1:19">
      <x:c r="A386" s="21">
        <x:v>2901</x:v>
      </x:c>
      <x:c r="B386" s="22" t="s">
        <x:v>139</x:v>
      </x:c>
      <x:c r="C386" s="22" t="s">
        <x:v>193</x:v>
      </x:c>
      <x:c r="D386" s="22" t="s">
        <x:v>1004</x:v>
      </x:c>
      <x:c r="E386" s="22" t="s">
        <x:v>1073</x:v>
      </x:c>
      <x:c r="F386" s="22" t="s">
        <x:v>319</x:v>
      </x:c>
      <x:c r="G386" s="22">
        <x:v>5</x:v>
      </x:c>
      <x:c r="H386" s="23">
        <x:v>43737143</x:v>
      </x:c>
      <x:c r="I386" s="23">
        <x:v>110421111</x:v>
      </x:c>
      <x:c r="J386" s="23">
        <x:f>H386-I386</x:f>
      </x:c>
      <x:c r="K386" s="22">
        <x:v>1</x:v>
      </x:c>
      <x:c r="L386" s="24" t="s">
        <x:v>623</x:v>
      </x:c>
      <x:c r="M386" s="24"/>
      <x:c r="N386" s="27" t="s">
        <x:v>623</x:v>
      </x:c>
      <x:c r="O386" s="27"/>
      <x:c r="P386" s="26"/>
      <x:c r="Q386" s="27"/>
      <x:c r="R386" s="22">
        <x:f>IF(N386="","تکمیل نشده",IF(N386="ادغام با تفصیلی دیگر",IF(O386="","کلید مقصد خالی است",IF(IFERROR(MATCH(O386*1,$A:$A,0),0)=0,"کلید مقصد در این فهرست نیست",IF(O386*1=A386,"ادغام با خودش","OK"))),"OK"))</x:f>
      </x:c>
      <x:c r="S386" s="28"/>
    </x:row>
    <x:row r="387" spans="1:19">
      <x:c r="A387" s="21">
        <x:v>2905</x:v>
      </x:c>
      <x:c r="B387" s="22" t="s">
        <x:v>139</x:v>
      </x:c>
      <x:c r="C387" s="22" t="s">
        <x:v>193</x:v>
      </x:c>
      <x:c r="D387" s="22" t="s">
        <x:v>1074</x:v>
      </x:c>
      <x:c r="E387" s="22" t="s">
        <x:v>1075</x:v>
      </x:c>
      <x:c r="F387" s="22" t="s">
        <x:v>319</x:v>
      </x:c>
      <x:c r="G387" s="22">
        <x:v>4</x:v>
      </x:c>
      <x:c r="H387" s="23">
        <x:v>148997004</x:v>
      </x:c>
      <x:c r="I387" s="23">
        <x:v>148997004</x:v>
      </x:c>
      <x:c r="J387" s="23">
        <x:f>H387-I387</x:f>
      </x:c>
      <x:c r="K387" s="22">
        <x:v>1</x:v>
      </x:c>
      <x:c r="L387" s="24" t="s">
        <x:v>623</x:v>
      </x:c>
      <x:c r="M387" s="24"/>
      <x:c r="N387" s="27" t="s">
        <x:v>623</x:v>
      </x:c>
      <x:c r="O387" s="27"/>
      <x:c r="P387" s="26"/>
      <x:c r="Q387" s="27"/>
      <x:c r="R387" s="22">
        <x:f>IF(N387="","تکمیل نشده",IF(N387="ادغام با تفصیلی دیگر",IF(O387="","کلید مقصد خالی است",IF(IFERROR(MATCH(O387*1,$A:$A,0),0)=0,"کلید مقصد در این فهرست نیست",IF(O387*1=A387,"ادغام با خودش","OK"))),"OK"))</x:f>
      </x:c>
      <x:c r="S387" s="28"/>
    </x:row>
    <x:row r="388" spans="1:19">
      <x:c r="A388" s="21">
        <x:v>2909</x:v>
      </x:c>
      <x:c r="B388" s="22" t="s">
        <x:v>139</x:v>
      </x:c>
      <x:c r="C388" s="22" t="s">
        <x:v>193</x:v>
      </x:c>
      <x:c r="D388" s="22" t="s">
        <x:v>1076</x:v>
      </x:c>
      <x:c r="E388" s="22" t="s">
        <x:v>1077</x:v>
      </x:c>
      <x:c r="F388" s="22" t="s">
        <x:v>319</x:v>
      </x:c>
      <x:c r="G388" s="22">
        <x:v>2</x:v>
      </x:c>
      <x:c r="H388" s="23">
        <x:v>3837243</x:v>
      </x:c>
      <x:c r="I388" s="23">
        <x:v>3837243</x:v>
      </x:c>
      <x:c r="J388" s="23">
        <x:f>H388-I388</x:f>
      </x:c>
      <x:c r="K388" s="22">
        <x:v>1</x:v>
      </x:c>
      <x:c r="L388" s="24" t="s">
        <x:v>623</x:v>
      </x:c>
      <x:c r="M388" s="24"/>
      <x:c r="N388" s="27" t="s">
        <x:v>623</x:v>
      </x:c>
      <x:c r="O388" s="27"/>
      <x:c r="P388" s="26"/>
      <x:c r="Q388" s="27"/>
      <x:c r="R388" s="22">
        <x:f>IF(N388="","تکمیل نشده",IF(N388="ادغام با تفصیلی دیگر",IF(O388="","کلید مقصد خالی است",IF(IFERROR(MATCH(O388*1,$A:$A,0),0)=0,"کلید مقصد در این فهرست نیست",IF(O388*1=A388,"ادغام با خودش","OK"))),"OK"))</x:f>
      </x:c>
      <x:c r="S388" s="28"/>
    </x:row>
    <x:row r="389" spans="1:19">
      <x:c r="A389" s="21">
        <x:v>2910</x:v>
      </x:c>
      <x:c r="B389" s="22" t="s">
        <x:v>139</x:v>
      </x:c>
      <x:c r="C389" s="22" t="s">
        <x:v>193</x:v>
      </x:c>
      <x:c r="D389" s="22" t="s">
        <x:v>1078</x:v>
      </x:c>
      <x:c r="E389" s="22" t="s">
        <x:v>1079</x:v>
      </x:c>
      <x:c r="F389" s="22" t="s">
        <x:v>319</x:v>
      </x:c>
      <x:c r="G389" s="22">
        <x:v>2</x:v>
      </x:c>
      <x:c r="H389" s="23">
        <x:v>206303550</x:v>
      </x:c>
      <x:c r="I389" s="23">
        <x:v>206303550</x:v>
      </x:c>
      <x:c r="J389" s="23">
        <x:f>H389-I389</x:f>
      </x:c>
      <x:c r="K389" s="22">
        <x:v>1</x:v>
      </x:c>
      <x:c r="L389" s="24" t="s">
        <x:v>623</x:v>
      </x:c>
      <x:c r="M389" s="24"/>
      <x:c r="N389" s="27" t="s">
        <x:v>623</x:v>
      </x:c>
      <x:c r="O389" s="27"/>
      <x:c r="P389" s="26"/>
      <x:c r="Q389" s="27"/>
      <x:c r="R389" s="22">
        <x:f>IF(N389="","تکمیل نشده",IF(N389="ادغام با تفصیلی دیگر",IF(O389="","کلید مقصد خالی است",IF(IFERROR(MATCH(O389*1,$A:$A,0),0)=0,"کلید مقصد در این فهرست نیست",IF(O389*1=A389,"ادغام با خودش","OK"))),"OK"))</x:f>
      </x:c>
      <x:c r="S389" s="28"/>
    </x:row>
    <x:row r="390" spans="1:19">
      <x:c r="A390" s="21">
        <x:v>2911</x:v>
      </x:c>
      <x:c r="B390" s="22" t="s">
        <x:v>139</x:v>
      </x:c>
      <x:c r="C390" s="22" t="s">
        <x:v>193</x:v>
      </x:c>
      <x:c r="D390" s="22" t="s">
        <x:v>1080</x:v>
      </x:c>
      <x:c r="E390" s="22" t="s">
        <x:v>1081</x:v>
      </x:c>
      <x:c r="F390" s="22" t="s">
        <x:v>319</x:v>
      </x:c>
      <x:c r="G390" s="22">
        <x:v>1</x:v>
      </x:c>
      <x:c r="H390" s="23">
        <x:v>0</x:v>
      </x:c>
      <x:c r="I390" s="23">
        <x:v>55014300</x:v>
      </x:c>
      <x:c r="J390" s="23">
        <x:f>H390-I390</x:f>
      </x:c>
      <x:c r="K390" s="22">
        <x:v>1</x:v>
      </x:c>
      <x:c r="L390" s="24" t="s">
        <x:v>623</x:v>
      </x:c>
      <x:c r="M390" s="24"/>
      <x:c r="N390" s="27" t="s">
        <x:v>623</x:v>
      </x:c>
      <x:c r="O390" s="27"/>
      <x:c r="P390" s="26"/>
      <x:c r="Q390" s="27"/>
      <x:c r="R390" s="22">
        <x:f>IF(N390="","تکمیل نشده",IF(N390="ادغام با تفصیلی دیگر",IF(O390="","کلید مقصد خالی است",IF(IFERROR(MATCH(O390*1,$A:$A,0),0)=0,"کلید مقصد در این فهرست نیست",IF(O390*1=A390,"ادغام با خودش","OK"))),"OK"))</x:f>
      </x:c>
      <x:c r="S390" s="28"/>
    </x:row>
    <x:row r="391" spans="1:19">
      <x:c r="A391" s="21">
        <x:v>2912</x:v>
      </x:c>
      <x:c r="B391" s="22" t="s">
        <x:v>139</x:v>
      </x:c>
      <x:c r="C391" s="22" t="s">
        <x:v>193</x:v>
      </x:c>
      <x:c r="D391" s="22" t="s">
        <x:v>1082</x:v>
      </x:c>
      <x:c r="E391" s="22" t="s">
        <x:v>1083</x:v>
      </x:c>
      <x:c r="F391" s="22" t="s">
        <x:v>319</x:v>
      </x:c>
      <x:c r="G391" s="22">
        <x:v>2</x:v>
      </x:c>
      <x:c r="H391" s="23">
        <x:v>109904569</x:v>
      </x:c>
      <x:c r="I391" s="23">
        <x:v>109904569</x:v>
      </x:c>
      <x:c r="J391" s="23">
        <x:f>H391-I391</x:f>
      </x:c>
      <x:c r="K391" s="22">
        <x:v>1</x:v>
      </x:c>
      <x:c r="L391" s="24" t="s">
        <x:v>623</x:v>
      </x:c>
      <x:c r="M391" s="24"/>
      <x:c r="N391" s="27" t="s">
        <x:v>623</x:v>
      </x:c>
      <x:c r="O391" s="27"/>
      <x:c r="P391" s="26"/>
      <x:c r="Q391" s="27"/>
      <x:c r="R391" s="22">
        <x:f>IF(N391="","تکمیل نشده",IF(N391="ادغام با تفصیلی دیگر",IF(O391="","کلید مقصد خالی است",IF(IFERROR(MATCH(O391*1,$A:$A,0),0)=0,"کلید مقصد در این فهرست نیست",IF(O391*1=A391,"ادغام با خودش","OK"))),"OK"))</x:f>
      </x:c>
      <x:c r="S391" s="28"/>
    </x:row>
    <x:row r="392" spans="1:19">
      <x:c r="A392" s="21">
        <x:v>2913</x:v>
      </x:c>
      <x:c r="B392" s="22" t="s">
        <x:v>139</x:v>
      </x:c>
      <x:c r="C392" s="22" t="s">
        <x:v>193</x:v>
      </x:c>
      <x:c r="D392" s="22" t="s">
        <x:v>1084</x:v>
      </x:c>
      <x:c r="E392" s="22" t="s">
        <x:v>1085</x:v>
      </x:c>
      <x:c r="F392" s="22" t="s">
        <x:v>319</x:v>
      </x:c>
      <x:c r="G392" s="22">
        <x:v>2</x:v>
      </x:c>
      <x:c r="H392" s="23">
        <x:v>40114578</x:v>
      </x:c>
      <x:c r="I392" s="23">
        <x:v>40114578</x:v>
      </x:c>
      <x:c r="J392" s="23">
        <x:f>H392-I392</x:f>
      </x:c>
      <x:c r="K392" s="22">
        <x:v>1</x:v>
      </x:c>
      <x:c r="L392" s="24" t="s">
        <x:v>623</x:v>
      </x:c>
      <x:c r="M392" s="24"/>
      <x:c r="N392" s="27" t="s">
        <x:v>623</x:v>
      </x:c>
      <x:c r="O392" s="27"/>
      <x:c r="P392" s="26"/>
      <x:c r="Q392" s="27"/>
      <x:c r="R392" s="22">
        <x:f>IF(N392="","تکمیل نشده",IF(N392="ادغام با تفصیلی دیگر",IF(O392="","کلید مقصد خالی است",IF(IFERROR(MATCH(O392*1,$A:$A,0),0)=0,"کلید مقصد در این فهرست نیست",IF(O392*1=A392,"ادغام با خودش","OK"))),"OK"))</x:f>
      </x:c>
      <x:c r="S392" s="28"/>
    </x:row>
    <x:row r="393" spans="1:19">
      <x:c r="A393" s="21">
        <x:v>2917</x:v>
      </x:c>
      <x:c r="B393" s="22" t="s">
        <x:v>139</x:v>
      </x:c>
      <x:c r="C393" s="22" t="s">
        <x:v>193</x:v>
      </x:c>
      <x:c r="D393" s="22" t="s">
        <x:v>1086</x:v>
      </x:c>
      <x:c r="E393" s="22" t="s">
        <x:v>1087</x:v>
      </x:c>
      <x:c r="F393" s="22" t="s">
        <x:v>319</x:v>
      </x:c>
      <x:c r="G393" s="22">
        <x:v>2</x:v>
      </x:c>
      <x:c r="H393" s="23">
        <x:v>13753570</x:v>
      </x:c>
      <x:c r="I393" s="23">
        <x:v>13753570</x:v>
      </x:c>
      <x:c r="J393" s="23">
        <x:f>H393-I393</x:f>
      </x:c>
      <x:c r="K393" s="22">
        <x:v>1</x:v>
      </x:c>
      <x:c r="L393" s="24" t="s">
        <x:v>623</x:v>
      </x:c>
      <x:c r="M393" s="24"/>
      <x:c r="N393" s="27" t="s">
        <x:v>623</x:v>
      </x:c>
      <x:c r="O393" s="27"/>
      <x:c r="P393" s="26"/>
      <x:c r="Q393" s="27"/>
      <x:c r="R393" s="22">
        <x:f>IF(N393="","تکمیل نشده",IF(N393="ادغام با تفصیلی دیگر",IF(O393="","کلید مقصد خالی است",IF(IFERROR(MATCH(O393*1,$A:$A,0),0)=0,"کلید مقصد در این فهرست نیست",IF(O393*1=A393,"ادغام با خودش","OK"))),"OK"))</x:f>
      </x:c>
      <x:c r="S393" s="28"/>
    </x:row>
    <x:row r="394" spans="1:19">
      <x:c r="A394" s="21">
        <x:v>2918</x:v>
      </x:c>
      <x:c r="B394" s="22" t="s">
        <x:v>139</x:v>
      </x:c>
      <x:c r="C394" s="22" t="s">
        <x:v>193</x:v>
      </x:c>
      <x:c r="D394" s="22" t="s">
        <x:v>1088</x:v>
      </x:c>
      <x:c r="E394" s="22" t="s">
        <x:v>1089</x:v>
      </x:c>
      <x:c r="F394" s="22" t="s">
        <x:v>319</x:v>
      </x:c>
      <x:c r="G394" s="22">
        <x:v>1</x:v>
      </x:c>
      <x:c r="H394" s="23">
        <x:v>0</x:v>
      </x:c>
      <x:c r="I394" s="23">
        <x:v>17604576</x:v>
      </x:c>
      <x:c r="J394" s="23">
        <x:f>H394-I394</x:f>
      </x:c>
      <x:c r="K394" s="22">
        <x:v>1</x:v>
      </x:c>
      <x:c r="L394" s="24" t="s">
        <x:v>623</x:v>
      </x:c>
      <x:c r="M394" s="24"/>
      <x:c r="N394" s="27" t="s">
        <x:v>623</x:v>
      </x:c>
      <x:c r="O394" s="27"/>
      <x:c r="P394" s="26"/>
      <x:c r="Q394" s="27"/>
      <x:c r="R394" s="22">
        <x:f>IF(N394="","تکمیل نشده",IF(N394="ادغام با تفصیلی دیگر",IF(O394="","کلید مقصد خالی است",IF(IFERROR(MATCH(O394*1,$A:$A,0),0)=0,"کلید مقصد در این فهرست نیست",IF(O394*1=A394,"ادغام با خودش","OK"))),"OK"))</x:f>
      </x:c>
      <x:c r="S394" s="28"/>
    </x:row>
    <x:row r="395" spans="1:19">
      <x:c r="A395" s="21">
        <x:v>2919</x:v>
      </x:c>
      <x:c r="B395" s="22" t="s">
        <x:v>139</x:v>
      </x:c>
      <x:c r="C395" s="22" t="s">
        <x:v>193</x:v>
      </x:c>
      <x:c r="D395" s="22" t="s">
        <x:v>1090</x:v>
      </x:c>
      <x:c r="E395" s="22" t="s">
        <x:v>1091</x:v>
      </x:c>
      <x:c r="F395" s="22" t="s">
        <x:v>319</x:v>
      </x:c>
      <x:c r="G395" s="22">
        <x:v>2</x:v>
      </x:c>
      <x:c r="H395" s="23">
        <x:v>3452142</x:v>
      </x:c>
      <x:c r="I395" s="23">
        <x:v>3452142</x:v>
      </x:c>
      <x:c r="J395" s="23">
        <x:f>H395-I395</x:f>
      </x:c>
      <x:c r="K395" s="22">
        <x:v>1</x:v>
      </x:c>
      <x:c r="L395" s="24" t="s">
        <x:v>623</x:v>
      </x:c>
      <x:c r="M395" s="24"/>
      <x:c r="N395" s="27" t="s">
        <x:v>623</x:v>
      </x:c>
      <x:c r="O395" s="27"/>
      <x:c r="P395" s="26"/>
      <x:c r="Q395" s="27"/>
      <x:c r="R395" s="22">
        <x:f>IF(N395="","تکمیل نشده",IF(N395="ادغام با تفصیلی دیگر",IF(O395="","کلید مقصد خالی است",IF(IFERROR(MATCH(O395*1,$A:$A,0),0)=0,"کلید مقصد در این فهرست نیست",IF(O395*1=A395,"ادغام با خودش","OK"))),"OK"))</x:f>
      </x:c>
      <x:c r="S395" s="28"/>
    </x:row>
    <x:row r="396" spans="1:19">
      <x:c r="A396" s="21">
        <x:v>2923</x:v>
      </x:c>
      <x:c r="B396" s="22" t="s">
        <x:v>139</x:v>
      </x:c>
      <x:c r="C396" s="22" t="s">
        <x:v>193</x:v>
      </x:c>
      <x:c r="D396" s="22" t="s">
        <x:v>1092</x:v>
      </x:c>
      <x:c r="E396" s="22" t="s">
        <x:v>1093</x:v>
      </x:c>
      <x:c r="F396" s="22" t="s">
        <x:v>319</x:v>
      </x:c>
      <x:c r="G396" s="22">
        <x:v>8</x:v>
      </x:c>
      <x:c r="H396" s="23">
        <x:v>31724904</x:v>
      </x:c>
      <x:c r="I396" s="23">
        <x:v>31724904</x:v>
      </x:c>
      <x:c r="J396" s="23">
        <x:f>H396-I396</x:f>
      </x:c>
      <x:c r="K396" s="22">
        <x:v>2</x:v>
      </x:c>
      <x:c r="L396" s="24" t="s">
        <x:v>675</x:v>
      </x:c>
      <x:c r="M396" s="24">
        <x:v>3746</x:v>
      </x:c>
      <x:c r="N396" s="27" t="s">
        <x:v>675</x:v>
      </x:c>
      <x:c r="O396" s="27">
        <x:v>3746</x:v>
      </x:c>
      <x:c r="P396" s="26"/>
      <x:c r="Q396" s="27"/>
      <x:c r="R396" s="22">
        <x:f>IF(N396="","تکمیل نشده",IF(N396="ادغام با تفصیلی دیگر",IF(O396="","کلید مقصد خالی است",IF(IFERROR(MATCH(O396*1,$A:$A,0),0)=0,"کلید مقصد در این فهرست نیست",IF(O396*1=A396,"ادغام با خودش","OK"))),"OK"))</x:f>
      </x:c>
      <x:c r="S396" s="28"/>
    </x:row>
    <x:row r="397" spans="1:19">
      <x:c r="A397" s="21">
        <x:v>2933</x:v>
      </x:c>
      <x:c r="B397" s="22" t="s">
        <x:v>139</x:v>
      </x:c>
      <x:c r="C397" s="22" t="s">
        <x:v>14</x:v>
      </x:c>
      <x:c r="D397" s="22" t="s">
        <x:v>1059</x:v>
      </x:c>
      <x:c r="E397" s="22" t="s">
        <x:v>1094</x:v>
      </x:c>
      <x:c r="F397" s="22" t="s">
        <x:v>322</x:v>
      </x:c>
      <x:c r="G397" s="22">
        <x:v>2</x:v>
      </x:c>
      <x:c r="H397" s="23">
        <x:v>99318609</x:v>
      </x:c>
      <x:c r="I397" s="23">
        <x:v>99318609</x:v>
      </x:c>
      <x:c r="J397" s="23">
        <x:f>H397-I397</x:f>
      </x:c>
      <x:c r="K397" s="22">
        <x:v>1</x:v>
      </x:c>
      <x:c r="L397" s="24" t="s">
        <x:v>623</x:v>
      </x:c>
      <x:c r="M397" s="24"/>
      <x:c r="N397" s="27" t="s">
        <x:v>623</x:v>
      </x:c>
      <x:c r="O397" s="27"/>
      <x:c r="P397" s="26"/>
      <x:c r="Q397" s="27"/>
      <x:c r="R397" s="22">
        <x:f>IF(N397="","تکمیل نشده",IF(N397="ادغام با تفصیلی دیگر",IF(O397="","کلید مقصد خالی است",IF(IFERROR(MATCH(O397*1,$A:$A,0),0)=0,"کلید مقصد در این فهرست نیست",IF(O397*1=A397,"ادغام با خودش","OK"))),"OK"))</x:f>
      </x:c>
      <x:c r="S397" s="28"/>
    </x:row>
    <x:row r="398" spans="1:19">
      <x:c r="A398" s="21">
        <x:v>2938</x:v>
      </x:c>
      <x:c r="B398" s="22" t="s">
        <x:v>139</x:v>
      </x:c>
      <x:c r="C398" s="22" t="s">
        <x:v>18</x:v>
      </x:c>
      <x:c r="D398" s="22" t="s">
        <x:v>1059</x:v>
      </x:c>
      <x:c r="E398" s="22" t="s">
        <x:v>1095</x:v>
      </x:c>
      <x:c r="F398" s="22" t="s">
        <x:v>323</x:v>
      </x:c>
      <x:c r="G398" s="22">
        <x:v>12</x:v>
      </x:c>
      <x:c r="H398" s="23">
        <x:v>156729804</x:v>
      </x:c>
      <x:c r="I398" s="23">
        <x:v>212334950</x:v>
      </x:c>
      <x:c r="J398" s="23">
        <x:f>H398-I398</x:f>
      </x:c>
      <x:c r="K398" s="22">
        <x:v>1</x:v>
      </x:c>
      <x:c r="L398" s="24" t="s">
        <x:v>623</x:v>
      </x:c>
      <x:c r="M398" s="24"/>
      <x:c r="N398" s="27" t="s">
        <x:v>623</x:v>
      </x:c>
      <x:c r="O398" s="27"/>
      <x:c r="P398" s="26"/>
      <x:c r="Q398" s="27"/>
      <x:c r="R398" s="22">
        <x:f>IF(N398="","تکمیل نشده",IF(N398="ادغام با تفصیلی دیگر",IF(O398="","کلید مقصد خالی است",IF(IFERROR(MATCH(O398*1,$A:$A,0),0)=0,"کلید مقصد در این فهرست نیست",IF(O398*1=A398,"ادغام با خودش","OK"))),"OK"))</x:f>
      </x:c>
      <x:c r="S398" s="28"/>
    </x:row>
    <x:row r="399" spans="1:19">
      <x:c r="A399" s="21">
        <x:v>2939</x:v>
      </x:c>
      <x:c r="B399" s="22" t="s">
        <x:v>139</x:v>
      </x:c>
      <x:c r="C399" s="22" t="s">
        <x:v>18</x:v>
      </x:c>
      <x:c r="D399" s="22" t="s">
        <x:v>1061</x:v>
      </x:c>
      <x:c r="E399" s="22" t="s">
        <x:v>1096</x:v>
      </x:c>
      <x:c r="F399" s="22" t="s">
        <x:v>323</x:v>
      </x:c>
      <x:c r="G399" s="22">
        <x:v>12</x:v>
      </x:c>
      <x:c r="H399" s="23">
        <x:v>11520810</x:v>
      </x:c>
      <x:c r="I399" s="23">
        <x:v>19971000</x:v>
      </x:c>
      <x:c r="J399" s="23">
        <x:f>H399-I399</x:f>
      </x:c>
      <x:c r="K399" s="22">
        <x:v>1</x:v>
      </x:c>
      <x:c r="L399" s="24" t="s">
        <x:v>623</x:v>
      </x:c>
      <x:c r="M399" s="24"/>
      <x:c r="N399" s="27" t="s">
        <x:v>623</x:v>
      </x:c>
      <x:c r="O399" s="27"/>
      <x:c r="P399" s="26"/>
      <x:c r="Q399" s="27"/>
      <x:c r="R399" s="22">
        <x:f>IF(N399="","تکمیل نشده",IF(N399="ادغام با تفصیلی دیگر",IF(O399="","کلید مقصد خالی است",IF(IFERROR(MATCH(O399*1,$A:$A,0),0)=0,"کلید مقصد در این فهرست نیست",IF(O399*1=A399,"ادغام با خودش","OK"))),"OK"))</x:f>
      </x:c>
      <x:c r="S399" s="28"/>
    </x:row>
    <x:row r="400" spans="1:19">
      <x:c r="A400" s="21">
        <x:v>2943</x:v>
      </x:c>
      <x:c r="B400" s="22" t="s">
        <x:v>139</x:v>
      </x:c>
      <x:c r="C400" s="22" t="s">
        <x:v>21</x:v>
      </x:c>
      <x:c r="D400" s="22" t="s">
        <x:v>1059</x:v>
      </x:c>
      <x:c r="E400" s="22" t="s">
        <x:v>1097</x:v>
      </x:c>
      <x:c r="F400" s="22" t="s">
        <x:v>324</x:v>
      </x:c>
      <x:c r="G400" s="22">
        <x:v>12</x:v>
      </x:c>
      <x:c r="H400" s="23">
        <x:v>2439013646</x:v>
      </x:c>
      <x:c r="I400" s="23">
        <x:v>3235846989</x:v>
      </x:c>
      <x:c r="J400" s="23">
        <x:f>H400-I400</x:f>
      </x:c>
      <x:c r="K400" s="22">
        <x:v>1</x:v>
      </x:c>
      <x:c r="L400" s="24" t="s">
        <x:v>623</x:v>
      </x:c>
      <x:c r="M400" s="24"/>
      <x:c r="N400" s="27" t="s">
        <x:v>623</x:v>
      </x:c>
      <x:c r="O400" s="27"/>
      <x:c r="P400" s="26"/>
      <x:c r="Q400" s="27"/>
      <x:c r="R400" s="22">
        <x:f>IF(N400="","تکمیل نشده",IF(N400="ادغام با تفصیلی دیگر",IF(O400="","کلید مقصد خالی است",IF(IFERROR(MATCH(O400*1,$A:$A,0),0)=0,"کلید مقصد در این فهرست نیست",IF(O400*1=A400,"ادغام با خودش","OK"))),"OK"))</x:f>
      </x:c>
      <x:c r="S400" s="28"/>
    </x:row>
    <x:row r="401" spans="1:19">
      <x:c r="A401" s="21">
        <x:v>2944</x:v>
      </x:c>
      <x:c r="B401" s="22" t="s">
        <x:v>139</x:v>
      </x:c>
      <x:c r="C401" s="22" t="s">
        <x:v>21</x:v>
      </x:c>
      <x:c r="D401" s="22" t="s">
        <x:v>1061</x:v>
      </x:c>
      <x:c r="E401" s="22" t="s">
        <x:v>1098</x:v>
      </x:c>
      <x:c r="F401" s="22" t="s">
        <x:v>324</x:v>
      </x:c>
      <x:c r="G401" s="22">
        <x:v>12</x:v>
      </x:c>
      <x:c r="H401" s="23">
        <x:v>225059191</x:v>
      </x:c>
      <x:c r="I401" s="23">
        <x:v>344609396</x:v>
      </x:c>
      <x:c r="J401" s="23">
        <x:f>H401-I401</x:f>
      </x:c>
      <x:c r="K401" s="22">
        <x:v>1</x:v>
      </x:c>
      <x:c r="L401" s="24" t="s">
        <x:v>623</x:v>
      </x:c>
      <x:c r="M401" s="24"/>
      <x:c r="N401" s="27" t="s">
        <x:v>623</x:v>
      </x:c>
      <x:c r="O401" s="27"/>
      <x:c r="P401" s="26"/>
      <x:c r="Q401" s="27"/>
      <x:c r="R401" s="22">
        <x:f>IF(N401="","تکمیل نشده",IF(N401="ادغام با تفصیلی دیگر",IF(O401="","کلید مقصد خالی است",IF(IFERROR(MATCH(O401*1,$A:$A,0),0)=0,"کلید مقصد در این فهرست نیست",IF(O401*1=A401,"ادغام با خودش","OK"))),"OK"))</x:f>
      </x:c>
      <x:c r="S401" s="28"/>
    </x:row>
    <x:row r="402" spans="1:19">
      <x:c r="A402" s="21">
        <x:v>2947</x:v>
      </x:c>
      <x:c r="B402" s="22" t="s">
        <x:v>139</x:v>
      </x:c>
      <x:c r="C402" s="22" t="s">
        <x:v>24</x:v>
      </x:c>
      <x:c r="D402" s="22" t="s">
        <x:v>619</x:v>
      </x:c>
      <x:c r="E402" s="22" t="s">
        <x:v>1099</x:v>
      </x:c>
      <x:c r="F402" s="22" t="s">
        <x:v>325</x:v>
      </x:c>
      <x:c r="G402" s="22">
        <x:v>76</x:v>
      </x:c>
      <x:c r="H402" s="23">
        <x:v>1671761918</x:v>
      </x:c>
      <x:c r="I402" s="23">
        <x:v>2380306308</x:v>
      </x:c>
      <x:c r="J402" s="23">
        <x:f>H402-I402</x:f>
      </x:c>
      <x:c r="K402" s="22">
        <x:v>1</x:v>
      </x:c>
      <x:c r="L402" s="24" t="s">
        <x:v>620</x:v>
      </x:c>
      <x:c r="M402" s="24"/>
      <x:c r="N402" s="27" t="s">
        <x:v>620</x:v>
      </x:c>
      <x:c r="O402" s="27"/>
      <x:c r="P402" s="26"/>
      <x:c r="Q402" s="27"/>
      <x:c r="R402" s="22">
        <x:f>IF(N402="","تکمیل نشده",IF(N402="ادغام با تفصیلی دیگر",IF(O402="","کلید مقصد خالی است",IF(IFERROR(MATCH(O402*1,$A:$A,0),0)=0,"کلید مقصد در این فهرست نیست",IF(O402*1=A402,"ادغام با خودش","OK"))),"OK"))</x:f>
      </x:c>
      <x:c r="S402" s="28"/>
    </x:row>
    <x:row r="403" spans="1:19">
      <x:c r="A403" s="21">
        <x:v>2962</x:v>
      </x:c>
      <x:c r="B403" s="22" t="s">
        <x:v>139</x:v>
      </x:c>
      <x:c r="C403" s="22" t="s">
        <x:v>326</x:v>
      </x:c>
      <x:c r="D403" s="22" t="s">
        <x:v>1059</x:v>
      </x:c>
      <x:c r="E403" s="22" t="s">
        <x:v>1100</x:v>
      </x:c>
      <x:c r="F403" s="22" t="s">
        <x:v>327</x:v>
      </x:c>
      <x:c r="G403" s="22">
        <x:v>13</x:v>
      </x:c>
      <x:c r="H403" s="23">
        <x:v>427398444</x:v>
      </x:c>
      <x:c r="I403" s="23">
        <x:v>562627027</x:v>
      </x:c>
      <x:c r="J403" s="23">
        <x:f>H403-I403</x:f>
      </x:c>
      <x:c r="K403" s="22">
        <x:v>1</x:v>
      </x:c>
      <x:c r="L403" s="24" t="s">
        <x:v>623</x:v>
      </x:c>
      <x:c r="M403" s="24"/>
      <x:c r="N403" s="27" t="s">
        <x:v>623</x:v>
      </x:c>
      <x:c r="O403" s="27"/>
      <x:c r="P403" s="26"/>
      <x:c r="Q403" s="27"/>
      <x:c r="R403" s="22">
        <x:f>IF(N403="","تکمیل نشده",IF(N403="ادغام با تفصیلی دیگر",IF(O403="","کلید مقصد خالی است",IF(IFERROR(MATCH(O403*1,$A:$A,0),0)=0,"کلید مقصد در این فهرست نیست",IF(O403*1=A403,"ادغام با خودش","OK"))),"OK"))</x:f>
      </x:c>
      <x:c r="S403" s="28"/>
    </x:row>
    <x:row r="404" spans="1:19">
      <x:c r="A404" s="21">
        <x:v>2963</x:v>
      </x:c>
      <x:c r="B404" s="22" t="s">
        <x:v>139</x:v>
      </x:c>
      <x:c r="C404" s="22" t="s">
        <x:v>326</x:v>
      </x:c>
      <x:c r="D404" s="22" t="s">
        <x:v>1061</x:v>
      </x:c>
      <x:c r="E404" s="22" t="s">
        <x:v>1101</x:v>
      </x:c>
      <x:c r="F404" s="22" t="s">
        <x:v>327</x:v>
      </x:c>
      <x:c r="G404" s="22">
        <x:v>12</x:v>
      </x:c>
      <x:c r="H404" s="23">
        <x:v>57566701</x:v>
      </x:c>
      <x:c r="I404" s="23">
        <x:v>104214266</x:v>
      </x:c>
      <x:c r="J404" s="23">
        <x:f>H404-I404</x:f>
      </x:c>
      <x:c r="K404" s="22">
        <x:v>1</x:v>
      </x:c>
      <x:c r="L404" s="24" t="s">
        <x:v>623</x:v>
      </x:c>
      <x:c r="M404" s="24"/>
      <x:c r="N404" s="27" t="s">
        <x:v>623</x:v>
      </x:c>
      <x:c r="O404" s="27"/>
      <x:c r="P404" s="26"/>
      <x:c r="Q404" s="27"/>
      <x:c r="R404" s="22">
        <x:f>IF(N404="","تکمیل نشده",IF(N404="ادغام با تفصیلی دیگر",IF(O404="","کلید مقصد خالی است",IF(IFERROR(MATCH(O404*1,$A:$A,0),0)=0,"کلید مقصد در این فهرست نیست",IF(O404*1=A404,"ادغام با خودش","OK"))),"OK"))</x:f>
      </x:c>
      <x:c r="S404" s="28"/>
    </x:row>
    <x:row r="405" spans="1:19">
      <x:c r="A405" s="21">
        <x:v>2974</x:v>
      </x:c>
      <x:c r="B405" s="22" t="s">
        <x:v>139</x:v>
      </x:c>
      <x:c r="C405" s="22" t="s">
        <x:v>30</x:v>
      </x:c>
      <x:c r="D405" s="22" t="s">
        <x:v>1002</x:v>
      </x:c>
      <x:c r="E405" s="22" t="s">
        <x:v>1102</x:v>
      </x:c>
      <x:c r="F405" s="22" t="s">
        <x:v>330</x:v>
      </x:c>
      <x:c r="G405" s="22">
        <x:v>3</x:v>
      </x:c>
      <x:c r="H405" s="23">
        <x:v>15063480</x:v>
      </x:c>
      <x:c r="I405" s="23">
        <x:v>15063480</x:v>
      </x:c>
      <x:c r="J405" s="23">
        <x:f>H405-I405</x:f>
      </x:c>
      <x:c r="K405" s="22">
        <x:v>1</x:v>
      </x:c>
      <x:c r="L405" s="24" t="s">
        <x:v>623</x:v>
      </x:c>
      <x:c r="M405" s="24"/>
      <x:c r="N405" s="27" t="s">
        <x:v>623</x:v>
      </x:c>
      <x:c r="O405" s="27"/>
      <x:c r="P405" s="26"/>
      <x:c r="Q405" s="27"/>
      <x:c r="R405" s="22">
        <x:f>IF(N405="","تکمیل نشده",IF(N405="ادغام با تفصیلی دیگر",IF(O405="","کلید مقصد خالی است",IF(IFERROR(MATCH(O405*1,$A:$A,0),0)=0,"کلید مقصد در این فهرست نیست",IF(O405*1=A405,"ادغام با خودش","OK"))),"OK"))</x:f>
      </x:c>
      <x:c r="S405" s="28"/>
    </x:row>
    <x:row r="406" spans="1:19">
      <x:c r="A406" s="21">
        <x:v>2975</x:v>
      </x:c>
      <x:c r="B406" s="22" t="s">
        <x:v>139</x:v>
      </x:c>
      <x:c r="C406" s="22" t="s">
        <x:v>30</x:v>
      </x:c>
      <x:c r="D406" s="22" t="s">
        <x:v>996</x:v>
      </x:c>
      <x:c r="E406" s="22" t="s">
        <x:v>1103</x:v>
      </x:c>
      <x:c r="F406" s="22" t="s">
        <x:v>330</x:v>
      </x:c>
      <x:c r="G406" s="22">
        <x:v>3</x:v>
      </x:c>
      <x:c r="H406" s="23">
        <x:v>60768048</x:v>
      </x:c>
      <x:c r="I406" s="23">
        <x:v>60768048</x:v>
      </x:c>
      <x:c r="J406" s="23">
        <x:f>H406-I406</x:f>
      </x:c>
      <x:c r="K406" s="22">
        <x:v>1</x:v>
      </x:c>
      <x:c r="L406" s="24" t="s">
        <x:v>623</x:v>
      </x:c>
      <x:c r="M406" s="24"/>
      <x:c r="N406" s="27" t="s">
        <x:v>623</x:v>
      </x:c>
      <x:c r="O406" s="27"/>
      <x:c r="P406" s="26"/>
      <x:c r="Q406" s="27"/>
      <x:c r="R406" s="22">
        <x:f>IF(N406="","تکمیل نشده",IF(N406="ادغام با تفصیلی دیگر",IF(O406="","کلید مقصد خالی است",IF(IFERROR(MATCH(O406*1,$A:$A,0),0)=0,"کلید مقصد در این فهرست نیست",IF(O406*1=A406,"ادغام با خودش","OK"))),"OK"))</x:f>
      </x:c>
      <x:c r="S406" s="28"/>
    </x:row>
    <x:row r="407" spans="1:19">
      <x:c r="A407" s="21">
        <x:v>2983</x:v>
      </x:c>
      <x:c r="B407" s="22" t="s">
        <x:v>139</x:v>
      </x:c>
      <x:c r="C407" s="22" t="s">
        <x:v>34</x:v>
      </x:c>
      <x:c r="D407" s="22" t="s">
        <x:v>1059</x:v>
      </x:c>
      <x:c r="E407" s="22" t="s">
        <x:v>1104</x:v>
      </x:c>
      <x:c r="F407" s="22" t="s">
        <x:v>331</x:v>
      </x:c>
      <x:c r="G407" s="22">
        <x:v>15</x:v>
      </x:c>
      <x:c r="H407" s="23">
        <x:v>1649443921</x:v>
      </x:c>
      <x:c r="I407" s="23">
        <x:v>2156758581</x:v>
      </x:c>
      <x:c r="J407" s="23">
        <x:f>H407-I407</x:f>
      </x:c>
      <x:c r="K407" s="22">
        <x:v>1</x:v>
      </x:c>
      <x:c r="L407" s="24" t="s">
        <x:v>623</x:v>
      </x:c>
      <x:c r="M407" s="24"/>
      <x:c r="N407" s="27" t="s">
        <x:v>623</x:v>
      </x:c>
      <x:c r="O407" s="27"/>
      <x:c r="P407" s="26"/>
      <x:c r="Q407" s="27"/>
      <x:c r="R407" s="22">
        <x:f>IF(N407="","تکمیل نشده",IF(N407="ادغام با تفصیلی دیگر",IF(O407="","کلید مقصد خالی است",IF(IFERROR(MATCH(O407*1,$A:$A,0),0)=0,"کلید مقصد در این فهرست نیست",IF(O407*1=A407,"ادغام با خودش","OK"))),"OK"))</x:f>
      </x:c>
      <x:c r="S407" s="28"/>
    </x:row>
    <x:row r="408" spans="1:19">
      <x:c r="A408" s="21">
        <x:v>2984</x:v>
      </x:c>
      <x:c r="B408" s="22" t="s">
        <x:v>139</x:v>
      </x:c>
      <x:c r="C408" s="22" t="s">
        <x:v>34</x:v>
      </x:c>
      <x:c r="D408" s="22" t="s">
        <x:v>1061</x:v>
      </x:c>
      <x:c r="E408" s="22" t="s">
        <x:v>1105</x:v>
      </x:c>
      <x:c r="F408" s="22" t="s">
        <x:v>331</x:v>
      </x:c>
      <x:c r="G408" s="22">
        <x:v>12</x:v>
      </x:c>
      <x:c r="H408" s="23">
        <x:v>173208816</x:v>
      </x:c>
      <x:c r="I408" s="23">
        <x:v>272927464</x:v>
      </x:c>
      <x:c r="J408" s="23">
        <x:f>H408-I408</x:f>
      </x:c>
      <x:c r="K408" s="22">
        <x:v>1</x:v>
      </x:c>
      <x:c r="L408" s="24" t="s">
        <x:v>623</x:v>
      </x:c>
      <x:c r="M408" s="24"/>
      <x:c r="N408" s="27" t="s">
        <x:v>623</x:v>
      </x:c>
      <x:c r="O408" s="27"/>
      <x:c r="P408" s="26"/>
      <x:c r="Q408" s="27"/>
      <x:c r="R408" s="22">
        <x:f>IF(N408="","تکمیل نشده",IF(N408="ادغام با تفصیلی دیگر",IF(O408="","کلید مقصد خالی است",IF(IFERROR(MATCH(O408*1,$A:$A,0),0)=0,"کلید مقصد در این فهرست نیست",IF(O408*1=A408,"ادغام با خودش","OK"))),"OK"))</x:f>
      </x:c>
      <x:c r="S408" s="28"/>
    </x:row>
    <x:row r="409" spans="1:19">
      <x:c r="A409" s="21">
        <x:v>2995</x:v>
      </x:c>
      <x:c r="B409" s="22" t="s">
        <x:v>139</x:v>
      </x:c>
      <x:c r="C409" s="22" t="s">
        <x:v>334</x:v>
      </x:c>
      <x:c r="D409" s="22" t="s">
        <x:v>721</x:v>
      </x:c>
      <x:c r="E409" s="22" t="s">
        <x:v>1106</x:v>
      </x:c>
      <x:c r="F409" s="22" t="s">
        <x:v>335</x:v>
      </x:c>
      <x:c r="G409" s="22">
        <x:v>5</x:v>
      </x:c>
      <x:c r="H409" s="23">
        <x:v>4238682</x:v>
      </x:c>
      <x:c r="I409" s="23">
        <x:v>4238682</x:v>
      </x:c>
      <x:c r="J409" s="23">
        <x:f>H409-I409</x:f>
      </x:c>
      <x:c r="K409" s="22">
        <x:v>1</x:v>
      </x:c>
      <x:c r="L409" s="24" t="s">
        <x:v>623</x:v>
      </x:c>
      <x:c r="M409" s="24"/>
      <x:c r="N409" s="27" t="s">
        <x:v>623</x:v>
      </x:c>
      <x:c r="O409" s="27"/>
      <x:c r="P409" s="26"/>
      <x:c r="Q409" s="27"/>
      <x:c r="R409" s="22">
        <x:f>IF(N409="","تکمیل نشده",IF(N409="ادغام با تفصیلی دیگر",IF(O409="","کلید مقصد خالی است",IF(IFERROR(MATCH(O409*1,$A:$A,0),0)=0,"کلید مقصد در این فهرست نیست",IF(O409*1=A409,"ادغام با خودش","OK"))),"OK"))</x:f>
      </x:c>
      <x:c r="S409" s="28"/>
    </x:row>
    <x:row r="410" spans="1:19">
      <x:c r="A410" s="21">
        <x:v>3007</x:v>
      </x:c>
      <x:c r="B410" s="22" t="s">
        <x:v>139</x:v>
      </x:c>
      <x:c r="C410" s="22" t="s">
        <x:v>336</x:v>
      </x:c>
      <x:c r="D410" s="22" t="s">
        <x:v>1059</x:v>
      </x:c>
      <x:c r="E410" s="22" t="s">
        <x:v>1107</x:v>
      </x:c>
      <x:c r="F410" s="22" t="s">
        <x:v>337</x:v>
      </x:c>
      <x:c r="G410" s="22">
        <x:v>295</x:v>
      </x:c>
      <x:c r="H410" s="23">
        <x:v>10763989606</x:v>
      </x:c>
      <x:c r="I410" s="23">
        <x:v>13021153972</x:v>
      </x:c>
      <x:c r="J410" s="23">
        <x:f>H410-I410</x:f>
      </x:c>
      <x:c r="K410" s="22">
        <x:v>1</x:v>
      </x:c>
      <x:c r="L410" s="24" t="s">
        <x:v>623</x:v>
      </x:c>
      <x:c r="M410" s="24"/>
      <x:c r="N410" s="27" t="s">
        <x:v>623</x:v>
      </x:c>
      <x:c r="O410" s="27"/>
      <x:c r="P410" s="26"/>
      <x:c r="Q410" s="27"/>
      <x:c r="R410" s="22">
        <x:f>IF(N410="","تکمیل نشده",IF(N410="ادغام با تفصیلی دیگر",IF(O410="","کلید مقصد خالی است",IF(IFERROR(MATCH(O410*1,$A:$A,0),0)=0,"کلید مقصد در این فهرست نیست",IF(O410*1=A410,"ادغام با خودش","OK"))),"OK"))</x:f>
      </x:c>
      <x:c r="S410" s="28"/>
    </x:row>
    <x:row r="411" spans="1:19">
      <x:c r="A411" s="21">
        <x:v>3008</x:v>
      </x:c>
      <x:c r="B411" s="22" t="s">
        <x:v>139</x:v>
      </x:c>
      <x:c r="C411" s="22" t="s">
        <x:v>336</x:v>
      </x:c>
      <x:c r="D411" s="22" t="s">
        <x:v>1061</x:v>
      </x:c>
      <x:c r="E411" s="22" t="s">
        <x:v>1108</x:v>
      </x:c>
      <x:c r="F411" s="22" t="s">
        <x:v>337</x:v>
      </x:c>
      <x:c r="G411" s="22">
        <x:v>25</x:v>
      </x:c>
      <x:c r="H411" s="23">
        <x:v>5883807369</x:v>
      </x:c>
      <x:c r="I411" s="23">
        <x:v>7094155435</x:v>
      </x:c>
      <x:c r="J411" s="23">
        <x:f>H411-I411</x:f>
      </x:c>
      <x:c r="K411" s="22">
        <x:v>1</x:v>
      </x:c>
      <x:c r="L411" s="24" t="s">
        <x:v>623</x:v>
      </x:c>
      <x:c r="M411" s="24"/>
      <x:c r="N411" s="27" t="s">
        <x:v>623</x:v>
      </x:c>
      <x:c r="O411" s="27"/>
      <x:c r="P411" s="26"/>
      <x:c r="Q411" s="27"/>
      <x:c r="R411" s="22">
        <x:f>IF(N411="","تکمیل نشده",IF(N411="ادغام با تفصیلی دیگر",IF(O411="","کلید مقصد خالی است",IF(IFERROR(MATCH(O411*1,$A:$A,0),0)=0,"کلید مقصد در این فهرست نیست",IF(O411*1=A411,"ادغام با خودش","OK"))),"OK"))</x:f>
      </x:c>
      <x:c r="S411" s="28"/>
    </x:row>
    <x:row r="412" spans="1:19">
      <x:c r="A412" s="21">
        <x:v>3032</x:v>
      </x:c>
      <x:c r="B412" s="22" t="s">
        <x:v>139</x:v>
      </x:c>
      <x:c r="C412" s="22" t="s">
        <x:v>64</x:v>
      </x:c>
      <x:c r="D412" s="22" t="s">
        <x:v>1059</x:v>
      </x:c>
      <x:c r="E412" s="22" t="s">
        <x:v>1109</x:v>
      </x:c>
      <x:c r="F412" s="22" t="s">
        <x:v>338</x:v>
      </x:c>
      <x:c r="G412" s="22">
        <x:v>3</x:v>
      </x:c>
      <x:c r="H412" s="23">
        <x:v>32157400448</x:v>
      </x:c>
      <x:c r="I412" s="23">
        <x:v>44114155925</x:v>
      </x:c>
      <x:c r="J412" s="23">
        <x:f>H412-I412</x:f>
      </x:c>
      <x:c r="K412" s="22">
        <x:v>1</x:v>
      </x:c>
      <x:c r="L412" s="24" t="s">
        <x:v>623</x:v>
      </x:c>
      <x:c r="M412" s="24"/>
      <x:c r="N412" s="27" t="s">
        <x:v>623</x:v>
      </x:c>
      <x:c r="O412" s="27"/>
      <x:c r="P412" s="26"/>
      <x:c r="Q412" s="27"/>
      <x:c r="R412" s="22">
        <x:f>IF(N412="","تکمیل نشده",IF(N412="ادغام با تفصیلی دیگر",IF(O412="","کلید مقصد خالی است",IF(IFERROR(MATCH(O412*1,$A:$A,0),0)=0,"کلید مقصد در این فهرست نیست",IF(O412*1=A412,"ادغام با خودش","OK"))),"OK"))</x:f>
      </x:c>
      <x:c r="S412" s="28"/>
    </x:row>
    <x:row r="413" spans="1:19">
      <x:c r="A413" s="21">
        <x:v>3034</x:v>
      </x:c>
      <x:c r="B413" s="22" t="s">
        <x:v>139</x:v>
      </x:c>
      <x:c r="C413" s="22" t="s">
        <x:v>64</x:v>
      </x:c>
      <x:c r="D413" s="22" t="s">
        <x:v>1061</x:v>
      </x:c>
      <x:c r="E413" s="22" t="s">
        <x:v>1110</x:v>
      </x:c>
      <x:c r="F413" s="22" t="s">
        <x:v>338</x:v>
      </x:c>
      <x:c r="G413" s="22">
        <x:v>2</x:v>
      </x:c>
      <x:c r="H413" s="23">
        <x:v>2679837038</x:v>
      </x:c>
      <x:c r="I413" s="23">
        <x:v>2679837038</x:v>
      </x:c>
      <x:c r="J413" s="23">
        <x:f>H413-I413</x:f>
      </x:c>
      <x:c r="K413" s="22">
        <x:v>1</x:v>
      </x:c>
      <x:c r="L413" s="24" t="s">
        <x:v>623</x:v>
      </x:c>
      <x:c r="M413" s="24"/>
      <x:c r="N413" s="27" t="s">
        <x:v>623</x:v>
      </x:c>
      <x:c r="O413" s="27"/>
      <x:c r="P413" s="26"/>
      <x:c r="Q413" s="27"/>
      <x:c r="R413" s="22">
        <x:f>IF(N413="","تکمیل نشده",IF(N413="ادغام با تفصیلی دیگر",IF(O413="","کلید مقصد خالی است",IF(IFERROR(MATCH(O413*1,$A:$A,0),0)=0,"کلید مقصد در این فهرست نیست",IF(O413*1=A413,"ادغام با خودش","OK"))),"OK"))</x:f>
      </x:c>
      <x:c r="S413" s="28"/>
    </x:row>
    <x:row r="414" spans="1:19">
      <x:c r="A414" s="21">
        <x:v>3038</x:v>
      </x:c>
      <x:c r="B414" s="22" t="s">
        <x:v>139</x:v>
      </x:c>
      <x:c r="C414" s="22" t="s">
        <x:v>67</x:v>
      </x:c>
      <x:c r="D414" s="22" t="s">
        <x:v>1059</x:v>
      </x:c>
      <x:c r="E414" s="22" t="s">
        <x:v>1111</x:v>
      </x:c>
      <x:c r="F414" s="22" t="s">
        <x:v>339</x:v>
      </x:c>
      <x:c r="G414" s="22">
        <x:v>1</x:v>
      </x:c>
      <x:c r="H414" s="23">
        <x:v>0</x:v>
      </x:c>
      <x:c r="I414" s="23">
        <x:v>204145253</x:v>
      </x:c>
      <x:c r="J414" s="23">
        <x:f>H414-I414</x:f>
      </x:c>
      <x:c r="K414" s="22">
        <x:v>1</x:v>
      </x:c>
      <x:c r="L414" s="24" t="s">
        <x:v>623</x:v>
      </x:c>
      <x:c r="M414" s="24"/>
      <x:c r="N414" s="27" t="s">
        <x:v>623</x:v>
      </x:c>
      <x:c r="O414" s="27"/>
      <x:c r="P414" s="26"/>
      <x:c r="Q414" s="27"/>
      <x:c r="R414" s="22">
        <x:f>IF(N414="","تکمیل نشده",IF(N414="ادغام با تفصیلی دیگر",IF(O414="","کلید مقصد خالی است",IF(IFERROR(MATCH(O414*1,$A:$A,0),0)=0,"کلید مقصد در این فهرست نیست",IF(O414*1=A414,"ادغام با خودش","OK"))),"OK"))</x:f>
      </x:c>
      <x:c r="S414" s="28"/>
    </x:row>
    <x:row r="415" spans="1:19">
      <x:c r="A415" s="21">
        <x:v>3039</x:v>
      </x:c>
      <x:c r="B415" s="22" t="s">
        <x:v>139</x:v>
      </x:c>
      <x:c r="C415" s="22" t="s">
        <x:v>67</x:v>
      </x:c>
      <x:c r="D415" s="22" t="s">
        <x:v>1002</x:v>
      </x:c>
      <x:c r="E415" s="22" t="s">
        <x:v>1112</x:v>
      </x:c>
      <x:c r="F415" s="22" t="s">
        <x:v>339</x:v>
      </x:c>
      <x:c r="G415" s="22">
        <x:v>4</x:v>
      </x:c>
      <x:c r="H415" s="23">
        <x:v>597021442</x:v>
      </x:c>
      <x:c r="I415" s="23">
        <x:v>1359308426</x:v>
      </x:c>
      <x:c r="J415" s="23">
        <x:f>H415-I415</x:f>
      </x:c>
      <x:c r="K415" s="22">
        <x:v>1</x:v>
      </x:c>
      <x:c r="L415" s="24" t="s">
        <x:v>623</x:v>
      </x:c>
      <x:c r="M415" s="24"/>
      <x:c r="N415" s="27" t="s">
        <x:v>623</x:v>
      </x:c>
      <x:c r="O415" s="27"/>
      <x:c r="P415" s="26"/>
      <x:c r="Q415" s="27"/>
      <x:c r="R415" s="22">
        <x:f>IF(N415="","تکمیل نشده",IF(N415="ادغام با تفصیلی دیگر",IF(O415="","کلید مقصد خالی است",IF(IFERROR(MATCH(O415*1,$A:$A,0),0)=0,"کلید مقصد در این فهرست نیست",IF(O415*1=A415,"ادغام با خودش","OK"))),"OK"))</x:f>
      </x:c>
      <x:c r="S415" s="28"/>
    </x:row>
    <x:row r="416" spans="1:19">
      <x:c r="A416" s="21">
        <x:v>3041</x:v>
      </x:c>
      <x:c r="B416" s="22" t="s">
        <x:v>139</x:v>
      </x:c>
      <x:c r="C416" s="22" t="s">
        <x:v>67</x:v>
      </x:c>
      <x:c r="D416" s="22" t="s">
        <x:v>1004</x:v>
      </x:c>
      <x:c r="E416" s="22" t="s">
        <x:v>1113</x:v>
      </x:c>
      <x:c r="F416" s="22" t="s">
        <x:v>339</x:v>
      </x:c>
      <x:c r="G416" s="22">
        <x:v>2</x:v>
      </x:c>
      <x:c r="H416" s="23">
        <x:v>381970657</x:v>
      </x:c>
      <x:c r="I416" s="23">
        <x:v>381970657</x:v>
      </x:c>
      <x:c r="J416" s="23">
        <x:f>H416-I416</x:f>
      </x:c>
      <x:c r="K416" s="22">
        <x:v>1</x:v>
      </x:c>
      <x:c r="L416" s="24" t="s">
        <x:v>623</x:v>
      </x:c>
      <x:c r="M416" s="24"/>
      <x:c r="N416" s="27" t="s">
        <x:v>623</x:v>
      </x:c>
      <x:c r="O416" s="27"/>
      <x:c r="P416" s="26"/>
      <x:c r="Q416" s="27"/>
      <x:c r="R416" s="22">
        <x:f>IF(N416="","تکمیل نشده",IF(N416="ادغام با تفصیلی دیگر",IF(O416="","کلید مقصد خالی است",IF(IFERROR(MATCH(O416*1,$A:$A,0),0)=0,"کلید مقصد در این فهرست نیست",IF(O416*1=A416,"ادغام با خودش","OK"))),"OK"))</x:f>
      </x:c>
      <x:c r="S416" s="28"/>
    </x:row>
    <x:row r="417" spans="1:19">
      <x:c r="A417" s="21">
        <x:v>3059</x:v>
      </x:c>
      <x:c r="B417" s="22" t="s">
        <x:v>139</x:v>
      </x:c>
      <x:c r="C417" s="22" t="s">
        <x:v>71</x:v>
      </x:c>
      <x:c r="D417" s="22" t="s">
        <x:v>1059</x:v>
      </x:c>
      <x:c r="E417" s="22" t="s">
        <x:v>1114</x:v>
      </x:c>
      <x:c r="F417" s="22" t="s">
        <x:v>340</x:v>
      </x:c>
      <x:c r="G417" s="22">
        <x:v>13</x:v>
      </x:c>
      <x:c r="H417" s="23">
        <x:v>18577841636</x:v>
      </x:c>
      <x:c r="I417" s="23">
        <x:v>8577841636</x:v>
      </x:c>
      <x:c r="J417" s="23">
        <x:f>H417-I417</x:f>
      </x:c>
      <x:c r="K417" s="22">
        <x:v>1</x:v>
      </x:c>
      <x:c r="L417" s="24" t="s">
        <x:v>623</x:v>
      </x:c>
      <x:c r="M417" s="24"/>
      <x:c r="N417" s="27" t="s">
        <x:v>623</x:v>
      </x:c>
      <x:c r="O417" s="27"/>
      <x:c r="P417" s="26"/>
      <x:c r="Q417" s="27"/>
      <x:c r="R417" s="22">
        <x:f>IF(N417="","تکمیل نشده",IF(N417="ادغام با تفصیلی دیگر",IF(O417="","کلید مقصد خالی است",IF(IFERROR(MATCH(O417*1,$A:$A,0),0)=0,"کلید مقصد در این فهرست نیست",IF(O417*1=A417,"ادغام با خودش","OK"))),"OK"))</x:f>
      </x:c>
      <x:c r="S417" s="28"/>
    </x:row>
    <x:row r="418" spans="1:19">
      <x:c r="A418" s="21">
        <x:v>3060</x:v>
      </x:c>
      <x:c r="B418" s="22" t="s">
        <x:v>139</x:v>
      </x:c>
      <x:c r="C418" s="22" t="s">
        <x:v>71</x:v>
      </x:c>
      <x:c r="D418" s="22" t="s">
        <x:v>1061</x:v>
      </x:c>
      <x:c r="E418" s="22" t="s">
        <x:v>1115</x:v>
      </x:c>
      <x:c r="F418" s="22" t="s">
        <x:v>340</x:v>
      </x:c>
      <x:c r="G418" s="22">
        <x:v>5</x:v>
      </x:c>
      <x:c r="H418" s="23">
        <x:v>252397859</x:v>
      </x:c>
      <x:c r="I418" s="23">
        <x:v>252397849</x:v>
      </x:c>
      <x:c r="J418" s="23">
        <x:f>H418-I418</x:f>
      </x:c>
      <x:c r="K418" s="22">
        <x:v>1</x:v>
      </x:c>
      <x:c r="L418" s="24" t="s">
        <x:v>623</x:v>
      </x:c>
      <x:c r="M418" s="24"/>
      <x:c r="N418" s="27" t="s">
        <x:v>623</x:v>
      </x:c>
      <x:c r="O418" s="27"/>
      <x:c r="P418" s="26"/>
      <x:c r="Q418" s="27"/>
      <x:c r="R418" s="22">
        <x:f>IF(N418="","تکمیل نشده",IF(N418="ادغام با تفصیلی دیگر",IF(O418="","کلید مقصد خالی است",IF(IFERROR(MATCH(O418*1,$A:$A,0),0)=0,"کلید مقصد در این فهرست نیست",IF(O418*1=A418,"ادغام با خودش","OK"))),"OK"))</x:f>
      </x:c>
      <x:c r="S418" s="28"/>
    </x:row>
    <x:row r="419" spans="1:19">
      <x:c r="A419" s="21">
        <x:v>3062</x:v>
      </x:c>
      <x:c r="B419" s="22" t="s">
        <x:v>139</x:v>
      </x:c>
      <x:c r="C419" s="22" t="s">
        <x:v>71</x:v>
      </x:c>
      <x:c r="D419" s="22" t="s">
        <x:v>1092</x:v>
      </x:c>
      <x:c r="E419" s="22" t="s">
        <x:v>1116</x:v>
      </x:c>
      <x:c r="F419" s="22" t="s">
        <x:v>340</x:v>
      </x:c>
      <x:c r="G419" s="22">
        <x:v>11</x:v>
      </x:c>
      <x:c r="H419" s="23">
        <x:v>429228835</x:v>
      </x:c>
      <x:c r="I419" s="23">
        <x:v>429228835</x:v>
      </x:c>
      <x:c r="J419" s="23">
        <x:f>H419-I419</x:f>
      </x:c>
      <x:c r="K419" s="22">
        <x:v>1</x:v>
      </x:c>
      <x:c r="L419" s="24" t="s">
        <x:v>623</x:v>
      </x:c>
      <x:c r="M419" s="24"/>
      <x:c r="N419" s="27" t="s">
        <x:v>623</x:v>
      </x:c>
      <x:c r="O419" s="27"/>
      <x:c r="P419" s="26"/>
      <x:c r="Q419" s="27"/>
      <x:c r="R419" s="22">
        <x:f>IF(N419="","تکمیل نشده",IF(N419="ادغام با تفصیلی دیگر",IF(O419="","کلید مقصد خالی است",IF(IFERROR(MATCH(O419*1,$A:$A,0),0)=0,"کلید مقصد در این فهرست نیست",IF(O419*1=A419,"ادغام با خودش","OK"))),"OK"))</x:f>
      </x:c>
      <x:c r="S419" s="28"/>
    </x:row>
    <x:row r="420" spans="1:19">
      <x:c r="A420" s="21">
        <x:v>3077</x:v>
      </x:c>
      <x:c r="B420" s="22" t="s">
        <x:v>139</x:v>
      </x:c>
      <x:c r="C420" s="22" t="s">
        <x:v>209</x:v>
      </x:c>
      <x:c r="D420" s="22" t="s">
        <x:v>729</x:v>
      </x:c>
      <x:c r="E420" s="22" t="s">
        <x:v>1117</x:v>
      </x:c>
      <x:c r="F420" s="22" t="s">
        <x:v>341</x:v>
      </x:c>
      <x:c r="G420" s="22">
        <x:v>2</x:v>
      </x:c>
      <x:c r="H420" s="23">
        <x:v>12607439</x:v>
      </x:c>
      <x:c r="I420" s="23">
        <x:v>12607439</x:v>
      </x:c>
      <x:c r="J420" s="23">
        <x:f>H420-I420</x:f>
      </x:c>
      <x:c r="K420" s="22">
        <x:v>1</x:v>
      </x:c>
      <x:c r="L420" s="24" t="s">
        <x:v>623</x:v>
      </x:c>
      <x:c r="M420" s="24"/>
      <x:c r="N420" s="27" t="s">
        <x:v>623</x:v>
      </x:c>
      <x:c r="O420" s="27"/>
      <x:c r="P420" s="26"/>
      <x:c r="Q420" s="27"/>
      <x:c r="R420" s="22">
        <x:f>IF(N420="","تکمیل نشده",IF(N420="ادغام با تفصیلی دیگر",IF(O420="","کلید مقصد خالی است",IF(IFERROR(MATCH(O420*1,$A:$A,0),0)=0,"کلید مقصد در این فهرست نیست",IF(O420*1=A420,"ادغام با خودش","OK"))),"OK"))</x:f>
      </x:c>
      <x:c r="S420" s="28"/>
    </x:row>
    <x:row r="421" spans="1:19">
      <x:c r="A421" s="21">
        <x:v>3080</x:v>
      </x:c>
      <x:c r="B421" s="22" t="s">
        <x:v>139</x:v>
      </x:c>
      <x:c r="C421" s="22" t="s">
        <x:v>209</x:v>
      </x:c>
      <x:c r="D421" s="22" t="s">
        <x:v>850</x:v>
      </x:c>
      <x:c r="E421" s="22" t="s">
        <x:v>1118</x:v>
      </x:c>
      <x:c r="F421" s="22" t="s">
        <x:v>341</x:v>
      </x:c>
      <x:c r="G421" s="22">
        <x:v>2</x:v>
      </x:c>
      <x:c r="H421" s="23">
        <x:v>478000000</x:v>
      </x:c>
      <x:c r="I421" s="23">
        <x:v>478000000</x:v>
      </x:c>
      <x:c r="J421" s="23">
        <x:f>H421-I421</x:f>
      </x:c>
      <x:c r="K421" s="22">
        <x:v>1</x:v>
      </x:c>
      <x:c r="L421" s="24" t="s">
        <x:v>623</x:v>
      </x:c>
      <x:c r="M421" s="24"/>
      <x:c r="N421" s="27" t="s">
        <x:v>623</x:v>
      </x:c>
      <x:c r="O421" s="27"/>
      <x:c r="P421" s="26"/>
      <x:c r="Q421" s="27"/>
      <x:c r="R421" s="22">
        <x:f>IF(N421="","تکمیل نشده",IF(N421="ادغام با تفصیلی دیگر",IF(O421="","کلید مقصد خالی است",IF(IFERROR(MATCH(O421*1,$A:$A,0),0)=0,"کلید مقصد در این فهرست نیست",IF(O421*1=A421,"ادغام با خودش","OK"))),"OK"))</x:f>
      </x:c>
      <x:c r="S421" s="28"/>
    </x:row>
    <x:row r="422" spans="1:19">
      <x:c r="A422" s="21">
        <x:v>3651</x:v>
      </x:c>
      <x:c r="B422" s="22" t="s">
        <x:v>139</x:v>
      </x:c>
      <x:c r="C422" s="22" t="s">
        <x:v>209</x:v>
      </x:c>
      <x:c r="D422" s="22" t="s">
        <x:v>1070</x:v>
      </x:c>
      <x:c r="E422" s="22" t="s">
        <x:v>1119</x:v>
      </x:c>
      <x:c r="F422" s="22" t="s">
        <x:v>341</x:v>
      </x:c>
      <x:c r="G422" s="22">
        <x:v>4</x:v>
      </x:c>
      <x:c r="H422" s="23">
        <x:v>52492862</x:v>
      </x:c>
      <x:c r="I422" s="23">
        <x:v>52492862</x:v>
      </x:c>
      <x:c r="J422" s="23">
        <x:f>H422-I422</x:f>
      </x:c>
      <x:c r="K422" s="22">
        <x:v>1</x:v>
      </x:c>
      <x:c r="L422" s="24" t="s">
        <x:v>623</x:v>
      </x:c>
      <x:c r="M422" s="24"/>
      <x:c r="N422" s="27" t="s">
        <x:v>623</x:v>
      </x:c>
      <x:c r="O422" s="27"/>
      <x:c r="P422" s="26"/>
      <x:c r="Q422" s="27"/>
      <x:c r="R422" s="22">
        <x:f>IF(N422="","تکمیل نشده",IF(N422="ادغام با تفصیلی دیگر",IF(O422="","کلید مقصد خالی است",IF(IFERROR(MATCH(O422*1,$A:$A,0),0)=0,"کلید مقصد در این فهرست نیست",IF(O422*1=A422,"ادغام با خودش","OK"))),"OK"))</x:f>
      </x:c>
      <x:c r="S422" s="28"/>
    </x:row>
    <x:row r="423" spans="1:19">
      <x:c r="A423" s="21">
        <x:v>3085</x:v>
      </x:c>
      <x:c r="B423" s="22" t="s">
        <x:v>139</x:v>
      </x:c>
      <x:c r="C423" s="22" t="s">
        <x:v>209</x:v>
      </x:c>
      <x:c r="D423" s="22" t="s">
        <x:v>996</x:v>
      </x:c>
      <x:c r="E423" s="22" t="s">
        <x:v>1120</x:v>
      </x:c>
      <x:c r="F423" s="22" t="s">
        <x:v>341</x:v>
      </x:c>
      <x:c r="G423" s="22">
        <x:v>2</x:v>
      </x:c>
      <x:c r="H423" s="23">
        <x:v>5730654</x:v>
      </x:c>
      <x:c r="I423" s="23">
        <x:v>5730654</x:v>
      </x:c>
      <x:c r="J423" s="23">
        <x:f>H423-I423</x:f>
      </x:c>
      <x:c r="K423" s="22">
        <x:v>1</x:v>
      </x:c>
      <x:c r="L423" s="24" t="s">
        <x:v>623</x:v>
      </x:c>
      <x:c r="M423" s="24"/>
      <x:c r="N423" s="27" t="s">
        <x:v>623</x:v>
      </x:c>
      <x:c r="O423" s="27"/>
      <x:c r="P423" s="26"/>
      <x:c r="Q423" s="27"/>
      <x:c r="R423" s="22">
        <x:f>IF(N423="","تکمیل نشده",IF(N423="ادغام با تفصیلی دیگر",IF(O423="","کلید مقصد خالی است",IF(IFERROR(MATCH(O423*1,$A:$A,0),0)=0,"کلید مقصد در این فهرست نیست",IF(O423*1=A423,"ادغام با خودش","OK"))),"OK"))</x:f>
      </x:c>
      <x:c r="S423" s="28"/>
    </x:row>
    <x:row r="424" spans="1:19">
      <x:c r="A424" s="21">
        <x:v>3086</x:v>
      </x:c>
      <x:c r="B424" s="22" t="s">
        <x:v>139</x:v>
      </x:c>
      <x:c r="C424" s="22" t="s">
        <x:v>209</x:v>
      </x:c>
      <x:c r="D424" s="22" t="s">
        <x:v>638</x:v>
      </x:c>
      <x:c r="E424" s="22" t="s">
        <x:v>1121</x:v>
      </x:c>
      <x:c r="F424" s="22" t="s">
        <x:v>341</x:v>
      </x:c>
      <x:c r="G424" s="22">
        <x:v>3</x:v>
      </x:c>
      <x:c r="H424" s="23">
        <x:v>80000000</x:v>
      </x:c>
      <x:c r="I424" s="23">
        <x:v>80000000</x:v>
      </x:c>
      <x:c r="J424" s="23">
        <x:f>H424-I424</x:f>
      </x:c>
      <x:c r="K424" s="22">
        <x:v>1</x:v>
      </x:c>
      <x:c r="L424" s="24" t="s">
        <x:v>623</x:v>
      </x:c>
      <x:c r="M424" s="24"/>
      <x:c r="N424" s="27" t="s">
        <x:v>623</x:v>
      </x:c>
      <x:c r="O424" s="27"/>
      <x:c r="P424" s="26"/>
      <x:c r="Q424" s="27"/>
      <x:c r="R424" s="22">
        <x:f>IF(N424="","تکمیل نشده",IF(N424="ادغام با تفصیلی دیگر",IF(O424="","کلید مقصد خالی است",IF(IFERROR(MATCH(O424*1,$A:$A,0),0)=0,"کلید مقصد در این فهرست نیست",IF(O424*1=A424,"ادغام با خودش","OK"))),"OK"))</x:f>
      </x:c>
      <x:c r="S424" s="28"/>
    </x:row>
    <x:row r="425" spans="1:19">
      <x:c r="A425" s="21">
        <x:v>3087</x:v>
      </x:c>
      <x:c r="B425" s="22" t="s">
        <x:v>139</x:v>
      </x:c>
      <x:c r="C425" s="22" t="s">
        <x:v>209</x:v>
      </x:c>
      <x:c r="D425" s="22" t="s">
        <x:v>1018</x:v>
      </x:c>
      <x:c r="E425" s="22" t="s">
        <x:v>1122</x:v>
      </x:c>
      <x:c r="F425" s="22" t="s">
        <x:v>341</x:v>
      </x:c>
      <x:c r="G425" s="22">
        <x:v>2</x:v>
      </x:c>
      <x:c r="H425" s="23">
        <x:v>75644624</x:v>
      </x:c>
      <x:c r="I425" s="23">
        <x:v>75644624</x:v>
      </x:c>
      <x:c r="J425" s="23">
        <x:f>H425-I425</x:f>
      </x:c>
      <x:c r="K425" s="22">
        <x:v>1</x:v>
      </x:c>
      <x:c r="L425" s="24" t="s">
        <x:v>623</x:v>
      </x:c>
      <x:c r="M425" s="24"/>
      <x:c r="N425" s="27" t="s">
        <x:v>623</x:v>
      </x:c>
      <x:c r="O425" s="27"/>
      <x:c r="P425" s="26"/>
      <x:c r="Q425" s="27"/>
      <x:c r="R425" s="22">
        <x:f>IF(N425="","تکمیل نشده",IF(N425="ادغام با تفصیلی دیگر",IF(O425="","کلید مقصد خالی است",IF(IFERROR(MATCH(O425*1,$A:$A,0),0)=0,"کلید مقصد در این فهرست نیست",IF(O425*1=A425,"ادغام با خودش","OK"))),"OK"))</x:f>
      </x:c>
      <x:c r="S425" s="28"/>
    </x:row>
    <x:row r="426" spans="1:19">
      <x:c r="A426" s="21">
        <x:v>3088</x:v>
      </x:c>
      <x:c r="B426" s="22" t="s">
        <x:v>139</x:v>
      </x:c>
      <x:c r="C426" s="22" t="s">
        <x:v>209</x:v>
      </x:c>
      <x:c r="D426" s="22" t="s">
        <x:v>1020</x:v>
      </x:c>
      <x:c r="E426" s="22" t="s">
        <x:v>1123</x:v>
      </x:c>
      <x:c r="F426" s="22" t="s">
        <x:v>341</x:v>
      </x:c>
      <x:c r="G426" s="22">
        <x:v>2</x:v>
      </x:c>
      <x:c r="H426" s="23">
        <x:v>30945528</x:v>
      </x:c>
      <x:c r="I426" s="23">
        <x:v>30945528</x:v>
      </x:c>
      <x:c r="J426" s="23">
        <x:f>H426-I426</x:f>
      </x:c>
      <x:c r="K426" s="22">
        <x:v>1</x:v>
      </x:c>
      <x:c r="L426" s="24" t="s">
        <x:v>623</x:v>
      </x:c>
      <x:c r="M426" s="24"/>
      <x:c r="N426" s="27" t="s">
        <x:v>623</x:v>
      </x:c>
      <x:c r="O426" s="27"/>
      <x:c r="P426" s="26"/>
      <x:c r="Q426" s="27"/>
      <x:c r="R426" s="22">
        <x:f>IF(N426="","تکمیل نشده",IF(N426="ادغام با تفصیلی دیگر",IF(O426="","کلید مقصد خالی است",IF(IFERROR(MATCH(O426*1,$A:$A,0),0)=0,"کلید مقصد در این فهرست نیست",IF(O426*1=A426,"ادغام با خودش","OK"))),"OK"))</x:f>
      </x:c>
      <x:c r="S426" s="28"/>
    </x:row>
    <x:row r="427" spans="1:19">
      <x:c r="A427" s="21">
        <x:v>3091</x:v>
      </x:c>
      <x:c r="B427" s="22" t="s">
        <x:v>139</x:v>
      </x:c>
      <x:c r="C427" s="22" t="s">
        <x:v>209</x:v>
      </x:c>
      <x:c r="D427" s="22" t="s">
        <x:v>1053</x:v>
      </x:c>
      <x:c r="E427" s="22" t="s">
        <x:v>1124</x:v>
      </x:c>
      <x:c r="F427" s="22" t="s">
        <x:v>341</x:v>
      </x:c>
      <x:c r="G427" s="22">
        <x:v>2</x:v>
      </x:c>
      <x:c r="H427" s="23">
        <x:v>12607439</x:v>
      </x:c>
      <x:c r="I427" s="23">
        <x:v>12607439</x:v>
      </x:c>
      <x:c r="J427" s="23">
        <x:f>H427-I427</x:f>
      </x:c>
      <x:c r="K427" s="22">
        <x:v>1</x:v>
      </x:c>
      <x:c r="L427" s="24" t="s">
        <x:v>623</x:v>
      </x:c>
      <x:c r="M427" s="24"/>
      <x:c r="N427" s="27" t="s">
        <x:v>623</x:v>
      </x:c>
      <x:c r="O427" s="27"/>
      <x:c r="P427" s="26"/>
      <x:c r="Q427" s="27"/>
      <x:c r="R427" s="22">
        <x:f>IF(N427="","تکمیل نشده",IF(N427="ادغام با تفصیلی دیگر",IF(O427="","کلید مقصد خالی است",IF(IFERROR(MATCH(O427*1,$A:$A,0),0)=0,"کلید مقصد در این فهرست نیست",IF(O427*1=A427,"ادغام با خودش","OK"))),"OK"))</x:f>
      </x:c>
      <x:c r="S427" s="28"/>
    </x:row>
    <x:row r="428" spans="1:19">
      <x:c r="A428" s="21">
        <x:v>3094</x:v>
      </x:c>
      <x:c r="B428" s="22" t="s">
        <x:v>139</x:v>
      </x:c>
      <x:c r="C428" s="22" t="s">
        <x:v>209</x:v>
      </x:c>
      <x:c r="D428" s="22" t="s">
        <x:v>1125</x:v>
      </x:c>
      <x:c r="E428" s="22" t="s">
        <x:v>1126</x:v>
      </x:c>
      <x:c r="F428" s="22" t="s">
        <x:v>341</x:v>
      </x:c>
      <x:c r="G428" s="22">
        <x:v>2</x:v>
      </x:c>
      <x:c r="H428" s="23">
        <x:v>478000000</x:v>
      </x:c>
      <x:c r="I428" s="23">
        <x:v>478000000</x:v>
      </x:c>
      <x:c r="J428" s="23">
        <x:f>H428-I428</x:f>
      </x:c>
      <x:c r="K428" s="22">
        <x:v>1</x:v>
      </x:c>
      <x:c r="L428" s="24" t="s">
        <x:v>623</x:v>
      </x:c>
      <x:c r="M428" s="24"/>
      <x:c r="N428" s="27" t="s">
        <x:v>623</x:v>
      </x:c>
      <x:c r="O428" s="27"/>
      <x:c r="P428" s="26"/>
      <x:c r="Q428" s="27"/>
      <x:c r="R428" s="22">
        <x:f>IF(N428="","تکمیل نشده",IF(N428="ادغام با تفصیلی دیگر",IF(O428="","کلید مقصد خالی است",IF(IFERROR(MATCH(O428*1,$A:$A,0),0)=0,"کلید مقصد در این فهرست نیست",IF(O428*1=A428,"ادغام با خودش","OK"))),"OK"))</x:f>
      </x:c>
      <x:c r="S428" s="28"/>
    </x:row>
    <x:row r="429" spans="1:19">
      <x:c r="A429" s="21">
        <x:v>3095</x:v>
      </x:c>
      <x:c r="B429" s="22" t="s">
        <x:v>139</x:v>
      </x:c>
      <x:c r="C429" s="22" t="s">
        <x:v>209</x:v>
      </x:c>
      <x:c r="D429" s="22" t="s">
        <x:v>1127</x:v>
      </x:c>
      <x:c r="E429" s="22" t="s">
        <x:v>1128</x:v>
      </x:c>
      <x:c r="F429" s="22" t="s">
        <x:v>341</x:v>
      </x:c>
      <x:c r="G429" s="22">
        <x:v>2</x:v>
      </x:c>
      <x:c r="H429" s="23">
        <x:v>206303550</x:v>
      </x:c>
      <x:c r="I429" s="23">
        <x:v>206303550</x:v>
      </x:c>
      <x:c r="J429" s="23">
        <x:f>H429-I429</x:f>
      </x:c>
      <x:c r="K429" s="22">
        <x:v>1</x:v>
      </x:c>
      <x:c r="L429" s="24" t="s">
        <x:v>623</x:v>
      </x:c>
      <x:c r="M429" s="24"/>
      <x:c r="N429" s="27" t="s">
        <x:v>623</x:v>
      </x:c>
      <x:c r="O429" s="27"/>
      <x:c r="P429" s="26"/>
      <x:c r="Q429" s="27"/>
      <x:c r="R429" s="22">
        <x:f>IF(N429="","تکمیل نشده",IF(N429="ادغام با تفصیلی دیگر",IF(O429="","کلید مقصد خالی است",IF(IFERROR(MATCH(O429*1,$A:$A,0),0)=0,"کلید مقصد در این فهرست نیست",IF(O429*1=A429,"ادغام با خودش","OK"))),"OK"))</x:f>
      </x:c>
      <x:c r="S429" s="28"/>
    </x:row>
    <x:row r="430" spans="1:19">
      <x:c r="A430" s="21">
        <x:v>3096</x:v>
      </x:c>
      <x:c r="B430" s="22" t="s">
        <x:v>139</x:v>
      </x:c>
      <x:c r="C430" s="22" t="s">
        <x:v>209</x:v>
      </x:c>
      <x:c r="D430" s="22" t="s">
        <x:v>1028</x:v>
      </x:c>
      <x:c r="E430" s="22" t="s">
        <x:v>1129</x:v>
      </x:c>
      <x:c r="F430" s="22" t="s">
        <x:v>341</x:v>
      </x:c>
      <x:c r="G430" s="22">
        <x:v>16</x:v>
      </x:c>
      <x:c r="H430" s="23">
        <x:v>65737474</x:v>
      </x:c>
      <x:c r="I430" s="23">
        <x:v>87569262</x:v>
      </x:c>
      <x:c r="J430" s="23">
        <x:f>H430-I430</x:f>
      </x:c>
      <x:c r="K430" s="22">
        <x:v>1</x:v>
      </x:c>
      <x:c r="L430" s="24" t="s">
        <x:v>623</x:v>
      </x:c>
      <x:c r="M430" s="24"/>
      <x:c r="N430" s="27" t="s">
        <x:v>623</x:v>
      </x:c>
      <x:c r="O430" s="27"/>
      <x:c r="P430" s="26"/>
      <x:c r="Q430" s="27"/>
      <x:c r="R430" s="22">
        <x:f>IF(N430="","تکمیل نشده",IF(N430="ادغام با تفصیلی دیگر",IF(O430="","کلید مقصد خالی است",IF(IFERROR(MATCH(O430*1,$A:$A,0),0)=0,"کلید مقصد در این فهرست نیست",IF(O430*1=A430,"ادغام با خودش","OK"))),"OK"))</x:f>
      </x:c>
      <x:c r="S430" s="28"/>
    </x:row>
    <x:row r="431" spans="1:19">
      <x:c r="A431" s="21">
        <x:v>3099</x:v>
      </x:c>
      <x:c r="B431" s="22" t="s">
        <x:v>139</x:v>
      </x:c>
      <x:c r="C431" s="22" t="s">
        <x:v>209</x:v>
      </x:c>
      <x:c r="D431" s="22" t="s">
        <x:v>1130</x:v>
      </x:c>
      <x:c r="E431" s="22" t="s">
        <x:v>1131</x:v>
      </x:c>
      <x:c r="F431" s="22" t="s">
        <x:v>341</x:v>
      </x:c>
      <x:c r="G431" s="22">
        <x:v>2</x:v>
      </x:c>
      <x:c r="H431" s="23">
        <x:v>7470000</x:v>
      </x:c>
      <x:c r="I431" s="23">
        <x:v>32106000</x:v>
      </x:c>
      <x:c r="J431" s="23">
        <x:f>H431-I431</x:f>
      </x:c>
      <x:c r="K431" s="22">
        <x:v>1</x:v>
      </x:c>
      <x:c r="L431" s="24" t="s">
        <x:v>623</x:v>
      </x:c>
      <x:c r="M431" s="24"/>
      <x:c r="N431" s="27" t="s">
        <x:v>623</x:v>
      </x:c>
      <x:c r="O431" s="27"/>
      <x:c r="P431" s="26"/>
      <x:c r="Q431" s="27"/>
      <x:c r="R431" s="22">
        <x:f>IF(N431="","تکمیل نشده",IF(N431="ادغام با تفصیلی دیگر",IF(O431="","کلید مقصد خالی است",IF(IFERROR(MATCH(O431*1,$A:$A,0),0)=0,"کلید مقصد در این فهرست نیست",IF(O431*1=A431,"ادغام با خودش","OK"))),"OK"))</x:f>
      </x:c>
      <x:c r="S431" s="28"/>
    </x:row>
    <x:row r="432" spans="1:19">
      <x:c r="A432" s="21">
        <x:v>3100</x:v>
      </x:c>
      <x:c r="B432" s="22" t="s">
        <x:v>139</x:v>
      </x:c>
      <x:c r="C432" s="22" t="s">
        <x:v>209</x:v>
      </x:c>
      <x:c r="D432" s="22" t="s">
        <x:v>1132</x:v>
      </x:c>
      <x:c r="E432" s="22" t="s">
        <x:v>1133</x:v>
      </x:c>
      <x:c r="F432" s="22" t="s">
        <x:v>341</x:v>
      </x:c>
      <x:c r="G432" s="22">
        <x:v>5</x:v>
      </x:c>
      <x:c r="H432" s="23">
        <x:v>577229172</x:v>
      </x:c>
      <x:c r="I432" s="23">
        <x:v>577229172</x:v>
      </x:c>
      <x:c r="J432" s="23">
        <x:f>H432-I432</x:f>
      </x:c>
      <x:c r="K432" s="22">
        <x:v>1</x:v>
      </x:c>
      <x:c r="L432" s="24" t="s">
        <x:v>623</x:v>
      </x:c>
      <x:c r="M432" s="24"/>
      <x:c r="N432" s="27" t="s">
        <x:v>623</x:v>
      </x:c>
      <x:c r="O432" s="27"/>
      <x:c r="P432" s="26"/>
      <x:c r="Q432" s="27"/>
      <x:c r="R432" s="22">
        <x:f>IF(N432="","تکمیل نشده",IF(N432="ادغام با تفصیلی دیگر",IF(O432="","کلید مقصد خالی است",IF(IFERROR(MATCH(O432*1,$A:$A,0),0)=0,"کلید مقصد در این فهرست نیست",IF(O432*1=A432,"ادغام با خودش","OK"))),"OK"))</x:f>
      </x:c>
      <x:c r="S432" s="28"/>
    </x:row>
    <x:row r="433" spans="1:19">
      <x:c r="A433" s="21">
        <x:v>3101</x:v>
      </x:c>
      <x:c r="B433" s="22" t="s">
        <x:v>139</x:v>
      </x:c>
      <x:c r="C433" s="22" t="s">
        <x:v>209</x:v>
      </x:c>
      <x:c r="D433" s="22" t="s">
        <x:v>1134</x:v>
      </x:c>
      <x:c r="E433" s="22" t="s">
        <x:v>1135</x:v>
      </x:c>
      <x:c r="F433" s="22" t="s">
        <x:v>341</x:v>
      </x:c>
      <x:c r="G433" s="22">
        <x:v>3</x:v>
      </x:c>
      <x:c r="H433" s="23">
        <x:v>19942671</x:v>
      </x:c>
      <x:c r="I433" s="23">
        <x:v>19942671</x:v>
      </x:c>
      <x:c r="J433" s="23">
        <x:f>H433-I433</x:f>
      </x:c>
      <x:c r="K433" s="22">
        <x:v>1</x:v>
      </x:c>
      <x:c r="L433" s="24" t="s">
        <x:v>623</x:v>
      </x:c>
      <x:c r="M433" s="24"/>
      <x:c r="N433" s="27" t="s">
        <x:v>623</x:v>
      </x:c>
      <x:c r="O433" s="27"/>
      <x:c r="P433" s="26"/>
      <x:c r="Q433" s="27"/>
      <x:c r="R433" s="22">
        <x:f>IF(N433="","تکمیل نشده",IF(N433="ادغام با تفصیلی دیگر",IF(O433="","کلید مقصد خالی است",IF(IFERROR(MATCH(O433*1,$A:$A,0),0)=0,"کلید مقصد در این فهرست نیست",IF(O433*1=A433,"ادغام با خودش","OK"))),"OK"))</x:f>
      </x:c>
      <x:c r="S433" s="28"/>
    </x:row>
    <x:row r="434" spans="1:19">
      <x:c r="A434" s="21">
        <x:v>3105</x:v>
      </x:c>
      <x:c r="B434" s="22" t="s">
        <x:v>139</x:v>
      </x:c>
      <x:c r="C434" s="22" t="s">
        <x:v>209</x:v>
      </x:c>
      <x:c r="D434" s="22" t="s">
        <x:v>1033</x:v>
      </x:c>
      <x:c r="E434" s="22" t="s">
        <x:v>1136</x:v>
      </x:c>
      <x:c r="F434" s="22" t="s">
        <x:v>341</x:v>
      </x:c>
      <x:c r="G434" s="22">
        <x:v>3</x:v>
      </x:c>
      <x:c r="H434" s="23">
        <x:v>183380928</x:v>
      </x:c>
      <x:c r="I434" s="23">
        <x:v>183380928</x:v>
      </x:c>
      <x:c r="J434" s="23">
        <x:f>H434-I434</x:f>
      </x:c>
      <x:c r="K434" s="22">
        <x:v>1</x:v>
      </x:c>
      <x:c r="L434" s="24" t="s">
        <x:v>623</x:v>
      </x:c>
      <x:c r="M434" s="24"/>
      <x:c r="N434" s="27" t="s">
        <x:v>623</x:v>
      </x:c>
      <x:c r="O434" s="27"/>
      <x:c r="P434" s="26"/>
      <x:c r="Q434" s="27"/>
      <x:c r="R434" s="22">
        <x:f>IF(N434="","تکمیل نشده",IF(N434="ادغام با تفصیلی دیگر",IF(O434="","کلید مقصد خالی است",IF(IFERROR(MATCH(O434*1,$A:$A,0),0)=0,"کلید مقصد در این فهرست نیست",IF(O434*1=A434,"ادغام با خودش","OK"))),"OK"))</x:f>
      </x:c>
      <x:c r="S434" s="28"/>
    </x:row>
    <x:row r="435" spans="1:19">
      <x:c r="A435" s="21">
        <x:v>3107</x:v>
      </x:c>
      <x:c r="B435" s="22" t="s">
        <x:v>139</x:v>
      </x:c>
      <x:c r="C435" s="22" t="s">
        <x:v>209</x:v>
      </x:c>
      <x:c r="D435" s="22" t="s">
        <x:v>1037</x:v>
      </x:c>
      <x:c r="E435" s="22" t="s">
        <x:v>1137</x:v>
      </x:c>
      <x:c r="F435" s="22" t="s">
        <x:v>341</x:v>
      </x:c>
      <x:c r="G435" s="22">
        <x:v>2</x:v>
      </x:c>
      <x:c r="H435" s="23">
        <x:v>3438392</x:v>
      </x:c>
      <x:c r="I435" s="23">
        <x:v>3438392</x:v>
      </x:c>
      <x:c r="J435" s="23">
        <x:f>H435-I435</x:f>
      </x:c>
      <x:c r="K435" s="22">
        <x:v>1</x:v>
      </x:c>
      <x:c r="L435" s="24" t="s">
        <x:v>623</x:v>
      </x:c>
      <x:c r="M435" s="24"/>
      <x:c r="N435" s="27" t="s">
        <x:v>623</x:v>
      </x:c>
      <x:c r="O435" s="27"/>
      <x:c r="P435" s="26"/>
      <x:c r="Q435" s="27"/>
      <x:c r="R435" s="22">
        <x:f>IF(N435="","تکمیل نشده",IF(N435="ادغام با تفصیلی دیگر",IF(O435="","کلید مقصد خالی است",IF(IFERROR(MATCH(O435*1,$A:$A,0),0)=0,"کلید مقصد در این فهرست نیست",IF(O435*1=A435,"ادغام با خودش","OK"))),"OK"))</x:f>
      </x:c>
      <x:c r="S435" s="28"/>
    </x:row>
    <x:row r="436" spans="1:19">
      <x:c r="A436" s="21">
        <x:v>3108</x:v>
      </x:c>
      <x:c r="B436" s="22" t="s">
        <x:v>139</x:v>
      </x:c>
      <x:c r="C436" s="22" t="s">
        <x:v>209</x:v>
      </x:c>
      <x:c r="D436" s="22" t="s">
        <x:v>1039</x:v>
      </x:c>
      <x:c r="E436" s="22" t="s">
        <x:v>1138</x:v>
      </x:c>
      <x:c r="F436" s="22" t="s">
        <x:v>341</x:v>
      </x:c>
      <x:c r="G436" s="22">
        <x:v>2</x:v>
      </x:c>
      <x:c r="H436" s="23">
        <x:v>6876784</x:v>
      </x:c>
      <x:c r="I436" s="23">
        <x:v>6876784</x:v>
      </x:c>
      <x:c r="J436" s="23">
        <x:f>H436-I436</x:f>
      </x:c>
      <x:c r="K436" s="22">
        <x:v>1</x:v>
      </x:c>
      <x:c r="L436" s="24" t="s">
        <x:v>623</x:v>
      </x:c>
      <x:c r="M436" s="24"/>
      <x:c r="N436" s="27" t="s">
        <x:v>623</x:v>
      </x:c>
      <x:c r="O436" s="27"/>
      <x:c r="P436" s="26"/>
      <x:c r="Q436" s="27"/>
      <x:c r="R436" s="22">
        <x:f>IF(N436="","تکمیل نشده",IF(N436="ادغام با تفصیلی دیگر",IF(O436="","کلید مقصد خالی است",IF(IFERROR(MATCH(O436*1,$A:$A,0),0)=0,"کلید مقصد در این فهرست نیست",IF(O436*1=A436,"ادغام با خودش","OK"))),"OK"))</x:f>
      </x:c>
      <x:c r="S436" s="28"/>
    </x:row>
    <x:row r="437" spans="1:19">
      <x:c r="A437" s="21">
        <x:v>3114</x:v>
      </x:c>
      <x:c r="B437" s="22" t="s">
        <x:v>139</x:v>
      </x:c>
      <x:c r="C437" s="22" t="s">
        <x:v>209</x:v>
      </x:c>
      <x:c r="D437" s="22" t="s">
        <x:v>1139</x:v>
      </x:c>
      <x:c r="E437" s="22" t="s">
        <x:v>1140</x:v>
      </x:c>
      <x:c r="F437" s="22" t="s">
        <x:v>341</x:v>
      </x:c>
      <x:c r="G437" s="22">
        <x:v>2</x:v>
      </x:c>
      <x:c r="H437" s="23">
        <x:v>13753570</x:v>
      </x:c>
      <x:c r="I437" s="23">
        <x:v>13753570</x:v>
      </x:c>
      <x:c r="J437" s="23">
        <x:f>H437-I437</x:f>
      </x:c>
      <x:c r="K437" s="22">
        <x:v>1</x:v>
      </x:c>
      <x:c r="L437" s="24" t="s">
        <x:v>623</x:v>
      </x:c>
      <x:c r="M437" s="24"/>
      <x:c r="N437" s="27" t="s">
        <x:v>623</x:v>
      </x:c>
      <x:c r="O437" s="27"/>
      <x:c r="P437" s="26"/>
      <x:c r="Q437" s="27"/>
      <x:c r="R437" s="22">
        <x:f>IF(N437="","تکمیل نشده",IF(N437="ادغام با تفصیلی دیگر",IF(O437="","کلید مقصد خالی است",IF(IFERROR(MATCH(O437*1,$A:$A,0),0)=0,"کلید مقصد در این فهرست نیست",IF(O437*1=A437,"ادغام با خودش","OK"))),"OK"))</x:f>
      </x:c>
      <x:c r="S437" s="28"/>
    </x:row>
    <x:row r="438" spans="1:19">
      <x:c r="A438" s="21">
        <x:v>3115</x:v>
      </x:c>
      <x:c r="B438" s="22" t="s">
        <x:v>139</x:v>
      </x:c>
      <x:c r="C438" s="22" t="s">
        <x:v>209</x:v>
      </x:c>
      <x:c r="D438" s="22" t="s">
        <x:v>1141</x:v>
      </x:c>
      <x:c r="E438" s="22" t="s">
        <x:v>1142</x:v>
      </x:c>
      <x:c r="F438" s="22" t="s">
        <x:v>341</x:v>
      </x:c>
      <x:c r="G438" s="22">
        <x:v>4</x:v>
      </x:c>
      <x:c r="H438" s="23">
        <x:v>1915184</x:v>
      </x:c>
      <x:c r="I438" s="23">
        <x:v>4596440</x:v>
      </x:c>
      <x:c r="J438" s="23">
        <x:f>H438-I438</x:f>
      </x:c>
      <x:c r="K438" s="22">
        <x:v>1</x:v>
      </x:c>
      <x:c r="L438" s="24" t="s">
        <x:v>623</x:v>
      </x:c>
      <x:c r="M438" s="24"/>
      <x:c r="N438" s="27" t="s">
        <x:v>623</x:v>
      </x:c>
      <x:c r="O438" s="27"/>
      <x:c r="P438" s="26"/>
      <x:c r="Q438" s="27"/>
      <x:c r="R438" s="22">
        <x:f>IF(N438="","تکمیل نشده",IF(N438="ادغام با تفصیلی دیگر",IF(O438="","کلید مقصد خالی است",IF(IFERROR(MATCH(O438*1,$A:$A,0),0)=0,"کلید مقصد در این فهرست نیست",IF(O438*1=A438,"ادغام با خودش","OK"))),"OK"))</x:f>
      </x:c>
      <x:c r="S438" s="28"/>
    </x:row>
    <x:row r="439" spans="1:19">
      <x:c r="A439" s="21">
        <x:v>3119</x:v>
      </x:c>
      <x:c r="B439" s="22" t="s">
        <x:v>139</x:v>
      </x:c>
      <x:c r="C439" s="22" t="s">
        <x:v>209</x:v>
      </x:c>
      <x:c r="D439" s="22" t="s">
        <x:v>1143</x:v>
      </x:c>
      <x:c r="E439" s="22" t="s">
        <x:v>1144</x:v>
      </x:c>
      <x:c r="F439" s="22" t="s">
        <x:v>341</x:v>
      </x:c>
      <x:c r="G439" s="22">
        <x:v>4</x:v>
      </x:c>
      <x:c r="H439" s="23">
        <x:v>78008580</x:v>
      </x:c>
      <x:c r="I439" s="23">
        <x:v>78008580</x:v>
      </x:c>
      <x:c r="J439" s="23">
        <x:f>H439-I439</x:f>
      </x:c>
      <x:c r="K439" s="22">
        <x:v>1</x:v>
      </x:c>
      <x:c r="L439" s="24" t="s">
        <x:v>623</x:v>
      </x:c>
      <x:c r="M439" s="24"/>
      <x:c r="N439" s="27" t="s">
        <x:v>623</x:v>
      </x:c>
      <x:c r="O439" s="27"/>
      <x:c r="P439" s="26"/>
      <x:c r="Q439" s="27"/>
      <x:c r="R439" s="22">
        <x:f>IF(N439="","تکمیل نشده",IF(N439="ادغام با تفصیلی دیگر",IF(O439="","کلید مقصد خالی است",IF(IFERROR(MATCH(O439*1,$A:$A,0),0)=0,"کلید مقصد در این فهرست نیست",IF(O439*1=A439,"ادغام با خودش","OK"))),"OK"))</x:f>
      </x:c>
      <x:c r="S439" s="28"/>
    </x:row>
    <x:row r="440" spans="1:19">
      <x:c r="A440" s="21">
        <x:v>3120</x:v>
      </x:c>
      <x:c r="B440" s="22" t="s">
        <x:v>139</x:v>
      </x:c>
      <x:c r="C440" s="22" t="s">
        <x:v>209</x:v>
      </x:c>
      <x:c r="D440" s="22" t="s">
        <x:v>1145</x:v>
      </x:c>
      <x:c r="E440" s="22" t="s">
        <x:v>1146</x:v>
      </x:c>
      <x:c r="F440" s="22" t="s">
        <x:v>341</x:v>
      </x:c>
      <x:c r="G440" s="22">
        <x:v>2</x:v>
      </x:c>
      <x:c r="H440" s="23">
        <x:v>1375356</x:v>
      </x:c>
      <x:c r="I440" s="23">
        <x:v>1375356</x:v>
      </x:c>
      <x:c r="J440" s="23">
        <x:f>H440-I440</x:f>
      </x:c>
      <x:c r="K440" s="22">
        <x:v>1</x:v>
      </x:c>
      <x:c r="L440" s="24" t="s">
        <x:v>623</x:v>
      </x:c>
      <x:c r="M440" s="24"/>
      <x:c r="N440" s="27" t="s">
        <x:v>623</x:v>
      </x:c>
      <x:c r="O440" s="27"/>
      <x:c r="P440" s="26"/>
      <x:c r="Q440" s="27"/>
      <x:c r="R440" s="22">
        <x:f>IF(N440="","تکمیل نشده",IF(N440="ادغام با تفصیلی دیگر",IF(O440="","کلید مقصد خالی است",IF(IFERROR(MATCH(O440*1,$A:$A,0),0)=0,"کلید مقصد در این فهرست نیست",IF(O440*1=A440,"ادغام با خودش","OK"))),"OK"))</x:f>
      </x:c>
      <x:c r="S440" s="28"/>
    </x:row>
    <x:row r="441" spans="1:19">
      <x:c r="A441" s="21">
        <x:v>3669</x:v>
      </x:c>
      <x:c r="B441" s="22" t="s">
        <x:v>139</x:v>
      </x:c>
      <x:c r="C441" s="22" t="s">
        <x:v>209</x:v>
      </x:c>
      <x:c r="D441" s="22" t="s">
        <x:v>1147</x:v>
      </x:c>
      <x:c r="E441" s="22" t="s">
        <x:v>1148</x:v>
      </x:c>
      <x:c r="F441" s="22" t="s">
        <x:v>341</x:v>
      </x:c>
      <x:c r="G441" s="22">
        <x:v>8</x:v>
      </x:c>
      <x:c r="H441" s="23">
        <x:v>2290963578</x:v>
      </x:c>
      <x:c r="I441" s="23">
        <x:v>2290963578</x:v>
      </x:c>
      <x:c r="J441" s="23">
        <x:f>H441-I441</x:f>
      </x:c>
      <x:c r="K441" s="22">
        <x:v>2</x:v>
      </x:c>
      <x:c r="L441" s="24" t="s">
        <x:v>675</x:v>
      </x:c>
      <x:c r="M441" s="24">
        <x:v>2898</x:v>
      </x:c>
      <x:c r="N441" s="27" t="s">
        <x:v>675</x:v>
      </x:c>
      <x:c r="O441" s="27">
        <x:v>2898</x:v>
      </x:c>
      <x:c r="P441" s="26"/>
      <x:c r="Q441" s="27"/>
      <x:c r="R441" s="22">
        <x:f>IF(N441="","تکمیل نشده",IF(N441="ادغام با تفصیلی دیگر",IF(O441="","کلید مقصد خالی است",IF(IFERROR(MATCH(O441*1,$A:$A,0),0)=0,"کلید مقصد در این فهرست نیست",IF(O441*1=A441,"ادغام با خودش","OK"))),"OK"))</x:f>
      </x:c>
      <x:c r="S441" s="28"/>
    </x:row>
    <x:row r="442" spans="1:19">
      <x:c r="A442" s="21">
        <x:v>3650</x:v>
      </x:c>
      <x:c r="B442" s="22" t="s">
        <x:v>139</x:v>
      </x:c>
      <x:c r="C442" s="22" t="s">
        <x:v>209</x:v>
      </x:c>
      <x:c r="D442" s="22" t="s">
        <x:v>1149</x:v>
      </x:c>
      <x:c r="E442" s="22" t="s">
        <x:v>1150</x:v>
      </x:c>
      <x:c r="F442" s="22" t="s">
        <x:v>341</x:v>
      </x:c>
      <x:c r="G442" s="22">
        <x:v>2</x:v>
      </x:c>
      <x:c r="H442" s="23">
        <x:v>151564353</x:v>
      </x:c>
      <x:c r="I442" s="23">
        <x:v>151564353</x:v>
      </x:c>
      <x:c r="J442" s="23">
        <x:f>H442-I442</x:f>
      </x:c>
      <x:c r="K442" s="22">
        <x:v>1</x:v>
      </x:c>
      <x:c r="L442" s="24" t="s">
        <x:v>623</x:v>
      </x:c>
      <x:c r="M442" s="24"/>
      <x:c r="N442" s="27" t="s">
        <x:v>623</x:v>
      </x:c>
      <x:c r="O442" s="27"/>
      <x:c r="P442" s="26"/>
      <x:c r="Q442" s="27"/>
      <x:c r="R442" s="22">
        <x:f>IF(N442="","تکمیل نشده",IF(N442="ادغام با تفصیلی دیگر",IF(O442="","کلید مقصد خالی است",IF(IFERROR(MATCH(O442*1,$A:$A,0),0)=0,"کلید مقصد در این فهرست نیست",IF(O442*1=A442,"ادغام با خودش","OK"))),"OK"))</x:f>
      </x:c>
      <x:c r="S442" s="28"/>
    </x:row>
    <x:row r="443" spans="1:19">
      <x:c r="A443" s="21">
        <x:v>3680</x:v>
      </x:c>
      <x:c r="B443" s="22" t="s">
        <x:v>139</x:v>
      </x:c>
      <x:c r="C443" s="22" t="s">
        <x:v>209</x:v>
      </x:c>
      <x:c r="D443" s="22" t="s">
        <x:v>1151</x:v>
      </x:c>
      <x:c r="E443" s="22" t="s">
        <x:v>1152</x:v>
      </x:c>
      <x:c r="F443" s="22" t="s">
        <x:v>341</x:v>
      </x:c>
      <x:c r="G443" s="22">
        <x:v>3</x:v>
      </x:c>
      <x:c r="H443" s="23">
        <x:v>15862452</x:v>
      </x:c>
      <x:c r="I443" s="23">
        <x:v>15862452</x:v>
      </x:c>
      <x:c r="J443" s="23">
        <x:f>H443-I443</x:f>
      </x:c>
      <x:c r="K443" s="22">
        <x:v>1</x:v>
      </x:c>
      <x:c r="L443" s="24" t="s">
        <x:v>623</x:v>
      </x:c>
      <x:c r="M443" s="24"/>
      <x:c r="N443" s="27" t="s">
        <x:v>623</x:v>
      </x:c>
      <x:c r="O443" s="27"/>
      <x:c r="P443" s="26"/>
      <x:c r="Q443" s="27"/>
      <x:c r="R443" s="22">
        <x:f>IF(N443="","تکمیل نشده",IF(N443="ادغام با تفصیلی دیگر",IF(O443="","کلید مقصد خالی است",IF(IFERROR(MATCH(O443*1,$A:$A,0),0)=0,"کلید مقصد در این فهرست نیست",IF(O443*1=A443,"ادغام با خودش","OK"))),"OK"))</x:f>
      </x:c>
      <x:c r="S443" s="28"/>
    </x:row>
    <x:row r="444" spans="1:19">
      <x:c r="A444" s="21">
        <x:v>3670</x:v>
      </x:c>
      <x:c r="B444" s="22" t="s">
        <x:v>139</x:v>
      </x:c>
      <x:c r="C444" s="22" t="s">
        <x:v>209</x:v>
      </x:c>
      <x:c r="D444" s="22" t="s">
        <x:v>1153</x:v>
      </x:c>
      <x:c r="E444" s="22" t="s">
        <x:v>1154</x:v>
      </x:c>
      <x:c r="F444" s="22" t="s">
        <x:v>341</x:v>
      </x:c>
      <x:c r="G444" s="22">
        <x:v>7</x:v>
      </x:c>
      <x:c r="H444" s="23">
        <x:v>222157682</x:v>
      </x:c>
      <x:c r="I444" s="23">
        <x:v>222157682</x:v>
      </x:c>
      <x:c r="J444" s="23">
        <x:f>H444-I444</x:f>
      </x:c>
      <x:c r="K444" s="22">
        <x:v>1</x:v>
      </x:c>
      <x:c r="L444" s="24" t="s">
        <x:v>623</x:v>
      </x:c>
      <x:c r="M444" s="24"/>
      <x:c r="N444" s="27" t="s">
        <x:v>623</x:v>
      </x:c>
      <x:c r="O444" s="27"/>
      <x:c r="P444" s="26"/>
      <x:c r="Q444" s="27"/>
      <x:c r="R444" s="22">
        <x:f>IF(N444="","تکمیل نشده",IF(N444="ادغام با تفصیلی دیگر",IF(O444="","کلید مقصد خالی است",IF(IFERROR(MATCH(O444*1,$A:$A,0),0)=0,"کلید مقصد در این فهرست نیست",IF(O444*1=A444,"ادغام با خودش","OK"))),"OK"))</x:f>
      </x:c>
      <x:c r="S444" s="28"/>
    </x:row>
    <x:row r="445" spans="1:19">
      <x:c r="A445" s="21">
        <x:v>3672</x:v>
      </x:c>
      <x:c r="B445" s="22" t="s">
        <x:v>139</x:v>
      </x:c>
      <x:c r="C445" s="22" t="s">
        <x:v>209</x:v>
      </x:c>
      <x:c r="D445" s="22" t="s">
        <x:v>1155</x:v>
      </x:c>
      <x:c r="E445" s="22" t="s">
        <x:v>1156</x:v>
      </x:c>
      <x:c r="F445" s="22" t="s">
        <x:v>341</x:v>
      </x:c>
      <x:c r="G445" s="22">
        <x:v>2</x:v>
      </x:c>
      <x:c r="H445" s="23">
        <x:v>5226357</x:v>
      </x:c>
      <x:c r="I445" s="23">
        <x:v>5226357</x:v>
      </x:c>
      <x:c r="J445" s="23">
        <x:f>H445-I445</x:f>
      </x:c>
      <x:c r="K445" s="22">
        <x:v>1</x:v>
      </x:c>
      <x:c r="L445" s="24" t="s">
        <x:v>623</x:v>
      </x:c>
      <x:c r="M445" s="24"/>
      <x:c r="N445" s="27" t="s">
        <x:v>623</x:v>
      </x:c>
      <x:c r="O445" s="27"/>
      <x:c r="P445" s="26"/>
      <x:c r="Q445" s="27"/>
      <x:c r="R445" s="22">
        <x:f>IF(N445="","تکمیل نشده",IF(N445="ادغام با تفصیلی دیگر",IF(O445="","کلید مقصد خالی است",IF(IFERROR(MATCH(O445*1,$A:$A,0),0)=0,"کلید مقصد در این فهرست نیست",IF(O445*1=A445,"ادغام با خودش","OK"))),"OK"))</x:f>
      </x:c>
      <x:c r="S445" s="28"/>
    </x:row>
    <x:row r="446" spans="1:19">
      <x:c r="A446" s="21">
        <x:v>3196</x:v>
      </x:c>
      <x:c r="B446" s="22" t="s">
        <x:v>143</x:v>
      </x:c>
      <x:c r="C446" s="22" t="s">
        <x:v>251</x:v>
      </x:c>
      <x:c r="D446" s="22" t="s">
        <x:v>627</x:v>
      </x:c>
      <x:c r="E446" s="22" t="s">
        <x:v>1157</x:v>
      </x:c>
      <x:c r="F446" s="22" t="s">
        <x:v>342</x:v>
      </x:c>
      <x:c r="G446" s="22">
        <x:v>5</x:v>
      </x:c>
      <x:c r="H446" s="23">
        <x:v>6950000</x:v>
      </x:c>
      <x:c r="I446" s="23">
        <x:v>6950000</x:v>
      </x:c>
      <x:c r="J446" s="23">
        <x:f>H446-I446</x:f>
      </x:c>
      <x:c r="K446" s="22">
        <x:v>1</x:v>
      </x:c>
      <x:c r="L446" s="24" t="s">
        <x:v>623</x:v>
      </x:c>
      <x:c r="M446" s="24"/>
      <x:c r="N446" s="27" t="s">
        <x:v>623</x:v>
      </x:c>
      <x:c r="O446" s="27"/>
      <x:c r="P446" s="26"/>
      <x:c r="Q446" s="27"/>
      <x:c r="R446" s="22">
        <x:f>IF(N446="","تکمیل نشده",IF(N446="ادغام با تفصیلی دیگر",IF(O446="","کلید مقصد خالی است",IF(IFERROR(MATCH(O446*1,$A:$A,0),0)=0,"کلید مقصد در این فهرست نیست",IF(O446*1=A446,"ادغام با خودش","OK"))),"OK"))</x:f>
      </x:c>
      <x:c r="S446" s="28"/>
    </x:row>
    <x:row r="447" spans="1:19">
      <x:c r="A447" s="21">
        <x:v>3200</x:v>
      </x:c>
      <x:c r="B447" s="22" t="s">
        <x:v>143</x:v>
      </x:c>
      <x:c r="C447" s="22" t="s">
        <x:v>251</x:v>
      </x:c>
      <x:c r="D447" s="22" t="s">
        <x:v>1002</x:v>
      </x:c>
      <x:c r="E447" s="22" t="s">
        <x:v>1158</x:v>
      </x:c>
      <x:c r="F447" s="22" t="s">
        <x:v>342</x:v>
      </x:c>
      <x:c r="G447" s="22">
        <x:v>5</x:v>
      </x:c>
      <x:c r="H447" s="23">
        <x:v>0</x:v>
      </x:c>
      <x:c r="I447" s="23">
        <x:v>2630000</x:v>
      </x:c>
      <x:c r="J447" s="23">
        <x:f>H447-I447</x:f>
      </x:c>
      <x:c r="K447" s="22">
        <x:v>1</x:v>
      </x:c>
      <x:c r="L447" s="24" t="s">
        <x:v>623</x:v>
      </x:c>
      <x:c r="M447" s="24"/>
      <x:c r="N447" s="27" t="s">
        <x:v>623</x:v>
      </x:c>
      <x:c r="O447" s="27"/>
      <x:c r="P447" s="26"/>
      <x:c r="Q447" s="27"/>
      <x:c r="R447" s="22">
        <x:f>IF(N447="","تکمیل نشده",IF(N447="ادغام با تفصیلی دیگر",IF(O447="","کلید مقصد خالی است",IF(IFERROR(MATCH(O447*1,$A:$A,0),0)=0,"کلید مقصد در این فهرست نیست",IF(O447*1=A447,"ادغام با خودش","OK"))),"OK"))</x:f>
      </x:c>
      <x:c r="S447" s="28"/>
    </x:row>
    <x:row r="448" spans="1:19">
      <x:c r="A448" s="21">
        <x:v>3206</x:v>
      </x:c>
      <x:c r="B448" s="22" t="s">
        <x:v>143</x:v>
      </x:c>
      <x:c r="C448" s="22" t="s">
        <x:v>306</x:v>
      </x:c>
      <x:c r="D448" s="22" t="s">
        <x:v>719</x:v>
      </x:c>
      <x:c r="E448" s="22" t="s">
        <x:v>1159</x:v>
      </x:c>
      <x:c r="F448" s="22" t="s">
        <x:v>343</x:v>
      </x:c>
      <x:c r="G448" s="22">
        <x:v>24</x:v>
      </x:c>
      <x:c r="H448" s="23">
        <x:v>653090000</x:v>
      </x:c>
      <x:c r="I448" s="23">
        <x:v>737090000</x:v>
      </x:c>
      <x:c r="J448" s="23">
        <x:f>H448-I448</x:f>
      </x:c>
      <x:c r="K448" s="22">
        <x:v>1</x:v>
      </x:c>
      <x:c r="L448" s="24" t="s">
        <x:v>623</x:v>
      </x:c>
      <x:c r="M448" s="24"/>
      <x:c r="N448" s="27" t="s">
        <x:v>623</x:v>
      </x:c>
      <x:c r="O448" s="27"/>
      <x:c r="P448" s="26"/>
      <x:c r="Q448" s="27"/>
      <x:c r="R448" s="22">
        <x:f>IF(N448="","تکمیل نشده",IF(N448="ادغام با تفصیلی دیگر",IF(O448="","کلید مقصد خالی است",IF(IFERROR(MATCH(O448*1,$A:$A,0),0)=0,"کلید مقصد در این فهرست نیست",IF(O448*1=A448,"ادغام با خودش","OK"))),"OK"))</x:f>
      </x:c>
      <x:c r="S448" s="28"/>
    </x:row>
    <x:row r="449" spans="1:19">
      <x:c r="A449" s="21">
        <x:v>3211</x:v>
      </x:c>
      <x:c r="B449" s="22" t="s">
        <x:v>143</x:v>
      </x:c>
      <x:c r="C449" s="22" t="s">
        <x:v>344</x:v>
      </x:c>
      <x:c r="D449" s="22" t="s">
        <x:v>719</x:v>
      </x:c>
      <x:c r="E449" s="22" t="s">
        <x:v>1160</x:v>
      </x:c>
      <x:c r="F449" s="22" t="s">
        <x:v>345</x:v>
      </x:c>
      <x:c r="G449" s="22">
        <x:v>3</x:v>
      </x:c>
      <x:c r="H449" s="23">
        <x:v>226785</x:v>
      </x:c>
      <x:c r="I449" s="23">
        <x:v>226785</x:v>
      </x:c>
      <x:c r="J449" s="23">
        <x:f>H449-I449</x:f>
      </x:c>
      <x:c r="K449" s="22">
        <x:v>1</x:v>
      </x:c>
      <x:c r="L449" s="24" t="s">
        <x:v>623</x:v>
      </x:c>
      <x:c r="M449" s="24"/>
      <x:c r="N449" s="27" t="s">
        <x:v>623</x:v>
      </x:c>
      <x:c r="O449" s="27"/>
      <x:c r="P449" s="26"/>
      <x:c r="Q449" s="27"/>
      <x:c r="R449" s="22">
        <x:f>IF(N449="","تکمیل نشده",IF(N449="ادغام با تفصیلی دیگر",IF(O449="","کلید مقصد خالی است",IF(IFERROR(MATCH(O449*1,$A:$A,0),0)=0,"کلید مقصد در این فهرست نیست",IF(O449*1=A449,"ادغام با خودش","OK"))),"OK"))</x:f>
      </x:c>
      <x:c r="S449" s="28"/>
    </x:row>
    <x:row r="450" spans="1:19">
      <x:c r="A450" s="21">
        <x:v>3212</x:v>
      </x:c>
      <x:c r="B450" s="22" t="s">
        <x:v>143</x:v>
      </x:c>
      <x:c r="C450" s="22" t="s">
        <x:v>344</x:v>
      </x:c>
      <x:c r="D450" s="22" t="s">
        <x:v>780</x:v>
      </x:c>
      <x:c r="E450" s="22" t="s">
        <x:v>1161</x:v>
      </x:c>
      <x:c r="F450" s="22" t="s">
        <x:v>345</x:v>
      </x:c>
      <x:c r="G450" s="22">
        <x:v>22</x:v>
      </x:c>
      <x:c r="H450" s="23">
        <x:v>254447480</x:v>
      </x:c>
      <x:c r="I450" s="23">
        <x:v>290301080</x:v>
      </x:c>
      <x:c r="J450" s="23">
        <x:f>H450-I450</x:f>
      </x:c>
      <x:c r="K450" s="22">
        <x:v>1</x:v>
      </x:c>
      <x:c r="L450" s="24" t="s">
        <x:v>623</x:v>
      </x:c>
      <x:c r="M450" s="24"/>
      <x:c r="N450" s="27" t="s">
        <x:v>623</x:v>
      </x:c>
      <x:c r="O450" s="27"/>
      <x:c r="P450" s="26"/>
      <x:c r="Q450" s="27"/>
      <x:c r="R450" s="22">
        <x:f>IF(N450="","تکمیل نشده",IF(N450="ادغام با تفصیلی دیگر",IF(O450="","کلید مقصد خالی است",IF(IFERROR(MATCH(O450*1,$A:$A,0),0)=0,"کلید مقصد در این فهرست نیست",IF(O450*1=A450,"ادغام با خودش","OK"))),"OK"))</x:f>
      </x:c>
      <x:c r="S450" s="28"/>
    </x:row>
    <x:row r="451" spans="1:19">
      <x:c r="A451" s="21">
        <x:v>3213</x:v>
      </x:c>
      <x:c r="B451" s="22" t="s">
        <x:v>143</x:v>
      </x:c>
      <x:c r="C451" s="22" t="s">
        <x:v>344</x:v>
      </x:c>
      <x:c r="D451" s="22" t="s">
        <x:v>721</x:v>
      </x:c>
      <x:c r="E451" s="22" t="s">
        <x:v>1162</x:v>
      </x:c>
      <x:c r="F451" s="22" t="s">
        <x:v>345</x:v>
      </x:c>
      <x:c r="G451" s="22">
        <x:v>2</x:v>
      </x:c>
      <x:c r="H451" s="23">
        <x:v>2386000</x:v>
      </x:c>
      <x:c r="I451" s="23">
        <x:v>2386000</x:v>
      </x:c>
      <x:c r="J451" s="23">
        <x:f>H451-I451</x:f>
      </x:c>
      <x:c r="K451" s="22">
        <x:v>1</x:v>
      </x:c>
      <x:c r="L451" s="24" t="s">
        <x:v>623</x:v>
      </x:c>
      <x:c r="M451" s="24"/>
      <x:c r="N451" s="27" t="s">
        <x:v>623</x:v>
      </x:c>
      <x:c r="O451" s="27"/>
      <x:c r="P451" s="26"/>
      <x:c r="Q451" s="27"/>
      <x:c r="R451" s="22">
        <x:f>IF(N451="","تکمیل نشده",IF(N451="ادغام با تفصیلی دیگر",IF(O451="","کلید مقصد خالی است",IF(IFERROR(MATCH(O451*1,$A:$A,0),0)=0,"کلید مقصد در این فهرست نیست",IF(O451*1=A451,"ادغام با خودش","OK"))),"OK"))</x:f>
      </x:c>
      <x:c r="S451" s="28"/>
    </x:row>
    <x:row r="452" spans="1:19">
      <x:c r="A452" s="21">
        <x:v>3215</x:v>
      </x:c>
      <x:c r="B452" s="22" t="s">
        <x:v>143</x:v>
      </x:c>
      <x:c r="C452" s="22" t="s">
        <x:v>255</x:v>
      </x:c>
      <x:c r="D452" s="22" t="s">
        <x:v>719</x:v>
      </x:c>
      <x:c r="E452" s="22" t="s">
        <x:v>346</x:v>
      </x:c>
      <x:c r="F452" s="22" t="s">
        <x:v>346</x:v>
      </x:c>
      <x:c r="G452" s="22">
        <x:v>15</x:v>
      </x:c>
      <x:c r="H452" s="23">
        <x:v>32454108</x:v>
      </x:c>
      <x:c r="I452" s="23">
        <x:v>32454108</x:v>
      </x:c>
      <x:c r="J452" s="23">
        <x:f>H452-I452</x:f>
      </x:c>
      <x:c r="K452" s="22">
        <x:v>3</x:v>
      </x:c>
      <x:c r="L452" s="24" t="s">
        <x:v>620</x:v>
      </x:c>
      <x:c r="M452" s="24"/>
      <x:c r="N452" s="27" t="s">
        <x:v>620</x:v>
      </x:c>
      <x:c r="O452" s="27"/>
      <x:c r="P452" s="26"/>
      <x:c r="Q452" s="27"/>
      <x:c r="R452" s="22">
        <x:f>IF(N452="","تکمیل نشده",IF(N452="ادغام با تفصیلی دیگر",IF(O452="","کلید مقصد خالی است",IF(IFERROR(MATCH(O452*1,$A:$A,0),0)=0,"کلید مقصد در این فهرست نیست",IF(O452*1=A452,"ادغام با خودش","OK"))),"OK"))</x:f>
      </x:c>
      <x:c r="S452" s="28"/>
    </x:row>
    <x:row r="453" spans="1:19">
      <x:c r="A453" s="21">
        <x:v>3222</x:v>
      </x:c>
      <x:c r="B453" s="22" t="s">
        <x:v>143</x:v>
      </x:c>
      <x:c r="C453" s="22" t="s">
        <x:v>308</x:v>
      </x:c>
      <x:c r="D453" s="22" t="s">
        <x:v>719</x:v>
      </x:c>
      <x:c r="E453" s="22" t="s">
        <x:v>1163</x:v>
      </x:c>
      <x:c r="F453" s="22" t="s">
        <x:v>347</x:v>
      </x:c>
      <x:c r="G453" s="22">
        <x:v>129</x:v>
      </x:c>
      <x:c r="H453" s="23">
        <x:v>8221957919</x:v>
      </x:c>
      <x:c r="I453" s="23">
        <x:v>8183741409</x:v>
      </x:c>
      <x:c r="J453" s="23">
        <x:f>H453-I453</x:f>
      </x:c>
      <x:c r="K453" s="22">
        <x:v>1</x:v>
      </x:c>
      <x:c r="L453" s="24" t="s">
        <x:v>623</x:v>
      </x:c>
      <x:c r="M453" s="24"/>
      <x:c r="N453" s="27" t="s">
        <x:v>623</x:v>
      </x:c>
      <x:c r="O453" s="27"/>
      <x:c r="P453" s="26"/>
      <x:c r="Q453" s="27"/>
      <x:c r="R453" s="22">
        <x:f>IF(N453="","تکمیل نشده",IF(N453="ادغام با تفصیلی دیگر",IF(O453="","کلید مقصد خالی است",IF(IFERROR(MATCH(O453*1,$A:$A,0),0)=0,"کلید مقصد در این فهرست نیست",IF(O453*1=A453,"ادغام با خودش","OK"))),"OK"))</x:f>
      </x:c>
      <x:c r="S453" s="28"/>
    </x:row>
    <x:row r="454" spans="1:19">
      <x:c r="A454" s="21">
        <x:v>3223</x:v>
      </x:c>
      <x:c r="B454" s="22" t="s">
        <x:v>143</x:v>
      </x:c>
      <x:c r="C454" s="22" t="s">
        <x:v>308</x:v>
      </x:c>
      <x:c r="D454" s="22" t="s">
        <x:v>627</x:v>
      </x:c>
      <x:c r="E454" s="22" t="s">
        <x:v>1164</x:v>
      </x:c>
      <x:c r="F454" s="22" t="s">
        <x:v>347</x:v>
      </x:c>
      <x:c r="G454" s="22">
        <x:v>2</x:v>
      </x:c>
      <x:c r="H454" s="23">
        <x:v>400000</x:v>
      </x:c>
      <x:c r="I454" s="23">
        <x:v>400000</x:v>
      </x:c>
      <x:c r="J454" s="23">
        <x:f>H454-I454</x:f>
      </x:c>
      <x:c r="K454" s="22">
        <x:v>1</x:v>
      </x:c>
      <x:c r="L454" s="24" t="s">
        <x:v>623</x:v>
      </x:c>
      <x:c r="M454" s="24"/>
      <x:c r="N454" s="27" t="s">
        <x:v>623</x:v>
      </x:c>
      <x:c r="O454" s="27"/>
      <x:c r="P454" s="26"/>
      <x:c r="Q454" s="27"/>
      <x:c r="R454" s="22">
        <x:f>IF(N454="","تکمیل نشده",IF(N454="ادغام با تفصیلی دیگر",IF(O454="","کلید مقصد خالی است",IF(IFERROR(MATCH(O454*1,$A:$A,0),0)=0,"کلید مقصد در این فهرست نیست",IF(O454*1=A454,"ادغام با خودش","OK"))),"OK"))</x:f>
      </x:c>
      <x:c r="S454" s="28"/>
    </x:row>
    <x:row r="455" spans="1:19">
      <x:c r="A455" s="21">
        <x:v>3224</x:v>
      </x:c>
      <x:c r="B455" s="22" t="s">
        <x:v>143</x:v>
      </x:c>
      <x:c r="C455" s="22" t="s">
        <x:v>308</x:v>
      </x:c>
      <x:c r="D455" s="22" t="s">
        <x:v>780</x:v>
      </x:c>
      <x:c r="E455" s="22" t="s">
        <x:v>1165</x:v>
      </x:c>
      <x:c r="F455" s="22" t="s">
        <x:v>347</x:v>
      </x:c>
      <x:c r="G455" s="22">
        <x:v>13</x:v>
      </x:c>
      <x:c r="H455" s="23">
        <x:v>101258754</x:v>
      </x:c>
      <x:c r="I455" s="23">
        <x:v>184034936</x:v>
      </x:c>
      <x:c r="J455" s="23">
        <x:f>H455-I455</x:f>
      </x:c>
      <x:c r="K455" s="22">
        <x:v>1</x:v>
      </x:c>
      <x:c r="L455" s="24" t="s">
        <x:v>623</x:v>
      </x:c>
      <x:c r="M455" s="24"/>
      <x:c r="N455" s="27" t="s">
        <x:v>623</x:v>
      </x:c>
      <x:c r="O455" s="27"/>
      <x:c r="P455" s="26"/>
      <x:c r="Q455" s="27"/>
      <x:c r="R455" s="22">
        <x:f>IF(N455="","تکمیل نشده",IF(N455="ادغام با تفصیلی دیگر",IF(O455="","کلید مقصد خالی است",IF(IFERROR(MATCH(O455*1,$A:$A,0),0)=0,"کلید مقصد در این فهرست نیست",IF(O455*1=A455,"ادغام با خودش","OK"))),"OK"))</x:f>
      </x:c>
      <x:c r="S455" s="28"/>
    </x:row>
    <x:row r="456" spans="1:19">
      <x:c r="A456" s="21">
        <x:v>3225</x:v>
      </x:c>
      <x:c r="B456" s="22" t="s">
        <x:v>143</x:v>
      </x:c>
      <x:c r="C456" s="22" t="s">
        <x:v>308</x:v>
      </x:c>
      <x:c r="D456" s="22" t="s">
        <x:v>721</x:v>
      </x:c>
      <x:c r="E456" s="22" t="s">
        <x:v>1166</x:v>
      </x:c>
      <x:c r="F456" s="22" t="s">
        <x:v>347</x:v>
      </x:c>
      <x:c r="G456" s="22">
        <x:v>1</x:v>
      </x:c>
      <x:c r="H456" s="23">
        <x:v>10000</x:v>
      </x:c>
      <x:c r="I456" s="23">
        <x:v>0</x:v>
      </x:c>
      <x:c r="J456" s="23">
        <x:f>H456-I456</x:f>
      </x:c>
      <x:c r="K456" s="22">
        <x:v>1</x:v>
      </x:c>
      <x:c r="L456" s="24" t="s">
        <x:v>623</x:v>
      </x:c>
      <x:c r="M456" s="24"/>
      <x:c r="N456" s="27" t="s">
        <x:v>623</x:v>
      </x:c>
      <x:c r="O456" s="27"/>
      <x:c r="P456" s="26"/>
      <x:c r="Q456" s="27"/>
      <x:c r="R456" s="22">
        <x:f>IF(N456="","تکمیل نشده",IF(N456="ادغام با تفصیلی دیگر",IF(O456="","کلید مقصد خالی است",IF(IFERROR(MATCH(O456*1,$A:$A,0),0)=0,"کلید مقصد در این فهرست نیست",IF(O456*1=A456,"ادغام با خودش","OK"))),"OK"))</x:f>
      </x:c>
      <x:c r="S456" s="28"/>
    </x:row>
    <x:row r="457" spans="1:19">
      <x:c r="A457" s="21">
        <x:v>3226</x:v>
      </x:c>
      <x:c r="B457" s="22" t="s">
        <x:v>143</x:v>
      </x:c>
      <x:c r="C457" s="22" t="s">
        <x:v>308</x:v>
      </x:c>
      <x:c r="D457" s="22" t="s">
        <x:v>723</x:v>
      </x:c>
      <x:c r="E457" s="22" t="s">
        <x:v>1167</x:v>
      </x:c>
      <x:c r="F457" s="22" t="s">
        <x:v>347</x:v>
      </x:c>
      <x:c r="G457" s="22">
        <x:v>2</x:v>
      </x:c>
      <x:c r="H457" s="23">
        <x:v>38113000</x:v>
      </x:c>
      <x:c r="I457" s="23">
        <x:v>38113000</x:v>
      </x:c>
      <x:c r="J457" s="23">
        <x:f>H457-I457</x:f>
      </x:c>
      <x:c r="K457" s="22">
        <x:v>1</x:v>
      </x:c>
      <x:c r="L457" s="24" t="s">
        <x:v>623</x:v>
      </x:c>
      <x:c r="M457" s="24"/>
      <x:c r="N457" s="27" t="s">
        <x:v>623</x:v>
      </x:c>
      <x:c r="O457" s="27"/>
      <x:c r="P457" s="26"/>
      <x:c r="Q457" s="27"/>
      <x:c r="R457" s="22">
        <x:f>IF(N457="","تکمیل نشده",IF(N457="ادغام با تفصیلی دیگر",IF(O457="","کلید مقصد خالی است",IF(IFERROR(MATCH(O457*1,$A:$A,0),0)=0,"کلید مقصد در این فهرست نیست",IF(O457*1=A457,"ادغام با خودش","OK"))),"OK"))</x:f>
      </x:c>
      <x:c r="S457" s="28"/>
    </x:row>
    <x:row r="458" spans="1:19">
      <x:c r="A458" s="21">
        <x:v>3231</x:v>
      </x:c>
      <x:c r="B458" s="22" t="s">
        <x:v>143</x:v>
      </x:c>
      <x:c r="C458" s="22" t="s">
        <x:v>308</x:v>
      </x:c>
      <x:c r="D458" s="22" t="s">
        <x:v>804</x:v>
      </x:c>
      <x:c r="E458" s="22" t="s">
        <x:v>1168</x:v>
      </x:c>
      <x:c r="F458" s="22" t="s">
        <x:v>347</x:v>
      </x:c>
      <x:c r="G458" s="22">
        <x:v>9</x:v>
      </x:c>
      <x:c r="H458" s="23">
        <x:v>37100000</x:v>
      </x:c>
      <x:c r="I458" s="23">
        <x:v>49450000</x:v>
      </x:c>
      <x:c r="J458" s="23">
        <x:f>H458-I458</x:f>
      </x:c>
      <x:c r="K458" s="22">
        <x:v>1</x:v>
      </x:c>
      <x:c r="L458" s="24" t="s">
        <x:v>623</x:v>
      </x:c>
      <x:c r="M458" s="24"/>
      <x:c r="N458" s="27" t="s">
        <x:v>623</x:v>
      </x:c>
      <x:c r="O458" s="27"/>
      <x:c r="P458" s="26"/>
      <x:c r="Q458" s="27"/>
      <x:c r="R458" s="22">
        <x:f>IF(N458="","تکمیل نشده",IF(N458="ادغام با تفصیلی دیگر",IF(O458="","کلید مقصد خالی است",IF(IFERROR(MATCH(O458*1,$A:$A,0),0)=0,"کلید مقصد در این فهرست نیست",IF(O458*1=A458,"ادغام با خودش","OK"))),"OK"))</x:f>
      </x:c>
      <x:c r="S458" s="28"/>
    </x:row>
    <x:row r="459" spans="1:19">
      <x:c r="A459" s="21">
        <x:v>3240</x:v>
      </x:c>
      <x:c r="B459" s="22" t="s">
        <x:v>143</x:v>
      </x:c>
      <x:c r="C459" s="22" t="s">
        <x:v>310</x:v>
      </x:c>
      <x:c r="D459" s="22" t="s">
        <x:v>780</x:v>
      </x:c>
      <x:c r="E459" s="22" t="s">
        <x:v>1169</x:v>
      </x:c>
      <x:c r="F459" s="22" t="s">
        <x:v>349</x:v>
      </x:c>
      <x:c r="G459" s="22">
        <x:v>2</x:v>
      </x:c>
      <x:c r="H459" s="23">
        <x:v>21749000</x:v>
      </x:c>
      <x:c r="I459" s="23">
        <x:v>21749000</x:v>
      </x:c>
      <x:c r="J459" s="23">
        <x:f>H459-I459</x:f>
      </x:c>
      <x:c r="K459" s="22">
        <x:v>1</x:v>
      </x:c>
      <x:c r="L459" s="24" t="s">
        <x:v>623</x:v>
      </x:c>
      <x:c r="M459" s="24"/>
      <x:c r="N459" s="27" t="s">
        <x:v>623</x:v>
      </x:c>
      <x:c r="O459" s="27"/>
      <x:c r="P459" s="26"/>
      <x:c r="Q459" s="27"/>
      <x:c r="R459" s="22">
        <x:f>IF(N459="","تکمیل نشده",IF(N459="ادغام با تفصیلی دیگر",IF(O459="","کلید مقصد خالی است",IF(IFERROR(MATCH(O459*1,$A:$A,0),0)=0,"کلید مقصد در این فهرست نیست",IF(O459*1=A459,"ادغام با خودش","OK"))),"OK"))</x:f>
      </x:c>
      <x:c r="S459" s="28"/>
    </x:row>
    <x:row r="460" spans="1:19">
      <x:c r="A460" s="21">
        <x:v>3241</x:v>
      </x:c>
      <x:c r="B460" s="22" t="s">
        <x:v>143</x:v>
      </x:c>
      <x:c r="C460" s="22" t="s">
        <x:v>310</x:v>
      </x:c>
      <x:c r="D460" s="22" t="s">
        <x:v>721</x:v>
      </x:c>
      <x:c r="E460" s="22" t="s">
        <x:v>1170</x:v>
      </x:c>
      <x:c r="F460" s="22" t="s">
        <x:v>349</x:v>
      </x:c>
      <x:c r="G460" s="22">
        <x:v>6</x:v>
      </x:c>
      <x:c r="H460" s="23">
        <x:v>52815413</x:v>
      </x:c>
      <x:c r="I460" s="23">
        <x:v>52815413</x:v>
      </x:c>
      <x:c r="J460" s="23">
        <x:f>H460-I460</x:f>
      </x:c>
      <x:c r="K460" s="22">
        <x:v>1</x:v>
      </x:c>
      <x:c r="L460" s="24" t="s">
        <x:v>623</x:v>
      </x:c>
      <x:c r="M460" s="24"/>
      <x:c r="N460" s="27" t="s">
        <x:v>623</x:v>
      </x:c>
      <x:c r="O460" s="27"/>
      <x:c r="P460" s="26"/>
      <x:c r="Q460" s="27"/>
      <x:c r="R460" s="22">
        <x:f>IF(N460="","تکمیل نشده",IF(N460="ادغام با تفصیلی دیگر",IF(O460="","کلید مقصد خالی است",IF(IFERROR(MATCH(O460*1,$A:$A,0),0)=0,"کلید مقصد در این فهرست نیست",IF(O460*1=A460,"ادغام با خودش","OK"))),"OK"))</x:f>
      </x:c>
      <x:c r="S460" s="28"/>
    </x:row>
    <x:row r="461" spans="1:19">
      <x:c r="A461" s="21">
        <x:v>3243</x:v>
      </x:c>
      <x:c r="B461" s="22" t="s">
        <x:v>143</x:v>
      </x:c>
      <x:c r="C461" s="22" t="s">
        <x:v>351</x:v>
      </x:c>
      <x:c r="D461" s="22" t="s">
        <x:v>627</x:v>
      </x:c>
      <x:c r="E461" s="22" t="s">
        <x:v>1171</x:v>
      </x:c>
      <x:c r="F461" s="22" t="s">
        <x:v>352</x:v>
      </x:c>
      <x:c r="G461" s="22">
        <x:v>5</x:v>
      </x:c>
      <x:c r="H461" s="23">
        <x:v>25650000</x:v>
      </x:c>
      <x:c r="I461" s="23">
        <x:v>25650000</x:v>
      </x:c>
      <x:c r="J461" s="23">
        <x:f>H461-I461</x:f>
      </x:c>
      <x:c r="K461" s="22">
        <x:v>1</x:v>
      </x:c>
      <x:c r="L461" s="24" t="s">
        <x:v>623</x:v>
      </x:c>
      <x:c r="M461" s="24"/>
      <x:c r="N461" s="27" t="s">
        <x:v>623</x:v>
      </x:c>
      <x:c r="O461" s="27"/>
      <x:c r="P461" s="26"/>
      <x:c r="Q461" s="27"/>
      <x:c r="R461" s="22">
        <x:f>IF(N461="","تکمیل نشده",IF(N461="ادغام با تفصیلی دیگر",IF(O461="","کلید مقصد خالی است",IF(IFERROR(MATCH(O461*1,$A:$A,0),0)=0,"کلید مقصد در این فهرست نیست",IF(O461*1=A461,"ادغام با خودش","OK"))),"OK"))</x:f>
      </x:c>
      <x:c r="S461" s="28"/>
    </x:row>
    <x:row r="462" spans="1:19">
      <x:c r="A462" s="21">
        <x:v>3249</x:v>
      </x:c>
      <x:c r="B462" s="22" t="s">
        <x:v>143</x:v>
      </x:c>
      <x:c r="C462" s="22" t="s">
        <x:v>193</x:v>
      </x:c>
      <x:c r="D462" s="22" t="s">
        <x:v>721</x:v>
      </x:c>
      <x:c r="E462" s="22" t="s">
        <x:v>1172</x:v>
      </x:c>
      <x:c r="F462" s="22" t="s">
        <x:v>353</x:v>
      </x:c>
      <x:c r="G462" s="22">
        <x:v>23</x:v>
      </x:c>
      <x:c r="H462" s="23">
        <x:v>54171180</x:v>
      </x:c>
      <x:c r="I462" s="23">
        <x:v>55021180</x:v>
      </x:c>
      <x:c r="J462" s="23">
        <x:f>H462-I462</x:f>
      </x:c>
      <x:c r="K462" s="22">
        <x:v>1</x:v>
      </x:c>
      <x:c r="L462" s="24" t="s">
        <x:v>623</x:v>
      </x:c>
      <x:c r="M462" s="24"/>
      <x:c r="N462" s="27" t="s">
        <x:v>623</x:v>
      </x:c>
      <x:c r="O462" s="27"/>
      <x:c r="P462" s="26"/>
      <x:c r="Q462" s="27"/>
      <x:c r="R462" s="22">
        <x:f>IF(N462="","تکمیل نشده",IF(N462="ادغام با تفصیلی دیگر",IF(O462="","کلید مقصد خالی است",IF(IFERROR(MATCH(O462*1,$A:$A,0),0)=0,"کلید مقصد در این فهرست نیست",IF(O462*1=A462,"ادغام با خودش","OK"))),"OK"))</x:f>
      </x:c>
      <x:c r="S462" s="28"/>
    </x:row>
    <x:row r="463" spans="1:19">
      <x:c r="A463" s="21">
        <x:v>3250</x:v>
      </x:c>
      <x:c r="B463" s="22" t="s">
        <x:v>143</x:v>
      </x:c>
      <x:c r="C463" s="22" t="s">
        <x:v>193</x:v>
      </x:c>
      <x:c r="D463" s="22" t="s">
        <x:v>723</x:v>
      </x:c>
      <x:c r="E463" s="22" t="s">
        <x:v>1173</x:v>
      </x:c>
      <x:c r="F463" s="22" t="s">
        <x:v>353</x:v>
      </x:c>
      <x:c r="G463" s="22">
        <x:v>12</x:v>
      </x:c>
      <x:c r="H463" s="23">
        <x:v>144820000</x:v>
      </x:c>
      <x:c r="I463" s="23">
        <x:v>178240000</x:v>
      </x:c>
      <x:c r="J463" s="23">
        <x:f>H463-I463</x:f>
      </x:c>
      <x:c r="K463" s="22">
        <x:v>1</x:v>
      </x:c>
      <x:c r="L463" s="24" t="s">
        <x:v>623</x:v>
      </x:c>
      <x:c r="M463" s="24"/>
      <x:c r="N463" s="27" t="s">
        <x:v>623</x:v>
      </x:c>
      <x:c r="O463" s="27"/>
      <x:c r="P463" s="26"/>
      <x:c r="Q463" s="27"/>
      <x:c r="R463" s="22">
        <x:f>IF(N463="","تکمیل نشده",IF(N463="ادغام با تفصیلی دیگر",IF(O463="","کلید مقصد خالی است",IF(IFERROR(MATCH(O463*1,$A:$A,0),0)=0,"کلید مقصد در این فهرست نیست",IF(O463*1=A463,"ادغام با خودش","OK"))),"OK"))</x:f>
      </x:c>
      <x:c r="S463" s="28"/>
    </x:row>
    <x:row r="464" spans="1:19">
      <x:c r="A464" s="21">
        <x:v>3252</x:v>
      </x:c>
      <x:c r="B464" s="22" t="s">
        <x:v>143</x:v>
      </x:c>
      <x:c r="C464" s="22" t="s">
        <x:v>204</x:v>
      </x:c>
      <x:c r="D464" s="22" t="s">
        <x:v>719</x:v>
      </x:c>
      <x:c r="E464" s="22" t="s">
        <x:v>1174</x:v>
      </x:c>
      <x:c r="F464" s="22" t="s">
        <x:v>354</x:v>
      </x:c>
      <x:c r="G464" s="22">
        <x:v>2</x:v>
      </x:c>
      <x:c r="H464" s="23">
        <x:v>2400000</x:v>
      </x:c>
      <x:c r="I464" s="23">
        <x:v>2400000</x:v>
      </x:c>
      <x:c r="J464" s="23">
        <x:f>H464-I464</x:f>
      </x:c>
      <x:c r="K464" s="22">
        <x:v>1</x:v>
      </x:c>
      <x:c r="L464" s="24" t="s">
        <x:v>623</x:v>
      </x:c>
      <x:c r="M464" s="24"/>
      <x:c r="N464" s="27" t="s">
        <x:v>623</x:v>
      </x:c>
      <x:c r="O464" s="27"/>
      <x:c r="P464" s="26"/>
      <x:c r="Q464" s="27"/>
      <x:c r="R464" s="22">
        <x:f>IF(N464="","تکمیل نشده",IF(N464="ادغام با تفصیلی دیگر",IF(O464="","کلید مقصد خالی است",IF(IFERROR(MATCH(O464*1,$A:$A,0),0)=0,"کلید مقصد در این فهرست نیست",IF(O464*1=A464,"ادغام با خودش","OK"))),"OK"))</x:f>
      </x:c>
      <x:c r="S464" s="28"/>
    </x:row>
    <x:row r="465" spans="1:19">
      <x:c r="A465" s="21">
        <x:v>3254</x:v>
      </x:c>
      <x:c r="B465" s="22" t="s">
        <x:v>143</x:v>
      </x:c>
      <x:c r="C465" s="22" t="s">
        <x:v>204</x:v>
      </x:c>
      <x:c r="D465" s="22" t="s">
        <x:v>780</x:v>
      </x:c>
      <x:c r="E465" s="22" t="s">
        <x:v>1175</x:v>
      </x:c>
      <x:c r="F465" s="22" t="s">
        <x:v>354</x:v>
      </x:c>
      <x:c r="G465" s="22">
        <x:v>2</x:v>
      </x:c>
      <x:c r="H465" s="23">
        <x:v>950000</x:v>
      </x:c>
      <x:c r="I465" s="23">
        <x:v>950000</x:v>
      </x:c>
      <x:c r="J465" s="23">
        <x:f>H465-I465</x:f>
      </x:c>
      <x:c r="K465" s="22">
        <x:v>1</x:v>
      </x:c>
      <x:c r="L465" s="24" t="s">
        <x:v>623</x:v>
      </x:c>
      <x:c r="M465" s="24"/>
      <x:c r="N465" s="27" t="s">
        <x:v>623</x:v>
      </x:c>
      <x:c r="O465" s="27"/>
      <x:c r="P465" s="26"/>
      <x:c r="Q465" s="27"/>
      <x:c r="R465" s="22">
        <x:f>IF(N465="","تکمیل نشده",IF(N465="ادغام با تفصیلی دیگر",IF(O465="","کلید مقصد خالی است",IF(IFERROR(MATCH(O465*1,$A:$A,0),0)=0,"کلید مقصد در این فهرست نیست",IF(O465*1=A465,"ادغام با خودش","OK"))),"OK"))</x:f>
      </x:c>
      <x:c r="S465" s="28"/>
    </x:row>
    <x:row r="466" spans="1:19">
      <x:c r="A466" s="21">
        <x:v>3260</x:v>
      </x:c>
      <x:c r="B466" s="22" t="s">
        <x:v>143</x:v>
      </x:c>
      <x:c r="C466" s="22" t="s">
        <x:v>14</x:v>
      </x:c>
      <x:c r="D466" s="22" t="s">
        <x:v>723</x:v>
      </x:c>
      <x:c r="E466" s="22" t="s">
        <x:v>1176</x:v>
      </x:c>
      <x:c r="F466" s="22" t="s">
        <x:v>355</x:v>
      </x:c>
      <x:c r="G466" s="22">
        <x:v>5</x:v>
      </x:c>
      <x:c r="H466" s="23">
        <x:v>104640477</x:v>
      </x:c>
      <x:c r="I466" s="23">
        <x:v>104640477</x:v>
      </x:c>
      <x:c r="J466" s="23">
        <x:f>H466-I466</x:f>
      </x:c>
      <x:c r="K466" s="22">
        <x:v>1</x:v>
      </x:c>
      <x:c r="L466" s="24" t="s">
        <x:v>623</x:v>
      </x:c>
      <x:c r="M466" s="24"/>
      <x:c r="N466" s="27" t="s">
        <x:v>623</x:v>
      </x:c>
      <x:c r="O466" s="27"/>
      <x:c r="P466" s="26"/>
      <x:c r="Q466" s="27"/>
      <x:c r="R466" s="22">
        <x:f>IF(N466="","تکمیل نشده",IF(N466="ادغام با تفصیلی دیگر",IF(O466="","کلید مقصد خالی است",IF(IFERROR(MATCH(O466*1,$A:$A,0),0)=0,"کلید مقصد در این فهرست نیست",IF(O466*1=A466,"ادغام با خودش","OK"))),"OK"))</x:f>
      </x:c>
      <x:c r="S466" s="28"/>
    </x:row>
    <x:row r="467" spans="1:19">
      <x:c r="A467" s="21">
        <x:v>3261</x:v>
      </x:c>
      <x:c r="B467" s="22" t="s">
        <x:v>143</x:v>
      </x:c>
      <x:c r="C467" s="22" t="s">
        <x:v>14</x:v>
      </x:c>
      <x:c r="D467" s="22" t="s">
        <x:v>725</x:v>
      </x:c>
      <x:c r="E467" s="22" t="s">
        <x:v>1177</x:v>
      </x:c>
      <x:c r="F467" s="22" t="s">
        <x:v>355</x:v>
      </x:c>
      <x:c r="G467" s="22">
        <x:v>3</x:v>
      </x:c>
      <x:c r="H467" s="23">
        <x:v>2808500</x:v>
      </x:c>
      <x:c r="I467" s="23">
        <x:v>2808500</x:v>
      </x:c>
      <x:c r="J467" s="23">
        <x:f>H467-I467</x:f>
      </x:c>
      <x:c r="K467" s="22">
        <x:v>1</x:v>
      </x:c>
      <x:c r="L467" s="24" t="s">
        <x:v>623</x:v>
      </x:c>
      <x:c r="M467" s="24"/>
      <x:c r="N467" s="27" t="s">
        <x:v>623</x:v>
      </x:c>
      <x:c r="O467" s="27"/>
      <x:c r="P467" s="26"/>
      <x:c r="Q467" s="27"/>
      <x:c r="R467" s="22">
        <x:f>IF(N467="","تکمیل نشده",IF(N467="ادغام با تفصیلی دیگر",IF(O467="","کلید مقصد خالی است",IF(IFERROR(MATCH(O467*1,$A:$A,0),0)=0,"کلید مقصد در این فهرست نیست",IF(O467*1=A467,"ادغام با خودش","OK"))),"OK"))</x:f>
      </x:c>
      <x:c r="S467" s="28"/>
    </x:row>
    <x:row r="468" spans="1:19">
      <x:c r="A468" s="21">
        <x:v>3271</x:v>
      </x:c>
      <x:c r="B468" s="22" t="s">
        <x:v>143</x:v>
      </x:c>
      <x:c r="C468" s="22" t="s">
        <x:v>18</x:v>
      </x:c>
      <x:c r="D468" s="22" t="s">
        <x:v>719</x:v>
      </x:c>
      <x:c r="E468" s="22" t="s">
        <x:v>1178</x:v>
      </x:c>
      <x:c r="F468" s="22" t="s">
        <x:v>356</x:v>
      </x:c>
      <x:c r="G468" s="22">
        <x:v>13</x:v>
      </x:c>
      <x:c r="H468" s="23">
        <x:v>6518626</x:v>
      </x:c>
      <x:c r="I468" s="23">
        <x:v>6861319</x:v>
      </x:c>
      <x:c r="J468" s="23">
        <x:f>H468-I468</x:f>
      </x:c>
      <x:c r="K468" s="22">
        <x:v>1</x:v>
      </x:c>
      <x:c r="L468" s="24" t="s">
        <x:v>623</x:v>
      </x:c>
      <x:c r="M468" s="24"/>
      <x:c r="N468" s="27" t="s">
        <x:v>623</x:v>
      </x:c>
      <x:c r="O468" s="27"/>
      <x:c r="P468" s="26"/>
      <x:c r="Q468" s="27"/>
      <x:c r="R468" s="22">
        <x:f>IF(N468="","تکمیل نشده",IF(N468="ادغام با تفصیلی دیگر",IF(O468="","کلید مقصد خالی است",IF(IFERROR(MATCH(O468*1,$A:$A,0),0)=0,"کلید مقصد در این فهرست نیست",IF(O468*1=A468,"ادغام با خودش","OK"))),"OK"))</x:f>
      </x:c>
      <x:c r="S468" s="28"/>
    </x:row>
    <x:row r="469" spans="1:19">
      <x:c r="A469" s="21">
        <x:v>3275</x:v>
      </x:c>
      <x:c r="B469" s="22" t="s">
        <x:v>143</x:v>
      </x:c>
      <x:c r="C469" s="22" t="s">
        <x:v>21</x:v>
      </x:c>
      <x:c r="D469" s="22" t="s">
        <x:v>719</x:v>
      </x:c>
      <x:c r="E469" s="22" t="s">
        <x:v>1179</x:v>
      </x:c>
      <x:c r="F469" s="22" t="s">
        <x:v>357</x:v>
      </x:c>
      <x:c r="G469" s="22">
        <x:v>10</x:v>
      </x:c>
      <x:c r="H469" s="23">
        <x:v>2465491500</x:v>
      </x:c>
      <x:c r="I469" s="23">
        <x:v>3287322000</x:v>
      </x:c>
      <x:c r="J469" s="23">
        <x:f>H469-I469</x:f>
      </x:c>
      <x:c r="K469" s="22">
        <x:v>1</x:v>
      </x:c>
      <x:c r="L469" s="24" t="s">
        <x:v>623</x:v>
      </x:c>
      <x:c r="M469" s="24"/>
      <x:c r="N469" s="27" t="s">
        <x:v>623</x:v>
      </x:c>
      <x:c r="O469" s="27"/>
      <x:c r="P469" s="26"/>
      <x:c r="Q469" s="27"/>
      <x:c r="R469" s="22">
        <x:f>IF(N469="","تکمیل نشده",IF(N469="ادغام با تفصیلی دیگر",IF(O469="","کلید مقصد خالی است",IF(IFERROR(MATCH(O469*1,$A:$A,0),0)=0,"کلید مقصد در این فهرست نیست",IF(O469*1=A469,"ادغام با خودش","OK"))),"OK"))</x:f>
      </x:c>
      <x:c r="S469" s="28"/>
    </x:row>
    <x:row r="470" spans="1:19">
      <x:c r="A470" s="21">
        <x:v>3767</x:v>
      </x:c>
      <x:c r="B470" s="22" t="s">
        <x:v>143</x:v>
      </x:c>
      <x:c r="C470" s="22" t="s">
        <x:v>21</x:v>
      </x:c>
      <x:c r="D470" s="22" t="s">
        <x:v>780</x:v>
      </x:c>
      <x:c r="E470" s="22" t="s">
        <x:v>1180</x:v>
      </x:c>
      <x:c r="F470" s="22" t="s">
        <x:v>357</x:v>
      </x:c>
      <x:c r="G470" s="22">
        <x:v>4</x:v>
      </x:c>
      <x:c r="H470" s="23">
        <x:v>388617250</x:v>
      </x:c>
      <x:c r="I470" s="23">
        <x:v>388617250</x:v>
      </x:c>
      <x:c r="J470" s="23">
        <x:f>H470-I470</x:f>
      </x:c>
      <x:c r="K470" s="22">
        <x:v>1</x:v>
      </x:c>
      <x:c r="L470" s="24" t="s">
        <x:v>623</x:v>
      </x:c>
      <x:c r="M470" s="24"/>
      <x:c r="N470" s="27" t="s">
        <x:v>623</x:v>
      </x:c>
      <x:c r="O470" s="27"/>
      <x:c r="P470" s="26"/>
      <x:c r="Q470" s="27"/>
      <x:c r="R470" s="22">
        <x:f>IF(N470="","تکمیل نشده",IF(N470="ادغام با تفصیلی دیگر",IF(O470="","کلید مقصد خالی است",IF(IFERROR(MATCH(O470*1,$A:$A,0),0)=0,"کلید مقصد در این فهرست نیست",IF(O470*1=A470,"ادغام با خودش","OK"))),"OK"))</x:f>
      </x:c>
      <x:c r="S470" s="28"/>
    </x:row>
    <x:row r="471" spans="1:19">
      <x:c r="A471" s="21">
        <x:v>3870</x:v>
      </x:c>
      <x:c r="B471" s="22" t="s">
        <x:v>143</x:v>
      </x:c>
      <x:c r="C471" s="22" t="s">
        <x:v>21</x:v>
      </x:c>
      <x:c r="D471" s="22" t="s">
        <x:v>721</x:v>
      </x:c>
      <x:c r="E471" s="22" t="s">
        <x:v>1181</x:v>
      </x:c>
      <x:c r="F471" s="22" t="s">
        <x:v>357</x:v>
      </x:c>
      <x:c r="G471" s="22">
        <x:v>2</x:v>
      </x:c>
      <x:c r="H471" s="23">
        <x:v>175000000</x:v>
      </x:c>
      <x:c r="I471" s="23">
        <x:v>175000000</x:v>
      </x:c>
      <x:c r="J471" s="23">
        <x:f>H471-I471</x:f>
      </x:c>
      <x:c r="K471" s="22">
        <x:v>2</x:v>
      </x:c>
      <x:c r="L471" s="24" t="s">
        <x:v>623</x:v>
      </x:c>
      <x:c r="M471" s="24"/>
      <x:c r="N471" s="27" t="s">
        <x:v>623</x:v>
      </x:c>
      <x:c r="O471" s="27"/>
      <x:c r="P471" s="26"/>
      <x:c r="Q471" s="27"/>
      <x:c r="R471" s="22">
        <x:f>IF(N471="","تکمیل نشده",IF(N471="ادغام با تفصیلی دیگر",IF(O471="","کلید مقصد خالی است",IF(IFERROR(MATCH(O471*1,$A:$A,0),0)=0,"کلید مقصد در این فهرست نیست",IF(O471*1=A471,"ادغام با خودش","OK"))),"OK"))</x:f>
      </x:c>
      <x:c r="S471" s="28"/>
    </x:row>
    <x:row r="472" spans="1:19">
      <x:c r="A472" s="21">
        <x:v>3874</x:v>
      </x:c>
      <x:c r="B472" s="22" t="s">
        <x:v>143</x:v>
      </x:c>
      <x:c r="C472" s="22" t="s">
        <x:v>21</x:v>
      </x:c>
      <x:c r="D472" s="22" t="s">
        <x:v>1182</x:v>
      </x:c>
      <x:c r="E472" s="22" t="s">
        <x:v>1181</x:v>
      </x:c>
      <x:c r="F472" s="22" t="s">
        <x:v>357</x:v>
      </x:c>
      <x:c r="G472" s="22">
        <x:v>4</x:v>
      </x:c>
      <x:c r="H472" s="23">
        <x:v>105803812</x:v>
      </x:c>
      <x:c r="I472" s="23">
        <x:v>105803812</x:v>
      </x:c>
      <x:c r="J472" s="23">
        <x:f>H472-I472</x:f>
      </x:c>
      <x:c r="K472" s="22">
        <x:v>2</x:v>
      </x:c>
      <x:c r="L472" s="24" t="s">
        <x:v>675</x:v>
      </x:c>
      <x:c r="M472" s="24">
        <x:v>3870</x:v>
      </x:c>
      <x:c r="N472" s="27" t="s">
        <x:v>675</x:v>
      </x:c>
      <x:c r="O472" s="27">
        <x:v>3870</x:v>
      </x:c>
      <x:c r="P472" s="26"/>
      <x:c r="Q472" s="27"/>
      <x:c r="R472" s="22">
        <x:f>IF(N472="","تکمیل نشده",IF(N472="ادغام با تفصیلی دیگر",IF(O472="","کلید مقصد خالی است",IF(IFERROR(MATCH(O472*1,$A:$A,0),0)=0,"کلید مقصد در این فهرست نیست",IF(O472*1=A472,"ادغام با خودش","OK"))),"OK"))</x:f>
      </x:c>
      <x:c r="S472" s="28"/>
    </x:row>
    <x:row r="473" spans="1:19">
      <x:c r="A473" s="21">
        <x:v>3278</x:v>
      </x:c>
      <x:c r="B473" s="22" t="s">
        <x:v>143</x:v>
      </x:c>
      <x:c r="C473" s="22" t="s">
        <x:v>24</x:v>
      </x:c>
      <x:c r="D473" s="22" t="s">
        <x:v>719</x:v>
      </x:c>
      <x:c r="E473" s="22" t="s">
        <x:v>837</x:v>
      </x:c>
      <x:c r="F473" s="22" t="s">
        <x:v>358</x:v>
      </x:c>
      <x:c r="G473" s="22">
        <x:v>7</x:v>
      </x:c>
      <x:c r="H473" s="23">
        <x:v>31683776</x:v>
      </x:c>
      <x:c r="I473" s="23">
        <x:v>31683776</x:v>
      </x:c>
      <x:c r="J473" s="23">
        <x:f>H473-I473</x:f>
      </x:c>
      <x:c r="K473" s="22">
        <x:v>3</x:v>
      </x:c>
      <x:c r="L473" s="24" t="s">
        <x:v>675</x:v>
      </x:c>
      <x:c r="M473" s="24">
        <x:v>2327</x:v>
      </x:c>
      <x:c r="N473" s="27" t="s">
        <x:v>675</x:v>
      </x:c>
      <x:c r="O473" s="27">
        <x:v>2327</x:v>
      </x:c>
      <x:c r="P473" s="26"/>
      <x:c r="Q473" s="27"/>
      <x:c r="R473" s="22">
        <x:f>IF(N473="","تکمیل نشده",IF(N473="ادغام با تفصیلی دیگر",IF(O473="","کلید مقصد خالی است",IF(IFERROR(MATCH(O473*1,$A:$A,0),0)=0,"کلید مقصد در این فهرست نیست",IF(O473*1=A473,"ادغام با خودش","OK"))),"OK"))</x:f>
      </x:c>
      <x:c r="S473" s="28"/>
    </x:row>
    <x:row r="474" spans="1:19">
      <x:c r="A474" s="21">
        <x:v>3283</x:v>
      </x:c>
      <x:c r="B474" s="22" t="s">
        <x:v>143</x:v>
      </x:c>
      <x:c r="C474" s="22" t="s">
        <x:v>27</x:v>
      </x:c>
      <x:c r="D474" s="22" t="s">
        <x:v>719</x:v>
      </x:c>
      <x:c r="E474" s="22" t="s">
        <x:v>1183</x:v>
      </x:c>
      <x:c r="F474" s="22" t="s">
        <x:v>359</x:v>
      </x:c>
      <x:c r="G474" s="22">
        <x:v>13</x:v>
      </x:c>
      <x:c r="H474" s="23">
        <x:v>346901945</x:v>
      </x:c>
      <x:c r="I474" s="23">
        <x:v>433004145</x:v>
      </x:c>
      <x:c r="J474" s="23">
        <x:f>H474-I474</x:f>
      </x:c>
      <x:c r="K474" s="22">
        <x:v>1</x:v>
      </x:c>
      <x:c r="L474" s="24" t="s">
        <x:v>623</x:v>
      </x:c>
      <x:c r="M474" s="24"/>
      <x:c r="N474" s="27" t="s">
        <x:v>623</x:v>
      </x:c>
      <x:c r="O474" s="27"/>
      <x:c r="P474" s="26"/>
      <x:c r="Q474" s="27"/>
      <x:c r="R474" s="22">
        <x:f>IF(N474="","تکمیل نشده",IF(N474="ادغام با تفصیلی دیگر",IF(O474="","کلید مقصد خالی است",IF(IFERROR(MATCH(O474*1,$A:$A,0),0)=0,"کلید مقصد در این فهرست نیست",IF(O474*1=A474,"ادغام با خودش","OK"))),"OK"))</x:f>
      </x:c>
      <x:c r="S474" s="28"/>
    </x:row>
    <x:row r="475" spans="1:19">
      <x:c r="A475" s="21">
        <x:v>3285</x:v>
      </x:c>
      <x:c r="B475" s="22" t="s">
        <x:v>143</x:v>
      </x:c>
      <x:c r="C475" s="22" t="s">
        <x:v>265</x:v>
      </x:c>
      <x:c r="D475" s="22" t="s">
        <x:v>719</x:v>
      </x:c>
      <x:c r="E475" s="22" t="s">
        <x:v>1184</x:v>
      </x:c>
      <x:c r="F475" s="22" t="s">
        <x:v>360</x:v>
      </x:c>
      <x:c r="G475" s="22">
        <x:v>9</x:v>
      </x:c>
      <x:c r="H475" s="23">
        <x:v>974733769</x:v>
      </x:c>
      <x:c r="I475" s="23">
        <x:v>1541779345</x:v>
      </x:c>
      <x:c r="J475" s="23">
        <x:f>H475-I475</x:f>
      </x:c>
      <x:c r="K475" s="22">
        <x:v>1</x:v>
      </x:c>
      <x:c r="L475" s="24" t="s">
        <x:v>623</x:v>
      </x:c>
      <x:c r="M475" s="24"/>
      <x:c r="N475" s="27" t="s">
        <x:v>623</x:v>
      </x:c>
      <x:c r="O475" s="27"/>
      <x:c r="P475" s="26"/>
      <x:c r="Q475" s="27"/>
      <x:c r="R475" s="22">
        <x:f>IF(N475="","تکمیل نشده",IF(N475="ادغام با تفصیلی دیگر",IF(O475="","کلید مقصد خالی است",IF(IFERROR(MATCH(O475*1,$A:$A,0),0)=0,"کلید مقصد در این فهرست نیست",IF(O475*1=A475,"ادغام با خودش","OK"))),"OK"))</x:f>
      </x:c>
      <x:c r="S475" s="28"/>
    </x:row>
    <x:row r="476" spans="1:19">
      <x:c r="A476" s="21">
        <x:v>3287</x:v>
      </x:c>
      <x:c r="B476" s="22" t="s">
        <x:v>143</x:v>
      </x:c>
      <x:c r="C476" s="22" t="s">
        <x:v>361</x:v>
      </x:c>
      <x:c r="D476" s="22" t="s">
        <x:v>719</x:v>
      </x:c>
      <x:c r="E476" s="22" t="s">
        <x:v>362</x:v>
      </x:c>
      <x:c r="F476" s="22" t="s">
        <x:v>362</x:v>
      </x:c>
      <x:c r="G476" s="22">
        <x:v>12</x:v>
      </x:c>
      <x:c r="H476" s="23">
        <x:v>12708000</x:v>
      </x:c>
      <x:c r="I476" s="23">
        <x:v>12708000</x:v>
      </x:c>
      <x:c r="J476" s="23">
        <x:f>H476-I476</x:f>
      </x:c>
      <x:c r="K476" s="22">
        <x:v>1</x:v>
      </x:c>
      <x:c r="L476" s="24" t="s">
        <x:v>620</x:v>
      </x:c>
      <x:c r="M476" s="24"/>
      <x:c r="N476" s="27" t="s">
        <x:v>620</x:v>
      </x:c>
      <x:c r="O476" s="27"/>
      <x:c r="P476" s="26"/>
      <x:c r="Q476" s="27"/>
      <x:c r="R476" s="22">
        <x:f>IF(N476="","تکمیل نشده",IF(N476="ادغام با تفصیلی دیگر",IF(O476="","کلید مقصد خالی است",IF(IFERROR(MATCH(O476*1,$A:$A,0),0)=0,"کلید مقصد در این فهرست نیست",IF(O476*1=A476,"ادغام با خودش","OK"))),"OK"))</x:f>
      </x:c>
      <x:c r="S476" s="28"/>
    </x:row>
    <x:row r="477" spans="1:19">
      <x:c r="A477" s="21">
        <x:v>3288</x:v>
      </x:c>
      <x:c r="B477" s="22" t="s">
        <x:v>143</x:v>
      </x:c>
      <x:c r="C477" s="22" t="s">
        <x:v>361</x:v>
      </x:c>
      <x:c r="D477" s="22" t="s">
        <x:v>627</x:v>
      </x:c>
      <x:c r="E477" s="22" t="s">
        <x:v>1185</x:v>
      </x:c>
      <x:c r="F477" s="22" t="s">
        <x:v>362</x:v>
      </x:c>
      <x:c r="G477" s="22">
        <x:v>2</x:v>
      </x:c>
      <x:c r="H477" s="23">
        <x:v>4800000</x:v>
      </x:c>
      <x:c r="I477" s="23">
        <x:v>4800000</x:v>
      </x:c>
      <x:c r="J477" s="23">
        <x:f>H477-I477</x:f>
      </x:c>
      <x:c r="K477" s="22">
        <x:v>1</x:v>
      </x:c>
      <x:c r="L477" s="24" t="s">
        <x:v>623</x:v>
      </x:c>
      <x:c r="M477" s="24"/>
      <x:c r="N477" s="27" t="s">
        <x:v>623</x:v>
      </x:c>
      <x:c r="O477" s="27"/>
      <x:c r="P477" s="26"/>
      <x:c r="Q477" s="27"/>
      <x:c r="R477" s="22">
        <x:f>IF(N477="","تکمیل نشده",IF(N477="ادغام با تفصیلی دیگر",IF(O477="","کلید مقصد خالی است",IF(IFERROR(MATCH(O477*1,$A:$A,0),0)=0,"کلید مقصد در این فهرست نیست",IF(O477*1=A477,"ادغام با خودش","OK"))),"OK"))</x:f>
      </x:c>
      <x:c r="S477" s="28"/>
    </x:row>
    <x:row r="478" spans="1:19">
      <x:c r="A478" s="21">
        <x:v>3291</x:v>
      </x:c>
      <x:c r="B478" s="22" t="s">
        <x:v>143</x:v>
      </x:c>
      <x:c r="C478" s="22" t="s">
        <x:v>269</x:v>
      </x:c>
      <x:c r="D478" s="22" t="s">
        <x:v>1059</x:v>
      </x:c>
      <x:c r="E478" s="22" t="s">
        <x:v>1186</x:v>
      </x:c>
      <x:c r="F478" s="22" t="s">
        <x:v>363</x:v>
      </x:c>
      <x:c r="G478" s="22">
        <x:v>4</x:v>
      </x:c>
      <x:c r="H478" s="23">
        <x:v>440335530</x:v>
      </x:c>
      <x:c r="I478" s="23">
        <x:v>440335530</x:v>
      </x:c>
      <x:c r="J478" s="23">
        <x:f>H478-I478</x:f>
      </x:c>
      <x:c r="K478" s="22">
        <x:v>2</x:v>
      </x:c>
      <x:c r="L478" s="24" t="s">
        <x:v>623</x:v>
      </x:c>
      <x:c r="M478" s="24"/>
      <x:c r="N478" s="27" t="s">
        <x:v>623</x:v>
      </x:c>
      <x:c r="O478" s="27"/>
      <x:c r="P478" s="26"/>
      <x:c r="Q478" s="27"/>
      <x:c r="R478" s="22">
        <x:f>IF(N478="","تکمیل نشده",IF(N478="ادغام با تفصیلی دیگر",IF(O478="","کلید مقصد خالی است",IF(IFERROR(MATCH(O478*1,$A:$A,0),0)=0,"کلید مقصد در این فهرست نیست",IF(O478*1=A478,"ادغام با خودش","OK"))),"OK"))</x:f>
      </x:c>
      <x:c r="S478" s="28"/>
    </x:row>
    <x:row r="479" spans="1:19">
      <x:c r="A479" s="21">
        <x:v>3292</x:v>
      </x:c>
      <x:c r="B479" s="22" t="s">
        <x:v>143</x:v>
      </x:c>
      <x:c r="C479" s="22" t="s">
        <x:v>269</x:v>
      </x:c>
      <x:c r="D479" s="22" t="s">
        <x:v>1061</x:v>
      </x:c>
      <x:c r="E479" s="22" t="s">
        <x:v>1186</x:v>
      </x:c>
      <x:c r="F479" s="22" t="s">
        <x:v>363</x:v>
      </x:c>
      <x:c r="G479" s="22">
        <x:v>3</x:v>
      </x:c>
      <x:c r="H479" s="23">
        <x:v>33443952</x:v>
      </x:c>
      <x:c r="I479" s="23">
        <x:v>33443952</x:v>
      </x:c>
      <x:c r="J479" s="23">
        <x:f>H479-I479</x:f>
      </x:c>
      <x:c r="K479" s="22">
        <x:v>2</x:v>
      </x:c>
      <x:c r="L479" s="24" t="s">
        <x:v>675</x:v>
      </x:c>
      <x:c r="M479" s="24">
        <x:v>3291</x:v>
      </x:c>
      <x:c r="N479" s="27" t="s">
        <x:v>675</x:v>
      </x:c>
      <x:c r="O479" s="27">
        <x:v>3291</x:v>
      </x:c>
      <x:c r="P479" s="26"/>
      <x:c r="Q479" s="27"/>
      <x:c r="R479" s="22">
        <x:f>IF(N479="","تکمیل نشده",IF(N479="ادغام با تفصیلی دیگر",IF(O479="","کلید مقصد خالی است",IF(IFERROR(MATCH(O479*1,$A:$A,0),0)=0,"کلید مقصد در این فهرست نیست",IF(O479*1=A479,"ادغام با خودش","OK"))),"OK"))</x:f>
      </x:c>
      <x:c r="S479" s="28"/>
    </x:row>
    <x:row r="480" spans="1:19">
      <x:c r="A480" s="21">
        <x:v>3296</x:v>
      </x:c>
      <x:c r="B480" s="22" t="s">
        <x:v>143</x:v>
      </x:c>
      <x:c r="C480" s="22" t="s">
        <x:v>34</x:v>
      </x:c>
      <x:c r="D480" s="22" t="s">
        <x:v>850</x:v>
      </x:c>
      <x:c r="E480" s="22" t="s">
        <x:v>1187</x:v>
      </x:c>
      <x:c r="F480" s="22" t="s">
        <x:v>364</x:v>
      </x:c>
      <x:c r="G480" s="22">
        <x:v>127</x:v>
      </x:c>
      <x:c r="H480" s="23">
        <x:v>1395344795</x:v>
      </x:c>
      <x:c r="I480" s="23">
        <x:v>1749559935</x:v>
      </x:c>
      <x:c r="J480" s="23">
        <x:f>H480-I480</x:f>
      </x:c>
      <x:c r="K480" s="22">
        <x:v>1</x:v>
      </x:c>
      <x:c r="L480" s="24" t="s">
        <x:v>623</x:v>
      </x:c>
      <x:c r="M480" s="24"/>
      <x:c r="N480" s="27" t="s">
        <x:v>623</x:v>
      </x:c>
      <x:c r="O480" s="27"/>
      <x:c r="P480" s="26"/>
      <x:c r="Q480" s="27"/>
      <x:c r="R480" s="22">
        <x:f>IF(N480="","تکمیل نشده",IF(N480="ادغام با تفصیلی دیگر",IF(O480="","کلید مقصد خالی است",IF(IFERROR(MATCH(O480*1,$A:$A,0),0)=0,"کلید مقصد در این فهرست نیست",IF(O480*1=A480,"ادغام با خودش","OK"))),"OK"))</x:f>
      </x:c>
      <x:c r="S480" s="28"/>
    </x:row>
    <x:row r="481" spans="1:19">
      <x:c r="A481" s="21">
        <x:v>3314</x:v>
      </x:c>
      <x:c r="B481" s="22" t="s">
        <x:v>143</x:v>
      </x:c>
      <x:c r="C481" s="22" t="s">
        <x:v>41</x:v>
      </x:c>
      <x:c r="D481" s="22" t="s">
        <x:v>719</x:v>
      </x:c>
      <x:c r="E481" s="22" t="s">
        <x:v>1188</x:v>
      </x:c>
      <x:c r="F481" s="22" t="s">
        <x:v>365</x:v>
      </x:c>
      <x:c r="G481" s="22">
        <x:v>2</x:v>
      </x:c>
      <x:c r="H481" s="23">
        <x:v>10300500</x:v>
      </x:c>
      <x:c r="I481" s="23">
        <x:v>10300500</x:v>
      </x:c>
      <x:c r="J481" s="23">
        <x:f>H481-I481</x:f>
      </x:c>
      <x:c r="K481" s="22">
        <x:v>1</x:v>
      </x:c>
      <x:c r="L481" s="24" t="s">
        <x:v>623</x:v>
      </x:c>
      <x:c r="M481" s="24"/>
      <x:c r="N481" s="27" t="s">
        <x:v>623</x:v>
      </x:c>
      <x:c r="O481" s="27"/>
      <x:c r="P481" s="26"/>
      <x:c r="Q481" s="27"/>
      <x:c r="R481" s="22">
        <x:f>IF(N481="","تکمیل نشده",IF(N481="ادغام با تفصیلی دیگر",IF(O481="","کلید مقصد خالی است",IF(IFERROR(MATCH(O481*1,$A:$A,0),0)=0,"کلید مقصد در این فهرست نیست",IF(O481*1=A481,"ادغام با خودش","OK"))),"OK"))</x:f>
      </x:c>
      <x:c r="S481" s="28"/>
    </x:row>
    <x:row r="482" spans="1:19">
      <x:c r="A482" s="21">
        <x:v>3319</x:v>
      </x:c>
      <x:c r="B482" s="22" t="s">
        <x:v>143</x:v>
      </x:c>
      <x:c r="C482" s="22" t="s">
        <x:v>292</x:v>
      </x:c>
      <x:c r="D482" s="22" t="s">
        <x:v>627</x:v>
      </x:c>
      <x:c r="E482" s="22" t="s">
        <x:v>1189</x:v>
      </x:c>
      <x:c r="F482" s="22" t="s">
        <x:v>366</x:v>
      </x:c>
      <x:c r="G482" s="22">
        <x:v>2</x:v>
      </x:c>
      <x:c r="H482" s="23">
        <x:v>37800000</x:v>
      </x:c>
      <x:c r="I482" s="23">
        <x:v>37800000</x:v>
      </x:c>
      <x:c r="J482" s="23">
        <x:f>H482-I482</x:f>
      </x:c>
      <x:c r="K482" s="22">
        <x:v>1</x:v>
      </x:c>
      <x:c r="L482" s="24" t="s">
        <x:v>623</x:v>
      </x:c>
      <x:c r="M482" s="24"/>
      <x:c r="N482" s="27" t="s">
        <x:v>623</x:v>
      </x:c>
      <x:c r="O482" s="27"/>
      <x:c r="P482" s="26"/>
      <x:c r="Q482" s="27"/>
      <x:c r="R482" s="22">
        <x:f>IF(N482="","تکمیل نشده",IF(N482="ادغام با تفصیلی دیگر",IF(O482="","کلید مقصد خالی است",IF(IFERROR(MATCH(O482*1,$A:$A,0),0)=0,"کلید مقصد در این فهرست نیست",IF(O482*1=A482,"ادغام با خودش","OK"))),"OK"))</x:f>
      </x:c>
      <x:c r="S482" s="28"/>
    </x:row>
    <x:row r="483" spans="1:19">
      <x:c r="A483" s="21">
        <x:v>3322</x:v>
      </x:c>
      <x:c r="B483" s="22" t="s">
        <x:v>143</x:v>
      </x:c>
      <x:c r="C483" s="22" t="s">
        <x:v>369</x:v>
      </x:c>
      <x:c r="D483" s="22" t="s">
        <x:v>721</x:v>
      </x:c>
      <x:c r="E483" s="22" t="s">
        <x:v>1190</x:v>
      </x:c>
      <x:c r="F483" s="22" t="s">
        <x:v>370</x:v>
      </x:c>
      <x:c r="G483" s="22">
        <x:v>7</x:v>
      </x:c>
      <x:c r="H483" s="23">
        <x:v>61246500</x:v>
      </x:c>
      <x:c r="I483" s="23">
        <x:v>61246500</x:v>
      </x:c>
      <x:c r="J483" s="23">
        <x:f>H483-I483</x:f>
      </x:c>
      <x:c r="K483" s="22">
        <x:v>1</x:v>
      </x:c>
      <x:c r="L483" s="24" t="s">
        <x:v>623</x:v>
      </x:c>
      <x:c r="M483" s="24"/>
      <x:c r="N483" s="27" t="s">
        <x:v>623</x:v>
      </x:c>
      <x:c r="O483" s="27"/>
      <x:c r="P483" s="26"/>
      <x:c r="Q483" s="27"/>
      <x:c r="R483" s="22">
        <x:f>IF(N483="","تکمیل نشده",IF(N483="ادغام با تفصیلی دیگر",IF(O483="","کلید مقصد خالی است",IF(IFERROR(MATCH(O483*1,$A:$A,0),0)=0,"کلید مقصد در این فهرست نیست",IF(O483*1=A483,"ادغام با خودش","OK"))),"OK"))</x:f>
      </x:c>
      <x:c r="S483" s="28"/>
    </x:row>
    <x:row r="484" spans="1:19">
      <x:c r="A484" s="21">
        <x:v>3323</x:v>
      </x:c>
      <x:c r="B484" s="22" t="s">
        <x:v>143</x:v>
      </x:c>
      <x:c r="C484" s="22" t="s">
        <x:v>369</x:v>
      </x:c>
      <x:c r="D484" s="22" t="s">
        <x:v>723</x:v>
      </x:c>
      <x:c r="E484" s="22" t="s">
        <x:v>1191</x:v>
      </x:c>
      <x:c r="F484" s="22" t="s">
        <x:v>370</x:v>
      </x:c>
      <x:c r="G484" s="22">
        <x:v>7</x:v>
      </x:c>
      <x:c r="H484" s="23">
        <x:v>6089580</x:v>
      </x:c>
      <x:c r="I484" s="23">
        <x:v>10738980</x:v>
      </x:c>
      <x:c r="J484" s="23">
        <x:f>H484-I484</x:f>
      </x:c>
      <x:c r="K484" s="22">
        <x:v>1</x:v>
      </x:c>
      <x:c r="L484" s="24" t="s">
        <x:v>623</x:v>
      </x:c>
      <x:c r="M484" s="24"/>
      <x:c r="N484" s="27" t="s">
        <x:v>623</x:v>
      </x:c>
      <x:c r="O484" s="27"/>
      <x:c r="P484" s="26"/>
      <x:c r="Q484" s="27"/>
      <x:c r="R484" s="22">
        <x:f>IF(N484="","تکمیل نشده",IF(N484="ادغام با تفصیلی دیگر",IF(O484="","کلید مقصد خالی است",IF(IFERROR(MATCH(O484*1,$A:$A,0),0)=0,"کلید مقصد در این فهرست نیست",IF(O484*1=A484,"ادغام با خودش","OK"))),"OK"))</x:f>
      </x:c>
      <x:c r="S484" s="28"/>
    </x:row>
    <x:row r="485" spans="1:19">
      <x:c r="A485" s="21">
        <x:v>3324</x:v>
      </x:c>
      <x:c r="B485" s="22" t="s">
        <x:v>143</x:v>
      </x:c>
      <x:c r="C485" s="22" t="s">
        <x:v>369</x:v>
      </x:c>
      <x:c r="D485" s="22" t="s">
        <x:v>725</x:v>
      </x:c>
      <x:c r="E485" s="22" t="s">
        <x:v>1192</x:v>
      </x:c>
      <x:c r="F485" s="22" t="s">
        <x:v>370</x:v>
      </x:c>
      <x:c r="G485" s="22">
        <x:v>12</x:v>
      </x:c>
      <x:c r="H485" s="23">
        <x:v>3300000</x:v>
      </x:c>
      <x:c r="I485" s="23">
        <x:v>3300000</x:v>
      </x:c>
      <x:c r="J485" s="23">
        <x:f>H485-I485</x:f>
      </x:c>
      <x:c r="K485" s="22">
        <x:v>1</x:v>
      </x:c>
      <x:c r="L485" s="24" t="s">
        <x:v>623</x:v>
      </x:c>
      <x:c r="M485" s="24"/>
      <x:c r="N485" s="27" t="s">
        <x:v>623</x:v>
      </x:c>
      <x:c r="O485" s="27"/>
      <x:c r="P485" s="26"/>
      <x:c r="Q485" s="27"/>
      <x:c r="R485" s="22">
        <x:f>IF(N485="","تکمیل نشده",IF(N485="ادغام با تفصیلی دیگر",IF(O485="","کلید مقصد خالی است",IF(IFERROR(MATCH(O485*1,$A:$A,0),0)=0,"کلید مقصد در این فهرست نیست",IF(O485*1=A485,"ادغام با خودش","OK"))),"OK"))</x:f>
      </x:c>
      <x:c r="S485" s="28"/>
    </x:row>
    <x:row r="486" spans="1:19">
      <x:c r="A486" s="21">
        <x:v>3329</x:v>
      </x:c>
      <x:c r="B486" s="22" t="s">
        <x:v>143</x:v>
      </x:c>
      <x:c r="C486" s="22" t="s">
        <x:v>371</x:v>
      </x:c>
      <x:c r="D486" s="22" t="s">
        <x:v>619</x:v>
      </x:c>
      <x:c r="E486" s="22" t="s">
        <x:v>372</x:v>
      </x:c>
      <x:c r="F486" s="22" t="s">
        <x:v>372</x:v>
      </x:c>
      <x:c r="G486" s="22">
        <x:v>17</x:v>
      </x:c>
      <x:c r="H486" s="23">
        <x:v>50603562</x:v>
      </x:c>
      <x:c r="I486" s="23">
        <x:v>50603562</x:v>
      </x:c>
      <x:c r="J486" s="23">
        <x:f>H486-I486</x:f>
      </x:c>
      <x:c r="K486" s="22">
        <x:v>1</x:v>
      </x:c>
      <x:c r="L486" s="24" t="s">
        <x:v>620</x:v>
      </x:c>
      <x:c r="M486" s="24"/>
      <x:c r="N486" s="27" t="s">
        <x:v>620</x:v>
      </x:c>
      <x:c r="O486" s="27"/>
      <x:c r="P486" s="26"/>
      <x:c r="Q486" s="27"/>
      <x:c r="R486" s="22">
        <x:f>IF(N486="","تکمیل نشده",IF(N486="ادغام با تفصیلی دیگر",IF(O486="","کلید مقصد خالی است",IF(IFERROR(MATCH(O486*1,$A:$A,0),0)=0,"کلید مقصد در این فهرست نیست",IF(O486*1=A486,"ادغام با خودش","OK"))),"OK"))</x:f>
      </x:c>
      <x:c r="S486" s="28"/>
    </x:row>
    <x:row r="487" spans="1:19">
      <x:c r="A487" s="21">
        <x:v>3331</x:v>
      </x:c>
      <x:c r="B487" s="22" t="s">
        <x:v>143</x:v>
      </x:c>
      <x:c r="C487" s="22" t="s">
        <x:v>336</x:v>
      </x:c>
      <x:c r="D487" s="22" t="s">
        <x:v>619</x:v>
      </x:c>
      <x:c r="E487" s="22" t="s">
        <x:v>373</x:v>
      </x:c>
      <x:c r="F487" s="22" t="s">
        <x:v>373</x:v>
      </x:c>
      <x:c r="G487" s="22">
        <x:v>2</x:v>
      </x:c>
      <x:c r="H487" s="23">
        <x:v>100500</x:v>
      </x:c>
      <x:c r="I487" s="23">
        <x:v>0</x:v>
      </x:c>
      <x:c r="J487" s="23">
        <x:f>H487-I487</x:f>
      </x:c>
      <x:c r="K487" s="22">
        <x:v>1</x:v>
      </x:c>
      <x:c r="L487" s="24" t="s">
        <x:v>620</x:v>
      </x:c>
      <x:c r="M487" s="24"/>
      <x:c r="N487" s="27" t="s">
        <x:v>620</x:v>
      </x:c>
      <x:c r="O487" s="27"/>
      <x:c r="P487" s="26"/>
      <x:c r="Q487" s="27"/>
      <x:c r="R487" s="22">
        <x:f>IF(N487="","تکمیل نشده",IF(N487="ادغام با تفصیلی دیگر",IF(O487="","کلید مقصد خالی است",IF(IFERROR(MATCH(O487*1,$A:$A,0),0)=0,"کلید مقصد در این فهرست نیست",IF(O487*1=A487,"ادغام با خودش","OK"))),"OK"))</x:f>
      </x:c>
      <x:c r="S487" s="28"/>
    </x:row>
    <x:row r="488" spans="1:19">
      <x:c r="A488" s="21">
        <x:v>3334</x:v>
      </x:c>
      <x:c r="B488" s="22" t="s">
        <x:v>143</x:v>
      </x:c>
      <x:c r="C488" s="22" t="s">
        <x:v>207</x:v>
      </x:c>
      <x:c r="D488" s="22" t="s">
        <x:v>1059</x:v>
      </x:c>
      <x:c r="E488" s="22" t="s">
        <x:v>1193</x:v>
      </x:c>
      <x:c r="F488" s="22" t="s">
        <x:v>374</x:v>
      </x:c>
      <x:c r="G488" s="22">
        <x:v>14</x:v>
      </x:c>
      <x:c r="H488" s="23">
        <x:v>154727898</x:v>
      </x:c>
      <x:c r="I488" s="23">
        <x:v>183754893</x:v>
      </x:c>
      <x:c r="J488" s="23">
        <x:f>H488-I488</x:f>
      </x:c>
      <x:c r="K488" s="22">
        <x:v>1</x:v>
      </x:c>
      <x:c r="L488" s="24" t="s">
        <x:v>623</x:v>
      </x:c>
      <x:c r="M488" s="24"/>
      <x:c r="N488" s="27" t="s">
        <x:v>623</x:v>
      </x:c>
      <x:c r="O488" s="27"/>
      <x:c r="P488" s="26"/>
      <x:c r="Q488" s="27"/>
      <x:c r="R488" s="22">
        <x:f>IF(N488="","تکمیل نشده",IF(N488="ادغام با تفصیلی دیگر",IF(O488="","کلید مقصد خالی است",IF(IFERROR(MATCH(O488*1,$A:$A,0),0)=0,"کلید مقصد در این فهرست نیست",IF(O488*1=A488,"ادغام با خودش","OK"))),"OK"))</x:f>
      </x:c>
      <x:c r="S488" s="28"/>
    </x:row>
    <x:row r="489" spans="1:19">
      <x:c r="A489" s="21">
        <x:v>3345</x:v>
      </x:c>
      <x:c r="B489" s="22" t="s">
        <x:v>143</x:v>
      </x:c>
      <x:c r="C489" s="22" t="s">
        <x:v>375</x:v>
      </x:c>
      <x:c r="D489" s="22" t="s">
        <x:v>619</x:v>
      </x:c>
      <x:c r="E489" s="22" t="s">
        <x:v>376</x:v>
      </x:c>
      <x:c r="F489" s="22" t="s">
        <x:v>376</x:v>
      </x:c>
      <x:c r="G489" s="22">
        <x:v>40</x:v>
      </x:c>
      <x:c r="H489" s="23">
        <x:v>1341107738</x:v>
      </x:c>
      <x:c r="I489" s="23">
        <x:v>1342307638</x:v>
      </x:c>
      <x:c r="J489" s="23">
        <x:f>H489-I489</x:f>
      </x:c>
      <x:c r="K489" s="22">
        <x:v>1</x:v>
      </x:c>
      <x:c r="L489" s="24" t="s">
        <x:v>620</x:v>
      </x:c>
      <x:c r="M489" s="24"/>
      <x:c r="N489" s="27" t="s">
        <x:v>620</x:v>
      </x:c>
      <x:c r="O489" s="27"/>
      <x:c r="P489" s="26"/>
      <x:c r="Q489" s="27"/>
      <x:c r="R489" s="22">
        <x:f>IF(N489="","تکمیل نشده",IF(N489="ادغام با تفصیلی دیگر",IF(O489="","کلید مقصد خالی است",IF(IFERROR(MATCH(O489*1,$A:$A,0),0)=0,"کلید مقصد در این فهرست نیست",IF(O489*1=A489,"ادغام با خودش","OK"))),"OK"))</x:f>
      </x:c>
      <x:c r="S489" s="28"/>
    </x:row>
    <x:row r="490" spans="1:19">
      <x:c r="A490" s="21">
        <x:v>3350</x:v>
      </x:c>
      <x:c r="B490" s="22" t="s">
        <x:v>143</x:v>
      </x:c>
      <x:c r="C490" s="22" t="s">
        <x:v>71</x:v>
      </x:c>
      <x:c r="D490" s="22" t="s">
        <x:v>727</x:v>
      </x:c>
      <x:c r="E490" s="22" t="s">
        <x:v>1194</x:v>
      </x:c>
      <x:c r="F490" s="22" t="s">
        <x:v>377</x:v>
      </x:c>
      <x:c r="G490" s="22">
        <x:v>48</x:v>
      </x:c>
      <x:c r="H490" s="23">
        <x:v>922888593</x:v>
      </x:c>
      <x:c r="I490" s="23">
        <x:v>1215201492</x:v>
      </x:c>
      <x:c r="J490" s="23">
        <x:f>H490-I490</x:f>
      </x:c>
      <x:c r="K490" s="22">
        <x:v>1</x:v>
      </x:c>
      <x:c r="L490" s="24" t="s">
        <x:v>623</x:v>
      </x:c>
      <x:c r="M490" s="24"/>
      <x:c r="N490" s="27" t="s">
        <x:v>623</x:v>
      </x:c>
      <x:c r="O490" s="27"/>
      <x:c r="P490" s="26"/>
      <x:c r="Q490" s="27"/>
      <x:c r="R490" s="22">
        <x:f>IF(N490="","تکمیل نشده",IF(N490="ادغام با تفصیلی دیگر",IF(O490="","کلید مقصد خالی است",IF(IFERROR(MATCH(O490*1,$A:$A,0),0)=0,"کلید مقصد در این فهرست نیست",IF(O490*1=A490,"ادغام با خودش","OK"))),"OK"))</x:f>
      </x:c>
      <x:c r="S490" s="28"/>
    </x:row>
    <x:row r="491" spans="1:19">
      <x:c r="A491" s="21">
        <x:v>3351</x:v>
      </x:c>
      <x:c r="B491" s="22" t="s">
        <x:v>143</x:v>
      </x:c>
      <x:c r="C491" s="22" t="s">
        <x:v>71</x:v>
      </x:c>
      <x:c r="D491" s="22" t="s">
        <x:v>729</x:v>
      </x:c>
      <x:c r="E491" s="22" t="s">
        <x:v>1195</x:v>
      </x:c>
      <x:c r="F491" s="22" t="s">
        <x:v>377</x:v>
      </x:c>
      <x:c r="G491" s="22">
        <x:v>12</x:v>
      </x:c>
      <x:c r="H491" s="23">
        <x:v>95602024</x:v>
      </x:c>
      <x:c r="I491" s="23">
        <x:v>164854180</x:v>
      </x:c>
      <x:c r="J491" s="23">
        <x:f>H491-I491</x:f>
      </x:c>
      <x:c r="K491" s="22">
        <x:v>1</x:v>
      </x:c>
      <x:c r="L491" s="24" t="s">
        <x:v>623</x:v>
      </x:c>
      <x:c r="M491" s="24"/>
      <x:c r="N491" s="27" t="s">
        <x:v>623</x:v>
      </x:c>
      <x:c r="O491" s="27"/>
      <x:c r="P491" s="26"/>
      <x:c r="Q491" s="27"/>
      <x:c r="R491" s="22">
        <x:f>IF(N491="","تکمیل نشده",IF(N491="ادغام با تفصیلی دیگر",IF(O491="","کلید مقصد خالی است",IF(IFERROR(MATCH(O491*1,$A:$A,0),0)=0,"کلید مقصد در این فهرست نیست",IF(O491*1=A491,"ادغام با خودش","OK"))),"OK"))</x:f>
      </x:c>
      <x:c r="S491" s="28"/>
    </x:row>
    <x:row r="492" spans="1:19">
      <x:c r="A492" s="21">
        <x:v>11465</x:v>
      </x:c>
      <x:c r="B492" s="22" t="s">
        <x:v>143</x:v>
      </x:c>
      <x:c r="C492" s="22" t="s">
        <x:v>378</x:v>
      </x:c>
      <x:c r="D492" s="22" t="s">
        <x:v>719</x:v>
      </x:c>
      <x:c r="E492" s="22" t="s">
        <x:v>288</x:v>
      </x:c>
      <x:c r="F492" s="22" t="s">
        <x:v>288</x:v>
      </x:c>
      <x:c r="G492" s="22">
        <x:v>4</x:v>
      </x:c>
      <x:c r="H492" s="23">
        <x:v>2000010</x:v>
      </x:c>
      <x:c r="I492" s="23">
        <x:v>1000</x:v>
      </x:c>
      <x:c r="J492" s="23">
        <x:f>H492-I492</x:f>
      </x:c>
      <x:c r="K492" s="22">
        <x:v>3</x:v>
      </x:c>
      <x:c r="L492" s="24" t="s">
        <x:v>620</x:v>
      </x:c>
      <x:c r="M492" s="24"/>
      <x:c r="N492" s="27" t="s">
        <x:v>620</x:v>
      </x:c>
      <x:c r="O492" s="27"/>
      <x:c r="P492" s="26"/>
      <x:c r="Q492" s="27"/>
      <x:c r="R492" s="22">
        <x:f>IF(N492="","تکمیل نشده",IF(N492="ادغام با تفصیلی دیگر",IF(O492="","کلید مقصد خالی است",IF(IFERROR(MATCH(O492*1,$A:$A,0),0)=0,"کلید مقصد در این فهرست نیست",IF(O492*1=A492,"ادغام با خودش","OK"))),"OK"))</x:f>
      </x:c>
      <x:c r="S492" s="28"/>
    </x:row>
    <x:row r="493" spans="1:19">
      <x:c r="A493" s="21">
        <x:v>3875</x:v>
      </x:c>
      <x:c r="B493" s="22" t="s">
        <x:v>143</x:v>
      </x:c>
      <x:c r="C493" s="22" t="s">
        <x:v>380</x:v>
      </x:c>
      <x:c r="D493" s="22" t="s">
        <x:v>1182</x:v>
      </x:c>
      <x:c r="E493" s="22" t="s">
        <x:v>1196</x:v>
      </x:c>
      <x:c r="F493" s="22" t="s">
        <x:v>381</x:v>
      </x:c>
      <x:c r="G493" s="22">
        <x:v>2</x:v>
      </x:c>
      <x:c r="H493" s="23">
        <x:v>43408387</x:v>
      </x:c>
      <x:c r="I493" s="23">
        <x:v>43408387</x:v>
      </x:c>
      <x:c r="J493" s="23">
        <x:f>H493-I493</x:f>
      </x:c>
      <x:c r="K493" s="22">
        <x:v>1</x:v>
      </x:c>
      <x:c r="L493" s="24" t="s">
        <x:v>623</x:v>
      </x:c>
      <x:c r="M493" s="24"/>
      <x:c r="N493" s="27" t="s">
        <x:v>623</x:v>
      </x:c>
      <x:c r="O493" s="27"/>
      <x:c r="P493" s="26"/>
      <x:c r="Q493" s="27"/>
      <x:c r="R493" s="22">
        <x:f>IF(N493="","تکمیل نشده",IF(N493="ادغام با تفصیلی دیگر",IF(O493="","کلید مقصد خالی است",IF(IFERROR(MATCH(O493*1,$A:$A,0),0)=0,"کلید مقصد در این فهرست نیست",IF(O493*1=A493,"ادغام با خودش","OK"))),"OK"))</x:f>
      </x:c>
      <x:c r="S493" s="28"/>
    </x:row>
    <x:row r="494" spans="1:19">
      <x:c r="A494" s="21">
        <x:v>3873</x:v>
      </x:c>
      <x:c r="B494" s="22" t="s">
        <x:v>143</x:v>
      </x:c>
      <x:c r="C494" s="22" t="s">
        <x:v>380</x:v>
      </x:c>
      <x:c r="D494" s="22" t="s">
        <x:v>693</x:v>
      </x:c>
      <x:c r="E494" s="22" t="s">
        <x:v>381</x:v>
      </x:c>
      <x:c r="F494" s="22" t="s">
        <x:v>381</x:v>
      </x:c>
      <x:c r="G494" s="22">
        <x:v>2</x:v>
      </x:c>
      <x:c r="H494" s="23">
        <x:v>35000000</x:v>
      </x:c>
      <x:c r="I494" s="23">
        <x:v>35000000</x:v>
      </x:c>
      <x:c r="J494" s="23">
        <x:f>H494-I494</x:f>
      </x:c>
      <x:c r="K494" s="22">
        <x:v>1</x:v>
      </x:c>
      <x:c r="L494" s="24" t="s">
        <x:v>620</x:v>
      </x:c>
      <x:c r="M494" s="24"/>
      <x:c r="N494" s="27" t="s">
        <x:v>620</x:v>
      </x:c>
      <x:c r="O494" s="27"/>
      <x:c r="P494" s="26"/>
      <x:c r="Q494" s="27"/>
      <x:c r="R494" s="22">
        <x:f>IF(N494="","تکمیل نشده",IF(N494="ادغام با تفصیلی دیگر",IF(O494="","کلید مقصد خالی است",IF(IFERROR(MATCH(O494*1,$A:$A,0),0)=0,"کلید مقصد در این فهرست نیست",IF(O494*1=A494,"ادغام با خودش","OK"))),"OK"))</x:f>
      </x:c>
      <x:c r="S494" s="28"/>
    </x:row>
    <x:row r="495" spans="1:19">
      <x:c r="A495" s="21">
        <x:v>3407</x:v>
      </x:c>
      <x:c r="B495" s="22" t="s">
        <x:v>150</x:v>
      </x:c>
      <x:c r="C495" s="22" t="s">
        <x:v>204</x:v>
      </x:c>
      <x:c r="D495" s="22" t="s">
        <x:v>619</x:v>
      </x:c>
      <x:c r="E495" s="22" t="s">
        <x:v>382</x:v>
      </x:c>
      <x:c r="F495" s="22" t="s">
        <x:v>382</x:v>
      </x:c>
      <x:c r="G495" s="22">
        <x:v>228</x:v>
      </x:c>
      <x:c r="H495" s="23">
        <x:v>204299612859</x:v>
      </x:c>
      <x:c r="I495" s="23">
        <x:v>430218235810</x:v>
      </x:c>
      <x:c r="J495" s="23">
        <x:f>H495-I495</x:f>
      </x:c>
      <x:c r="K495" s="22">
        <x:v>1</x:v>
      </x:c>
      <x:c r="L495" s="24" t="s">
        <x:v>620</x:v>
      </x:c>
      <x:c r="M495" s="24"/>
      <x:c r="N495" s="27" t="s">
        <x:v>620</x:v>
      </x:c>
      <x:c r="O495" s="27"/>
      <x:c r="P495" s="26"/>
      <x:c r="Q495" s="27"/>
      <x:c r="R495" s="22">
        <x:f>IF(N495="","تکمیل نشده",IF(N495="ادغام با تفصیلی دیگر",IF(O495="","کلید مقصد خالی است",IF(IFERROR(MATCH(O495*1,$A:$A,0),0)=0,"کلید مقصد در این فهرست نیست",IF(O495*1=A495,"ادغام با خودش","OK"))),"OK"))</x:f>
      </x:c>
      <x:c r="S495" s="28"/>
    </x:row>
    <x:row r="496" spans="1:19">
      <x:c r="A496" s="21">
        <x:v>3410</x:v>
      </x:c>
      <x:c r="B496" s="22" t="s">
        <x:v>153</x:v>
      </x:c>
      <x:c r="C496" s="22" t="s">
        <x:v>204</x:v>
      </x:c>
      <x:c r="D496" s="22" t="s">
        <x:v>619</x:v>
      </x:c>
      <x:c r="E496" s="22" t="s">
        <x:v>384</x:v>
      </x:c>
      <x:c r="F496" s="22" t="s">
        <x:v>384</x:v>
      </x:c>
      <x:c r="G496" s="22">
        <x:v>96</x:v>
      </x:c>
      <x:c r="H496" s="23">
        <x:v>3000</x:v>
      </x:c>
      <x:c r="I496" s="23">
        <x:v>34070287307</x:v>
      </x:c>
      <x:c r="J496" s="23">
        <x:f>H496-I496</x:f>
      </x:c>
      <x:c r="K496" s="22">
        <x:v>1</x:v>
      </x:c>
      <x:c r="L496" s="24" t="s">
        <x:v>620</x:v>
      </x:c>
      <x:c r="M496" s="24"/>
      <x:c r="N496" s="27" t="s">
        <x:v>620</x:v>
      </x:c>
      <x:c r="O496" s="27"/>
      <x:c r="P496" s="26"/>
      <x:c r="Q496" s="27"/>
      <x:c r="R496" s="22">
        <x:f>IF(N496="","تکمیل نشده",IF(N496="ادغام با تفصیلی دیگر",IF(O496="","کلید مقصد خالی است",IF(IFERROR(MATCH(O496*1,$A:$A,0),0)=0,"کلید مقصد در این فهرست نیست",IF(O496*1=A496,"ادغام با خودش","OK"))),"OK"))</x:f>
      </x:c>
      <x:c r="S496" s="28"/>
    </x:row>
    <x:row r="497" spans="1:19">
      <x:c r="A497" s="21">
        <x:v>11172</x:v>
      </x:c>
      <x:c r="B497" s="22" t="s">
        <x:v>153</x:v>
      </x:c>
      <x:c r="C497" s="22" t="s">
        <x:v>14</x:v>
      </x:c>
      <x:c r="D497" s="22" t="s">
        <x:v>619</x:v>
      </x:c>
      <x:c r="E497" s="22" t="s">
        <x:v>387</x:v>
      </x:c>
      <x:c r="F497" s="22" t="s">
        <x:v>387</x:v>
      </x:c>
      <x:c r="G497" s="22">
        <x:v>6</x:v>
      </x:c>
      <x:c r="H497" s="23">
        <x:v>67630000</x:v>
      </x:c>
      <x:c r="I497" s="23">
        <x:v>0</x:v>
      </x:c>
      <x:c r="J497" s="23">
        <x:f>H497-I497</x:f>
      </x:c>
      <x:c r="K497" s="22">
        <x:v>1</x:v>
      </x:c>
      <x:c r="L497" s="24" t="s">
        <x:v>620</x:v>
      </x:c>
      <x:c r="M497" s="24"/>
      <x:c r="N497" s="27" t="s">
        <x:v>620</x:v>
      </x:c>
      <x:c r="O497" s="27"/>
      <x:c r="P497" s="26"/>
      <x:c r="Q497" s="27"/>
      <x:c r="R497" s="22">
        <x:f>IF(N497="","تکمیل نشده",IF(N497="ادغام با تفصیلی دیگر",IF(O497="","کلید مقصد خالی است",IF(IFERROR(MATCH(O497*1,$A:$A,0),0)=0,"کلید مقصد در این فهرست نیست",IF(O497*1=A497,"ادغام با خودش","OK"))),"OK"))</x:f>
      </x:c>
      <x:c r="S497" s="28"/>
    </x:row>
    <x:row r="498" spans="1:19">
      <x:c r="A498" s="21">
        <x:v>3414</x:v>
      </x:c>
      <x:c r="B498" s="22" t="s">
        <x:v>153</x:v>
      </x:c>
      <x:c r="C498" s="22" t="s">
        <x:v>207</x:v>
      </x:c>
      <x:c r="D498" s="22" t="s">
        <x:v>619</x:v>
      </x:c>
      <x:c r="E498" s="22" t="s">
        <x:v>388</x:v>
      </x:c>
      <x:c r="F498" s="22" t="s">
        <x:v>388</x:v>
      </x:c>
      <x:c r="G498" s="22">
        <x:v>179</x:v>
      </x:c>
      <x:c r="H498" s="23">
        <x:v>2174409068</x:v>
      </x:c>
      <x:c r="I498" s="23">
        <x:v>27495362256</x:v>
      </x:c>
      <x:c r="J498" s="23">
        <x:f>H498-I498</x:f>
      </x:c>
      <x:c r="K498" s="22">
        <x:v>1</x:v>
      </x:c>
      <x:c r="L498" s="24" t="s">
        <x:v>620</x:v>
      </x:c>
      <x:c r="M498" s="24"/>
      <x:c r="N498" s="27" t="s">
        <x:v>620</x:v>
      </x:c>
      <x:c r="O498" s="27"/>
      <x:c r="P498" s="26"/>
      <x:c r="Q498" s="27"/>
      <x:c r="R498" s="22">
        <x:f>IF(N498="","تکمیل نشده",IF(N498="ادغام با تفصیلی دیگر",IF(O498="","کلید مقصد خالی است",IF(IFERROR(MATCH(O498*1,$A:$A,0),0)=0,"کلید مقصد در این فهرست نیست",IF(O498*1=A498,"ادغام با خودش","OK"))),"OK"))</x:f>
      </x:c>
      <x:c r="S498" s="28"/>
    </x:row>
    <x:row r="499" spans="1:19">
      <x:c r="A499" s="21">
        <x:v>3416</x:v>
      </x:c>
      <x:c r="B499" s="22" t="s">
        <x:v>153</x:v>
      </x:c>
      <x:c r="C499" s="22" t="s">
        <x:v>202</x:v>
      </x:c>
      <x:c r="D499" s="22" t="s">
        <x:v>619</x:v>
      </x:c>
      <x:c r="E499" s="22" t="s">
        <x:v>389</x:v>
      </x:c>
      <x:c r="F499" s="22" t="s">
        <x:v>389</x:v>
      </x:c>
      <x:c r="G499" s="22">
        <x:v>94</x:v>
      </x:c>
      <x:c r="H499" s="23">
        <x:v>47343614809</x:v>
      </x:c>
      <x:c r="I499" s="23">
        <x:v>104780856</x:v>
      </x:c>
      <x:c r="J499" s="23">
        <x:f>H499-I499</x:f>
      </x:c>
      <x:c r="K499" s="22">
        <x:v>1</x:v>
      </x:c>
      <x:c r="L499" s="24" t="s">
        <x:v>620</x:v>
      </x:c>
      <x:c r="M499" s="24"/>
      <x:c r="N499" s="27" t="s">
        <x:v>620</x:v>
      </x:c>
      <x:c r="O499" s="27"/>
      <x:c r="P499" s="26"/>
      <x:c r="Q499" s="27"/>
      <x:c r="R499" s="22">
        <x:f>IF(N499="","تکمیل نشده",IF(N499="ادغام با تفصیلی دیگر",IF(O499="","کلید مقصد خالی است",IF(IFERROR(MATCH(O499*1,$A:$A,0),0)=0,"کلید مقصد در این فهرست نیست",IF(O499*1=A499,"ادغام با خودش","OK"))),"OK"))</x:f>
      </x:c>
      <x:c r="S499" s="28"/>
    </x:row>
    <x:row r="500" spans="1:19">
      <x:c r="A500" s="21">
        <x:v>3418</x:v>
      </x:c>
      <x:c r="B500" s="22" t="s">
        <x:v>153</x:v>
      </x:c>
      <x:c r="C500" s="22" t="s">
        <x:v>209</x:v>
      </x:c>
      <x:c r="D500" s="22" t="s">
        <x:v>619</x:v>
      </x:c>
      <x:c r="E500" s="22" t="s">
        <x:v>390</x:v>
      </x:c>
      <x:c r="F500" s="22" t="s">
        <x:v>390</x:v>
      </x:c>
      <x:c r="G500" s="22">
        <x:v>1</x:v>
      </x:c>
      <x:c r="H500" s="23">
        <x:v>107548583</x:v>
      </x:c>
      <x:c r="I500" s="23">
        <x:v>0</x:v>
      </x:c>
      <x:c r="J500" s="23">
        <x:f>H500-I500</x:f>
      </x:c>
      <x:c r="K500" s="22">
        <x:v>1</x:v>
      </x:c>
      <x:c r="L500" s="24" t="s">
        <x:v>620</x:v>
      </x:c>
      <x:c r="M500" s="24"/>
      <x:c r="N500" s="27" t="s">
        <x:v>620</x:v>
      </x:c>
      <x:c r="O500" s="27"/>
      <x:c r="P500" s="26"/>
      <x:c r="Q500" s="27"/>
      <x:c r="R500" s="22">
        <x:f>IF(N500="","تکمیل نشده",IF(N500="ادغام با تفصیلی دیگر",IF(O500="","کلید مقصد خالی است",IF(IFERROR(MATCH(O500*1,$A:$A,0),0)=0,"کلید مقصد در این فهرست نیست",IF(O500*1=A500,"ادغام با خودش","OK"))),"OK"))</x:f>
      </x:c>
      <x:c r="S500" s="28"/>
    </x:row>
    <x:row r="501" spans="1:19">
      <x:c r="A501" s="21">
        <x:v>3877</x:v>
      </x:c>
      <x:c r="B501" s="22" t="s">
        <x:v>153</x:v>
      </x:c>
      <x:c r="C501" s="22" t="s">
        <x:v>209</x:v>
      </x:c>
      <x:c r="D501" s="22" t="s">
        <x:v>1197</x:v>
      </x:c>
      <x:c r="E501" s="22" t="s">
        <x:v>1198</x:v>
      </x:c>
      <x:c r="F501" s="22" t="s">
        <x:v>390</x:v>
      </x:c>
      <x:c r="G501" s="22">
        <x:v>1</x:v>
      </x:c>
      <x:c r="H501" s="23">
        <x:v>76649376</x:v>
      </x:c>
      <x:c r="I501" s="23">
        <x:v>0</x:v>
      </x:c>
      <x:c r="J501" s="23">
        <x:f>H501-I501</x:f>
      </x:c>
      <x:c r="K501" s="22">
        <x:v>1</x:v>
      </x:c>
      <x:c r="L501" s="24" t="s">
        <x:v>623</x:v>
      </x:c>
      <x:c r="M501" s="24"/>
      <x:c r="N501" s="27" t="s">
        <x:v>623</x:v>
      </x:c>
      <x:c r="O501" s="27"/>
      <x:c r="P501" s="26"/>
      <x:c r="Q501" s="27"/>
      <x:c r="R501" s="22">
        <x:f>IF(N501="","تکمیل نشده",IF(N501="ادغام با تفصیلی دیگر",IF(O501="","کلید مقصد خالی است",IF(IFERROR(MATCH(O501*1,$A:$A,0),0)=0,"کلید مقصد در این فهرست نیست",IF(O501*1=A501,"ادغام با خودش","OK"))),"OK"))</x:f>
      </x:c>
      <x:c r="S501" s="28"/>
    </x:row>
    <x:row r="502" spans="1:19">
      <x:c r="A502" s="21">
        <x:v>3878</x:v>
      </x:c>
      <x:c r="B502" s="22" t="s">
        <x:v>153</x:v>
      </x:c>
      <x:c r="C502" s="22" t="s">
        <x:v>209</x:v>
      </x:c>
      <x:c r="D502" s="22" t="s">
        <x:v>1199</x:v>
      </x:c>
      <x:c r="E502" s="22" t="s">
        <x:v>1200</x:v>
      </x:c>
      <x:c r="F502" s="22" t="s">
        <x:v>390</x:v>
      </x:c>
      <x:c r="G502" s="22">
        <x:v>1</x:v>
      </x:c>
      <x:c r="H502" s="23">
        <x:v>218998213</x:v>
      </x:c>
      <x:c r="I502" s="23">
        <x:v>0</x:v>
      </x:c>
      <x:c r="J502" s="23">
        <x:f>H502-I502</x:f>
      </x:c>
      <x:c r="K502" s="22">
        <x:v>1</x:v>
      </x:c>
      <x:c r="L502" s="24" t="s">
        <x:v>623</x:v>
      </x:c>
      <x:c r="M502" s="24"/>
      <x:c r="N502" s="27" t="s">
        <x:v>623</x:v>
      </x:c>
      <x:c r="O502" s="27"/>
      <x:c r="P502" s="26"/>
      <x:c r="Q502" s="27"/>
      <x:c r="R502" s="22">
        <x:f>IF(N502="","تکمیل نشده",IF(N502="ادغام با تفصیلی دیگر",IF(O502="","کلید مقصد خالی است",IF(IFERROR(MATCH(O502*1,$A:$A,0),0)=0,"کلید مقصد در این فهرست نیست",IF(O502*1=A502,"ادغام با خودش","OK"))),"OK"))</x:f>
      </x:c>
      <x:c r="S502" s="28"/>
    </x:row>
    <x:row r="503" spans="1:19">
      <x:c r="A503" s="21">
        <x:v>3881</x:v>
      </x:c>
      <x:c r="B503" s="22" t="s">
        <x:v>153</x:v>
      </x:c>
      <x:c r="C503" s="22" t="s">
        <x:v>209</x:v>
      </x:c>
      <x:c r="D503" s="22" t="s">
        <x:v>1201</x:v>
      </x:c>
      <x:c r="E503" s="22" t="s">
        <x:v>1202</x:v>
      </x:c>
      <x:c r="F503" s="22" t="s">
        <x:v>390</x:v>
      </x:c>
      <x:c r="G503" s="22">
        <x:v>1</x:v>
      </x:c>
      <x:c r="H503" s="23">
        <x:v>225455748</x:v>
      </x:c>
      <x:c r="I503" s="23">
        <x:v>0</x:v>
      </x:c>
      <x:c r="J503" s="23">
        <x:f>H503-I503</x:f>
      </x:c>
      <x:c r="K503" s="22">
        <x:v>1</x:v>
      </x:c>
      <x:c r="L503" s="24" t="s">
        <x:v>623</x:v>
      </x:c>
      <x:c r="M503" s="24"/>
      <x:c r="N503" s="27" t="s">
        <x:v>623</x:v>
      </x:c>
      <x:c r="O503" s="27"/>
      <x:c r="P503" s="26"/>
      <x:c r="Q503" s="27"/>
      <x:c r="R503" s="22">
        <x:f>IF(N503="","تکمیل نشده",IF(N503="ادغام با تفصیلی دیگر",IF(O503="","کلید مقصد خالی است",IF(IFERROR(MATCH(O503*1,$A:$A,0),0)=0,"کلید مقصد در این فهرست نیست",IF(O503*1=A503,"ادغام با خودش","OK"))),"OK"))</x:f>
      </x:c>
      <x:c r="S503" s="28"/>
    </x:row>
    <x:row r="504" spans="1:19">
      <x:c r="A504" s="21">
        <x:v>3879</x:v>
      </x:c>
      <x:c r="B504" s="22" t="s">
        <x:v>153</x:v>
      </x:c>
      <x:c r="C504" s="22" t="s">
        <x:v>209</x:v>
      </x:c>
      <x:c r="D504" s="22" t="s">
        <x:v>1203</x:v>
      </x:c>
      <x:c r="E504" s="22" t="s">
        <x:v>1204</x:v>
      </x:c>
      <x:c r="F504" s="22" t="s">
        <x:v>390</x:v>
      </x:c>
      <x:c r="G504" s="22">
        <x:v>1</x:v>
      </x:c>
      <x:c r="H504" s="23">
        <x:v>30119206</x:v>
      </x:c>
      <x:c r="I504" s="23">
        <x:v>0</x:v>
      </x:c>
      <x:c r="J504" s="23">
        <x:f>H504-I504</x:f>
      </x:c>
      <x:c r="K504" s="22">
        <x:v>1</x:v>
      </x:c>
      <x:c r="L504" s="24" t="s">
        <x:v>623</x:v>
      </x:c>
      <x:c r="M504" s="24"/>
      <x:c r="N504" s="27" t="s">
        <x:v>623</x:v>
      </x:c>
      <x:c r="O504" s="27"/>
      <x:c r="P504" s="26"/>
      <x:c r="Q504" s="27"/>
      <x:c r="R504" s="22">
        <x:f>IF(N504="","تکمیل نشده",IF(N504="ادغام با تفصیلی دیگر",IF(O504="","کلید مقصد خالی است",IF(IFERROR(MATCH(O504*1,$A:$A,0),0)=0,"کلید مقصد در این فهرست نیست",IF(O504*1=A504,"ادغام با خودش","OK"))),"OK"))</x:f>
      </x:c>
      <x:c r="S504" s="28"/>
    </x:row>
    <x:row r="505" spans="1:19">
      <x:c r="A505" s="21">
        <x:v>3880</x:v>
      </x:c>
      <x:c r="B505" s="22" t="s">
        <x:v>153</x:v>
      </x:c>
      <x:c r="C505" s="22" t="s">
        <x:v>209</x:v>
      </x:c>
      <x:c r="D505" s="22" t="s">
        <x:v>1205</x:v>
      </x:c>
      <x:c r="E505" s="22" t="s">
        <x:v>1206</x:v>
      </x:c>
      <x:c r="F505" s="22" t="s">
        <x:v>390</x:v>
      </x:c>
      <x:c r="G505" s="22">
        <x:v>1</x:v>
      </x:c>
      <x:c r="H505" s="23">
        <x:v>86054873</x:v>
      </x:c>
      <x:c r="I505" s="23">
        <x:v>0</x:v>
      </x:c>
      <x:c r="J505" s="23">
        <x:f>H505-I505</x:f>
      </x:c>
      <x:c r="K505" s="22">
        <x:v>1</x:v>
      </x:c>
      <x:c r="L505" s="24" t="s">
        <x:v>623</x:v>
      </x:c>
      <x:c r="M505" s="24"/>
      <x:c r="N505" s="27" t="s">
        <x:v>623</x:v>
      </x:c>
      <x:c r="O505" s="27"/>
      <x:c r="P505" s="26"/>
      <x:c r="Q505" s="27"/>
      <x:c r="R505" s="22">
        <x:f>IF(N505="","تکمیل نشده",IF(N505="ادغام با تفصیلی دیگر",IF(O505="","کلید مقصد خالی است",IF(IFERROR(MATCH(O505*1,$A:$A,0),0)=0,"کلید مقصد در این فهرست نیست",IF(O505*1=A505,"ادغام با خودش","OK"))),"OK"))</x:f>
      </x:c>
      <x:c r="S505" s="28"/>
    </x:row>
    <x:row r="506" spans="1:19">
      <x:c r="A506" s="21">
        <x:v>3424</x:v>
      </x:c>
      <x:c r="B506" s="22" t="s">
        <x:v>153</x:v>
      </x:c>
      <x:c r="C506" s="22" t="s">
        <x:v>150</x:v>
      </x:c>
      <x:c r="D506" s="22" t="s">
        <x:v>619</x:v>
      </x:c>
      <x:c r="E506" s="22" t="s">
        <x:v>391</x:v>
      </x:c>
      <x:c r="F506" s="22" t="s">
        <x:v>391</x:v>
      </x:c>
      <x:c r="G506" s="22">
        <x:v>4</x:v>
      </x:c>
      <x:c r="H506" s="23">
        <x:v>2864044</x:v>
      </x:c>
      <x:c r="I506" s="23">
        <x:v>6861000000</x:v>
      </x:c>
      <x:c r="J506" s="23">
        <x:f>H506-I506</x:f>
      </x:c>
      <x:c r="K506" s="22">
        <x:v>1</x:v>
      </x:c>
      <x:c r="L506" s="24" t="s">
        <x:v>620</x:v>
      </x:c>
      <x:c r="M506" s="24"/>
      <x:c r="N506" s="27" t="s">
        <x:v>620</x:v>
      </x:c>
      <x:c r="O506" s="27"/>
      <x:c r="P506" s="26"/>
      <x:c r="Q506" s="27"/>
      <x:c r="R506" s="22">
        <x:f>IF(N506="","تکمیل نشده",IF(N506="ادغام با تفصیلی دیگر",IF(O506="","کلید مقصد خالی است",IF(IFERROR(MATCH(O506*1,$A:$A,0),0)=0,"کلید مقصد در این فهرست نیست",IF(O506*1=A506,"ادغام با خودش","OK"))),"OK"))</x:f>
      </x:c>
      <x:c r="S506" s="28"/>
    </x:row>
    <x:row r="507" spans="1:19">
      <x:c r="A507" s="21">
        <x:v>3437</x:v>
      </x:c>
      <x:c r="B507" s="22" t="s">
        <x:v>156</x:v>
      </x:c>
      <x:c r="C507" s="22" t="s">
        <x:v>199</x:v>
      </x:c>
      <x:c r="D507" s="22" t="s">
        <x:v>1207</x:v>
      </x:c>
      <x:c r="E507" s="22" t="s">
        <x:v>394</x:v>
      </x:c>
      <x:c r="F507" s="22" t="s">
        <x:v>394</x:v>
      </x:c>
      <x:c r="G507" s="22">
        <x:v>1</x:v>
      </x:c>
      <x:c r="H507" s="23">
        <x:v>178102618188</x:v>
      </x:c>
      <x:c r="I507" s="23">
        <x:v>0</x:v>
      </x:c>
      <x:c r="J507" s="23">
        <x:f>H507-I507</x:f>
      </x:c>
      <x:c r="K507" s="22">
        <x:v>2</x:v>
      </x:c>
      <x:c r="L507" s="24" t="s">
        <x:v>620</x:v>
      </x:c>
      <x:c r="M507" s="24"/>
      <x:c r="N507" s="27" t="s">
        <x:v>620</x:v>
      </x:c>
      <x:c r="O507" s="27"/>
      <x:c r="P507" s="26"/>
      <x:c r="Q507" s="27"/>
      <x:c r="R507" s="22">
        <x:f>IF(N507="","تکمیل نشده",IF(N507="ادغام با تفصیلی دیگر",IF(O507="","کلید مقصد خالی است",IF(IFERROR(MATCH(O507*1,$A:$A,0),0)=0,"کلید مقصد در این فهرست نیست",IF(O507*1=A507,"ادغام با خودش","OK"))),"OK"))</x:f>
      </x:c>
      <x:c r="S507" s="28"/>
    </x:row>
    <x:row r="508" spans="1:19">
      <x:c r="A508" s="21">
        <x:v>3461</x:v>
      </x:c>
      <x:c r="B508" s="22" t="s">
        <x:v>159</x:v>
      </x:c>
      <x:c r="C508" s="22" t="s">
        <x:v>64</x:v>
      </x:c>
      <x:c r="D508" s="22" t="s">
        <x:v>619</x:v>
      </x:c>
      <x:c r="E508" s="22" t="s">
        <x:v>397</x:v>
      </x:c>
      <x:c r="F508" s="22" t="s">
        <x:v>397</x:v>
      </x:c>
      <x:c r="G508" s="22">
        <x:v>33</x:v>
      </x:c>
      <x:c r="H508" s="23">
        <x:v>0</x:v>
      </x:c>
      <x:c r="I508" s="23">
        <x:v>150250000000</x:v>
      </x:c>
      <x:c r="J508" s="23">
        <x:f>H508-I508</x:f>
      </x:c>
      <x:c r="K508" s="22">
        <x:v>1</x:v>
      </x:c>
      <x:c r="L508" s="24" t="s">
        <x:v>620</x:v>
      </x:c>
      <x:c r="M508" s="24"/>
      <x:c r="N508" s="27" t="s">
        <x:v>620</x:v>
      </x:c>
      <x:c r="O508" s="27"/>
      <x:c r="P508" s="26"/>
      <x:c r="Q508" s="27"/>
      <x:c r="R508" s="22">
        <x:f>IF(N508="","تکمیل نشده",IF(N508="ادغام با تفصیلی دیگر",IF(O508="","کلید مقصد خالی است",IF(IFERROR(MATCH(O508*1,$A:$A,0),0)=0,"کلید مقصد در این فهرست نیست",IF(O508*1=A508,"ادغام با خودش","OK"))),"OK"))</x:f>
      </x:c>
      <x:c r="S508" s="28"/>
    </x:row>
    <x:row r="509" spans="1:19">
      <x:c r="A509" s="21">
        <x:v>3463</x:v>
      </x:c>
      <x:c r="B509" s="22" t="s">
        <x:v>159</x:v>
      </x:c>
      <x:c r="C509" s="22" t="s">
        <x:v>67</x:v>
      </x:c>
      <x:c r="D509" s="22" t="s">
        <x:v>619</x:v>
      </x:c>
      <x:c r="E509" s="22" t="s">
        <x:v>398</x:v>
      </x:c>
      <x:c r="F509" s="22" t="s">
        <x:v>398</x:v>
      </x:c>
      <x:c r="G509" s="22">
        <x:v>11</x:v>
      </x:c>
      <x:c r="H509" s="23">
        <x:v>0</x:v>
      </x:c>
      <x:c r="I509" s="23">
        <x:v>1379553395</x:v>
      </x:c>
      <x:c r="J509" s="23">
        <x:f>H509-I509</x:f>
      </x:c>
      <x:c r="K509" s="22">
        <x:v>1</x:v>
      </x:c>
      <x:c r="L509" s="24" t="s">
        <x:v>620</x:v>
      </x:c>
      <x:c r="M509" s="24"/>
      <x:c r="N509" s="27" t="s">
        <x:v>620</x:v>
      </x:c>
      <x:c r="O509" s="27"/>
      <x:c r="P509" s="26"/>
      <x:c r="Q509" s="27"/>
      <x:c r="R509" s="22">
        <x:f>IF(N509="","تکمیل نشده",IF(N509="ادغام با تفصیلی دیگر",IF(O509="","کلید مقصد خالی است",IF(IFERROR(MATCH(O509*1,$A:$A,0),0)=0,"کلید مقصد در این فهرست نیست",IF(O509*1=A509,"ادغام با خودش","OK"))),"OK"))</x:f>
      </x:c>
      <x:c r="S509" s="28"/>
    </x:row>
    <x:row r="510" spans="1:19">
      <x:c r="A510" s="21">
        <x:v>3469</x:v>
      </x:c>
      <x:c r="B510" s="22" t="s">
        <x:v>159</x:v>
      </x:c>
      <x:c r="C510" s="22" t="s">
        <x:v>399</x:v>
      </x:c>
      <x:c r="D510" s="22" t="s">
        <x:v>619</x:v>
      </x:c>
      <x:c r="E510" s="22" t="s">
        <x:v>400</x:v>
      </x:c>
      <x:c r="F510" s="22" t="s">
        <x:v>400</x:v>
      </x:c>
      <x:c r="G510" s="22">
        <x:v>10</x:v>
      </x:c>
      <x:c r="H510" s="23">
        <x:v>1299160000</x:v>
      </x:c>
      <x:c r="I510" s="23">
        <x:v>0</x:v>
      </x:c>
      <x:c r="J510" s="23">
        <x:f>H510-I510</x:f>
      </x:c>
      <x:c r="K510" s="22">
        <x:v>1</x:v>
      </x:c>
      <x:c r="L510" s="24" t="s">
        <x:v>620</x:v>
      </x:c>
      <x:c r="M510" s="24"/>
      <x:c r="N510" s="27" t="s">
        <x:v>620</x:v>
      </x:c>
      <x:c r="O510" s="27"/>
      <x:c r="P510" s="26"/>
      <x:c r="Q510" s="27"/>
      <x:c r="R510" s="22">
        <x:f>IF(N510="","تکمیل نشده",IF(N510="ادغام با تفصیلی دیگر",IF(O510="","کلید مقصد خالی است",IF(IFERROR(MATCH(O510*1,$A:$A,0),0)=0,"کلید مقصد در این فهرست نیست",IF(O510*1=A510,"ادغام با خودش","OK"))),"OK"))</x:f>
      </x:c>
      <x:c r="S510" s="28"/>
    </x:row>
    <x:row r="511" spans="1:19">
      <x:c r="A511" s="21">
        <x:v>3500</x:v>
      </x:c>
      <x:c r="B511" s="22" t="s">
        <x:v>163</x:v>
      </x:c>
      <x:c r="C511" s="22" t="s">
        <x:v>30</x:v>
      </x:c>
      <x:c r="D511" s="22" t="s">
        <x:v>906</x:v>
      </x:c>
      <x:c r="E511" s="22" t="s">
        <x:v>907</x:v>
      </x:c>
      <x:c r="F511" s="22" t="s">
        <x:v>401</x:v>
      </x:c>
      <x:c r="G511" s="22">
        <x:v>5</x:v>
      </x:c>
      <x:c r="H511" s="23">
        <x:v>60000000</x:v>
      </x:c>
      <x:c r="I511" s="23">
        <x:v>240000000</x:v>
      </x:c>
      <x:c r="J511" s="23">
        <x:f>H511-I511</x:f>
      </x:c>
      <x:c r="K511" s="22">
        <x:v>3</x:v>
      </x:c>
      <x:c r="L511" s="24" t="s">
        <x:v>675</x:v>
      </x:c>
      <x:c r="M511" s="24">
        <x:v>2473</x:v>
      </x:c>
      <x:c r="N511" s="27" t="s">
        <x:v>675</x:v>
      </x:c>
      <x:c r="O511" s="27">
        <x:v>2473</x:v>
      </x:c>
      <x:c r="P511" s="26"/>
      <x:c r="Q511" s="27"/>
      <x:c r="R511" s="22">
        <x:f>IF(N511="","تکمیل نشده",IF(N511="ادغام با تفصیلی دیگر",IF(O511="","کلید مقصد خالی است",IF(IFERROR(MATCH(O511*1,$A:$A,0),0)=0,"کلید مقصد در این فهرست نیست",IF(O511*1=A511,"ادغام با خودش","OK"))),"OK"))</x:f>
      </x:c>
      <x:c r="S511" s="28"/>
    </x:row>
    <x:row r="512" spans="1:19">
      <x:c r="A512" s="21">
        <x:v>3518</x:v>
      </x:c>
      <x:c r="B512" s="22" t="s">
        <x:v>163</x:v>
      </x:c>
      <x:c r="C512" s="22" t="s">
        <x:v>292</x:v>
      </x:c>
      <x:c r="D512" s="22" t="s">
        <x:v>804</x:v>
      </x:c>
      <x:c r="E512" s="22" t="s">
        <x:v>1208</x:v>
      </x:c>
      <x:c r="F512" s="22" t="s">
        <x:v>402</x:v>
      </x:c>
      <x:c r="G512" s="22">
        <x:v>10</x:v>
      </x:c>
      <x:c r="H512" s="23">
        <x:v>83941133</x:v>
      </x:c>
      <x:c r="I512" s="23">
        <x:v>335764532</x:v>
      </x:c>
      <x:c r="J512" s="23">
        <x:f>H512-I512</x:f>
      </x:c>
      <x:c r="K512" s="22">
        <x:v>2</x:v>
      </x:c>
      <x:c r="L512" s="24" t="s">
        <x:v>623</x:v>
      </x:c>
      <x:c r="M512" s="24"/>
      <x:c r="N512" s="27" t="s">
        <x:v>623</x:v>
      </x:c>
      <x:c r="O512" s="27"/>
      <x:c r="P512" s="26"/>
      <x:c r="Q512" s="27"/>
      <x:c r="R512" s="22">
        <x:f>IF(N512="","تکمیل نشده",IF(N512="ادغام با تفصیلی دیگر",IF(O512="","کلید مقصد خالی است",IF(IFERROR(MATCH(O512*1,$A:$A,0),0)=0,"کلید مقصد در این فهرست نیست",IF(O512*1=A512,"ادغام با خودش","OK"))),"OK"))</x:f>
      </x:c>
      <x:c r="S512" s="28"/>
    </x:row>
    <x:row r="513" spans="1:19">
      <x:c r="A513" s="21">
        <x:v>3564</x:v>
      </x:c>
      <x:c r="B513" s="22" t="s">
        <x:v>167</x:v>
      </x:c>
      <x:c r="C513" s="22" t="s">
        <x:v>30</x:v>
      </x:c>
      <x:c r="D513" s="22" t="s">
        <x:v>906</x:v>
      </x:c>
      <x:c r="E513" s="22" t="s">
        <x:v>1209</x:v>
      </x:c>
      <x:c r="F513" s="22" t="s">
        <x:v>403</x:v>
      </x:c>
      <x:c r="G513" s="22">
        <x:v>5</x:v>
      </x:c>
      <x:c r="H513" s="23">
        <x:v>240000000</x:v>
      </x:c>
      <x:c r="I513" s="23">
        <x:v>60000000</x:v>
      </x:c>
      <x:c r="J513" s="23">
        <x:f>H513-I513</x:f>
      </x:c>
      <x:c r="K513" s="22">
        <x:v>1</x:v>
      </x:c>
      <x:c r="L513" s="24" t="s">
        <x:v>623</x:v>
      </x:c>
      <x:c r="M513" s="24"/>
      <x:c r="N513" s="27" t="s">
        <x:v>623</x:v>
      </x:c>
      <x:c r="O513" s="27"/>
      <x:c r="P513" s="26"/>
      <x:c r="Q513" s="27"/>
      <x:c r="R513" s="22">
        <x:f>IF(N513="","تکمیل نشده",IF(N513="ادغام با تفصیلی دیگر",IF(O513="","کلید مقصد خالی است",IF(IFERROR(MATCH(O513*1,$A:$A,0),0)=0,"کلید مقصد در این فهرست نیست",IF(O513*1=A513,"ادغام با خودش","OK"))),"OK"))</x:f>
      </x:c>
      <x:c r="S513" s="28"/>
    </x:row>
    <x:row r="514" spans="1:19">
      <x:c r="A514" s="29">
        <x:v>3575</x:v>
      </x:c>
      <x:c r="B514" s="30" t="s">
        <x:v>167</x:v>
      </x:c>
      <x:c r="C514" s="30" t="s">
        <x:v>292</x:v>
      </x:c>
      <x:c r="D514" s="30" t="s">
        <x:v>804</x:v>
      </x:c>
      <x:c r="E514" s="30" t="s">
        <x:v>1210</x:v>
      </x:c>
      <x:c r="F514" s="30" t="s">
        <x:v>404</x:v>
      </x:c>
      <x:c r="G514" s="30">
        <x:v>10</x:v>
      </x:c>
      <x:c r="H514" s="31">
        <x:v>335764532</x:v>
      </x:c>
      <x:c r="I514" s="31">
        <x:v>83941133</x:v>
      </x:c>
      <x:c r="J514" s="31">
        <x:f>H514-I514</x:f>
      </x:c>
      <x:c r="K514" s="30">
        <x:v>2</x:v>
      </x:c>
      <x:c r="L514" s="32" t="s">
        <x:v>675</x:v>
      </x:c>
      <x:c r="M514" s="32">
        <x:v>3518</x:v>
      </x:c>
      <x:c r="N514" s="35" t="s">
        <x:v>675</x:v>
      </x:c>
      <x:c r="O514" s="35">
        <x:v>3518</x:v>
      </x:c>
      <x:c r="P514" s="34"/>
      <x:c r="Q514" s="35"/>
      <x:c r="R514" s="30">
        <x:f>IF(N514="","تکمیل نشده",IF(N514="ادغام با تفصیلی دیگر",IF(O514="","کلید مقصد خالی است",IF(IFERROR(MATCH(O514*1,$A:$A,0),0)=0,"کلید مقصد در این فهرست نیست",IF(O514*1=A514,"ادغام با خودش","OK"))),"OK"))</x:f>
      </x:c>
      <x:c r="S514" s="36"/>
    </x:row>
  </x:sheetData>
  <x:autoFilter ref="A1:S514"/>
  <x:conditionalFormatting sqref="R2:R514">
    <x:cfRule type="cellIs" dxfId="0" priority="1" operator="equal">
      <x:formula>"OK"</x:formula>
    </x:cfRule>
    <x:cfRule type="notContainsBlanks" dxfId="1" priority="2">
      <x:formula>LEN(TRIM(R2))&gt;0</x:formula>
    </x:cfRule>
  </x:conditionalFormatting>
  <x:dataValidations count="1">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4"/>
  <x:sheetViews>
    <x:sheetView rightToLeft="1" workbookViewId="0">
      <x:pane xSplit="0" ySplit="1" topLeftCell="A2" activePane="bottomLeft" state="frozenSplit"/>
    </x:sheetView>
  </x:sheetViews>
  <x:sheetFormatPr defaultRowHeight="15"/>
  <x:cols>
    <x:col min="9" max="16384" width="9.140625" style="1" customWidth="1"/>
    <x:col min="1" max="1" width="8.710625" style="1" customWidth="1"/>
    <x:col min="2" max="2" width="10.710625" style="1" customWidth="1"/>
    <x:col min="3" max="3" width="40.710625" style="1" customWidth="1"/>
    <x:col min="4" max="4" width="9.710625" style="1" customWidth="1"/>
    <x:col min="5" max="5" width="40.710625" style="1" customWidth="1"/>
    <x:col min="6" max="8" width="30.710625" style="1" customWidth="1"/>
  </x:cols>
  <x:sheetData>
    <x:row r="1" spans="1:8" ht="45" customHeight="1">
      <x:c r="A1" s="11" t="s">
        <x:v>1211</x:v>
      </x:c>
      <x:c r="B1" s="11" t="s">
        <x:v>1212</x:v>
      </x:c>
      <x:c r="C1" s="11" t="s">
        <x:v>1213</x:v>
      </x:c>
      <x:c r="D1" s="11" t="s">
        <x:v>3</x:v>
      </x:c>
      <x:c r="E1" s="11" t="s">
        <x:v>1214</x:v>
      </x:c>
      <x:c r="F1" s="11" t="s">
        <x:v>613</x:v>
      </x:c>
      <x:c r="G1" s="12" t="s">
        <x:v>615</x:v>
      </x:c>
      <x:c r="H1" s="12" t="s">
        <x:v>13</x:v>
      </x:c>
    </x:row>
    <x:row r="2" spans="1:8">
      <x:c r="A2" s="13" t="s">
        <x:v>1215</x:v>
      </x:c>
      <x:c r="B2" s="14" t="s">
        <x:v>571</x:v>
      </x:c>
      <x:c r="C2" s="14" t="s">
        <x:v>1216</x:v>
      </x:c>
      <x:c r="D2" s="14">
        <x:v>1</x:v>
      </x:c>
      <x:c r="E2" s="14" t="s">
        <x:v>1217</x:v>
      </x:c>
      <x:c r="F2" s="16" t="s">
        <x:v>1218</x:v>
      </x:c>
      <x:c r="G2" s="19" t="s">
        <x:v>1218</x:v>
      </x:c>
      <x:c r="H2" s="20"/>
    </x:row>
    <x:row r="3" spans="1:8">
      <x:c r="A3" s="21" t="s">
        <x:v>1215</x:v>
      </x:c>
      <x:c r="B3" s="22" t="s">
        <x:v>1219</x:v>
      </x:c>
      <x:c r="C3" s="22" t="s">
        <x:v>1220</x:v>
      </x:c>
      <x:c r="D3" s="22">
        <x:v>1</x:v>
      </x:c>
      <x:c r="E3" s="22" t="s">
        <x:v>1217</x:v>
      </x:c>
      <x:c r="F3" s="24" t="s">
        <x:v>1218</x:v>
      </x:c>
      <x:c r="G3" s="27" t="s">
        <x:v>1218</x:v>
      </x:c>
      <x:c r="H3" s="28"/>
    </x:row>
    <x:row r="4" spans="1:8">
      <x:c r="A4" s="21" t="s">
        <x:v>1221</x:v>
      </x:c>
      <x:c r="B4" s="22" t="s">
        <x:v>571</x:v>
      </x:c>
      <x:c r="C4" s="22" t="s">
        <x:v>1222</x:v>
      </x:c>
      <x:c r="D4" s="22">
        <x:v>1</x:v>
      </x:c>
      <x:c r="E4" s="22" t="s">
        <x:v>1223</x:v>
      </x:c>
      <x:c r="F4" s="24" t="s">
        <x:v>1218</x:v>
      </x:c>
      <x:c r="G4" s="27" t="s">
        <x:v>1218</x:v>
      </x:c>
      <x:c r="H4" s="28"/>
    </x:row>
    <x:row r="5" spans="1:8">
      <x:c r="A5" s="21" t="s">
        <x:v>1224</x:v>
      </x:c>
      <x:c r="B5" s="22" t="s">
        <x:v>571</x:v>
      </x:c>
      <x:c r="C5" s="22" t="s">
        <x:v>1225</x:v>
      </x:c>
      <x:c r="D5" s="22">
        <x:v>0</x:v>
      </x:c>
      <x:c r="E5" s="22" t="s">
        <x:v>1226</x:v>
      </x:c>
      <x:c r="F5" s="24" t="s">
        <x:v>1227</x:v>
      </x:c>
      <x:c r="G5" s="27" t="s">
        <x:v>1227</x:v>
      </x:c>
      <x:c r="H5" s="28"/>
    </x:row>
    <x:row r="6" spans="1:8">
      <x:c r="A6" s="21" t="s">
        <x:v>1228</x:v>
      </x:c>
      <x:c r="B6" s="22" t="s">
        <x:v>571</x:v>
      </x:c>
      <x:c r="C6" s="22" t="s">
        <x:v>1229</x:v>
      </x:c>
      <x:c r="D6" s="22">
        <x:v>0</x:v>
      </x:c>
      <x:c r="E6" s="22" t="s">
        <x:v>1226</x:v>
      </x:c>
      <x:c r="F6" s="24" t="s">
        <x:v>1227</x:v>
      </x:c>
      <x:c r="G6" s="27" t="s">
        <x:v>1227</x:v>
      </x:c>
      <x:c r="H6" s="28"/>
    </x:row>
    <x:row r="7" spans="1:8">
      <x:c r="A7" s="21" t="s">
        <x:v>1230</x:v>
      </x:c>
      <x:c r="B7" s="22" t="s">
        <x:v>571</x:v>
      </x:c>
      <x:c r="C7" s="22" t="s">
        <x:v>1231</x:v>
      </x:c>
      <x:c r="D7" s="22">
        <x:v>0</x:v>
      </x:c>
      <x:c r="E7" s="22" t="s">
        <x:v>1226</x:v>
      </x:c>
      <x:c r="F7" s="24" t="s">
        <x:v>1227</x:v>
      </x:c>
      <x:c r="G7" s="27" t="s">
        <x:v>1227</x:v>
      </x:c>
      <x:c r="H7" s="28"/>
    </x:row>
    <x:row r="8" spans="1:8">
      <x:c r="A8" s="21" t="s">
        <x:v>1232</x:v>
      </x:c>
      <x:c r="B8" s="22" t="s">
        <x:v>571</x:v>
      </x:c>
      <x:c r="C8" s="22" t="s">
        <x:v>1233</x:v>
      </x:c>
      <x:c r="D8" s="22">
        <x:v>0</x:v>
      </x:c>
      <x:c r="E8" s="22" t="s">
        <x:v>1226</x:v>
      </x:c>
      <x:c r="F8" s="24" t="s">
        <x:v>1227</x:v>
      </x:c>
      <x:c r="G8" s="27" t="s">
        <x:v>1227</x:v>
      </x:c>
      <x:c r="H8" s="28"/>
    </x:row>
    <x:row r="9" spans="1:8">
      <x:c r="A9" s="21" t="s">
        <x:v>1234</x:v>
      </x:c>
      <x:c r="B9" s="22" t="s">
        <x:v>571</x:v>
      </x:c>
      <x:c r="C9" s="22" t="s">
        <x:v>1235</x:v>
      </x:c>
      <x:c r="D9" s="22">
        <x:v>0</x:v>
      </x:c>
      <x:c r="E9" s="22" t="s">
        <x:v>1226</x:v>
      </x:c>
      <x:c r="F9" s="24" t="s">
        <x:v>1227</x:v>
      </x:c>
      <x:c r="G9" s="27" t="s">
        <x:v>1227</x:v>
      </x:c>
      <x:c r="H9" s="28"/>
    </x:row>
    <x:row r="10" spans="1:8">
      <x:c r="A10" s="21" t="s">
        <x:v>1236</x:v>
      </x:c>
      <x:c r="B10" s="22" t="s">
        <x:v>571</x:v>
      </x:c>
      <x:c r="C10" s="22" t="s">
        <x:v>1237</x:v>
      </x:c>
      <x:c r="D10" s="22">
        <x:v>0</x:v>
      </x:c>
      <x:c r="E10" s="22" t="s">
        <x:v>1238</x:v>
      </x:c>
      <x:c r="F10" s="24" t="s">
        <x:v>1227</x:v>
      </x:c>
      <x:c r="G10" s="27" t="s">
        <x:v>1227</x:v>
      </x:c>
      <x:c r="H10" s="28"/>
    </x:row>
    <x:row r="11" spans="1:8">
      <x:c r="A11" s="21" t="s">
        <x:v>1239</x:v>
      </x:c>
      <x:c r="B11" s="22" t="s">
        <x:v>571</x:v>
      </x:c>
      <x:c r="C11" s="22" t="s">
        <x:v>1240</x:v>
      </x:c>
      <x:c r="D11" s="22">
        <x:v>0</x:v>
      </x:c>
      <x:c r="E11" s="22" t="s">
        <x:v>1241</x:v>
      </x:c>
      <x:c r="F11" s="24" t="s">
        <x:v>1227</x:v>
      </x:c>
      <x:c r="G11" s="27" t="s">
        <x:v>1227</x:v>
      </x:c>
      <x:c r="H11" s="28"/>
    </x:row>
    <x:row r="12" spans="1:8">
      <x:c r="A12" s="21" t="s">
        <x:v>1242</x:v>
      </x:c>
      <x:c r="B12" s="22" t="s">
        <x:v>571</x:v>
      </x:c>
      <x:c r="C12" s="22" t="s">
        <x:v>1243</x:v>
      </x:c>
      <x:c r="D12" s="22">
        <x:v>0</x:v>
      </x:c>
      <x:c r="E12" s="22" t="s">
        <x:v>1241</x:v>
      </x:c>
      <x:c r="F12" s="24" t="s">
        <x:v>1227</x:v>
      </x:c>
      <x:c r="G12" s="27" t="s">
        <x:v>1227</x:v>
      </x:c>
      <x:c r="H12" s="28"/>
    </x:row>
    <x:row r="13" spans="1:8">
      <x:c r="A13" s="21" t="s">
        <x:v>1244</x:v>
      </x:c>
      <x:c r="B13" s="22" t="s">
        <x:v>571</x:v>
      </x:c>
      <x:c r="C13" s="22" t="s">
        <x:v>1245</x:v>
      </x:c>
      <x:c r="D13" s="22">
        <x:v>0</x:v>
      </x:c>
      <x:c r="E13" s="22" t="s">
        <x:v>1246</x:v>
      </x:c>
      <x:c r="F13" s="24" t="s">
        <x:v>1227</x:v>
      </x:c>
      <x:c r="G13" s="27" t="s">
        <x:v>1227</x:v>
      </x:c>
      <x:c r="H13" s="28"/>
    </x:row>
    <x:row r="14" spans="1:8">
      <x:c r="A14" s="21" t="s">
        <x:v>1247</x:v>
      </x:c>
      <x:c r="B14" s="22" t="s">
        <x:v>571</x:v>
      </x:c>
      <x:c r="C14" s="22" t="s">
        <x:v>1248</x:v>
      </x:c>
      <x:c r="D14" s="22">
        <x:v>0</x:v>
      </x:c>
      <x:c r="E14" s="22" t="s">
        <x:v>1246</x:v>
      </x:c>
      <x:c r="F14" s="24" t="s">
        <x:v>1227</x:v>
      </x:c>
      <x:c r="G14" s="27" t="s">
        <x:v>1227</x:v>
      </x:c>
      <x:c r="H14" s="28"/>
    </x:row>
    <x:row r="15" spans="1:8">
      <x:c r="A15" s="21" t="s">
        <x:v>1249</x:v>
      </x:c>
      <x:c r="B15" s="22" t="s">
        <x:v>571</x:v>
      </x:c>
      <x:c r="C15" s="22" t="s">
        <x:v>1250</x:v>
      </x:c>
      <x:c r="D15" s="22">
        <x:v>0</x:v>
      </x:c>
      <x:c r="E15" s="22" t="s">
        <x:v>1241</x:v>
      </x:c>
      <x:c r="F15" s="24" t="s">
        <x:v>1227</x:v>
      </x:c>
      <x:c r="G15" s="27" t="s">
        <x:v>1227</x:v>
      </x:c>
      <x:c r="H15" s="28"/>
    </x:row>
    <x:row r="16" spans="1:8">
      <x:c r="A16" s="21" t="s">
        <x:v>1251</x:v>
      </x:c>
      <x:c r="B16" s="22" t="s">
        <x:v>571</x:v>
      </x:c>
      <x:c r="C16" s="22" t="s">
        <x:v>1252</x:v>
      </x:c>
      <x:c r="D16" s="22">
        <x:v>0</x:v>
      </x:c>
      <x:c r="E16" s="22" t="s">
        <x:v>1241</x:v>
      </x:c>
      <x:c r="F16" s="24" t="s">
        <x:v>1227</x:v>
      </x:c>
      <x:c r="G16" s="27" t="s">
        <x:v>1227</x:v>
      </x:c>
      <x:c r="H16" s="28"/>
    </x:row>
    <x:row r="17" spans="1:8">
      <x:c r="A17" s="21" t="s">
        <x:v>1253</x:v>
      </x:c>
      <x:c r="B17" s="22" t="s">
        <x:v>571</x:v>
      </x:c>
      <x:c r="C17" s="22" t="s">
        <x:v>1254</x:v>
      </x:c>
      <x:c r="D17" s="22">
        <x:v>0</x:v>
      </x:c>
      <x:c r="E17" s="22" t="s">
        <x:v>1241</x:v>
      </x:c>
      <x:c r="F17" s="24" t="s">
        <x:v>1227</x:v>
      </x:c>
      <x:c r="G17" s="27" t="s">
        <x:v>1227</x:v>
      </x:c>
      <x:c r="H17" s="28"/>
    </x:row>
    <x:row r="18" spans="1:8">
      <x:c r="A18" s="21" t="s">
        <x:v>1255</x:v>
      </x:c>
      <x:c r="B18" s="22" t="s">
        <x:v>571</x:v>
      </x:c>
      <x:c r="C18" s="22" t="s">
        <x:v>1256</x:v>
      </x:c>
      <x:c r="D18" s="22">
        <x:v>0</x:v>
      </x:c>
      <x:c r="E18" s="22" t="s">
        <x:v>1241</x:v>
      </x:c>
      <x:c r="F18" s="24" t="s">
        <x:v>1227</x:v>
      </x:c>
      <x:c r="G18" s="27" t="s">
        <x:v>1227</x:v>
      </x:c>
      <x:c r="H18" s="28"/>
    </x:row>
    <x:row r="19" spans="1:8">
      <x:c r="A19" s="21" t="s">
        <x:v>1257</x:v>
      </x:c>
      <x:c r="B19" s="22" t="s">
        <x:v>1258</x:v>
      </x:c>
      <x:c r="C19" s="22" t="s">
        <x:v>1259</x:v>
      </x:c>
      <x:c r="D19" s="22">
        <x:v>0</x:v>
      </x:c>
      <x:c r="E19" s="22" t="s">
        <x:v>1260</x:v>
      </x:c>
      <x:c r="F19" s="24" t="s">
        <x:v>1227</x:v>
      </x:c>
      <x:c r="G19" s="27" t="s">
        <x:v>1227</x:v>
      </x:c>
      <x:c r="H19" s="28"/>
    </x:row>
    <x:row r="20" spans="1:8">
      <x:c r="A20" s="21" t="s">
        <x:v>1257</x:v>
      </x:c>
      <x:c r="B20" s="22" t="s">
        <x:v>571</x:v>
      </x:c>
      <x:c r="C20" s="22" t="s">
        <x:v>1261</x:v>
      </x:c>
      <x:c r="D20" s="22">
        <x:v>0</x:v>
      </x:c>
      <x:c r="E20" s="22" t="s">
        <x:v>571</x:v>
      </x:c>
      <x:c r="F20" s="24" t="s">
        <x:v>1227</x:v>
      </x:c>
      <x:c r="G20" s="27" t="s">
        <x:v>1227</x:v>
      </x:c>
      <x:c r="H20" s="28"/>
    </x:row>
    <x:row r="21" spans="1:8">
      <x:c r="A21" s="21" t="s">
        <x:v>1262</x:v>
      </x:c>
      <x:c r="B21" s="22" t="s">
        <x:v>571</x:v>
      </x:c>
      <x:c r="C21" s="22" t="s">
        <x:v>1263</x:v>
      </x:c>
      <x:c r="D21" s="22">
        <x:v>0</x:v>
      </x:c>
      <x:c r="E21" s="22" t="s">
        <x:v>1241</x:v>
      </x:c>
      <x:c r="F21" s="24" t="s">
        <x:v>1227</x:v>
      </x:c>
      <x:c r="G21" s="27" t="s">
        <x:v>1227</x:v>
      </x:c>
      <x:c r="H21" s="28"/>
    </x:row>
    <x:row r="22" spans="1:8">
      <x:c r="A22" s="21" t="s">
        <x:v>1264</x:v>
      </x:c>
      <x:c r="B22" s="22" t="s">
        <x:v>571</x:v>
      </x:c>
      <x:c r="C22" s="22" t="s">
        <x:v>1265</x:v>
      </x:c>
      <x:c r="D22" s="22">
        <x:v>0</x:v>
      </x:c>
      <x:c r="E22" s="22" t="s">
        <x:v>1241</x:v>
      </x:c>
      <x:c r="F22" s="24" t="s">
        <x:v>1227</x:v>
      </x:c>
      <x:c r="G22" s="27" t="s">
        <x:v>1227</x:v>
      </x:c>
      <x:c r="H22" s="28"/>
    </x:row>
    <x:row r="23" spans="1:8">
      <x:c r="A23" s="21" t="s">
        <x:v>1266</x:v>
      </x:c>
      <x:c r="B23" s="22" t="s">
        <x:v>571</x:v>
      </x:c>
      <x:c r="C23" s="22" t="s">
        <x:v>1267</x:v>
      </x:c>
      <x:c r="D23" s="22">
        <x:v>0</x:v>
      </x:c>
      <x:c r="E23" s="22" t="s">
        <x:v>1241</x:v>
      </x:c>
      <x:c r="F23" s="24" t="s">
        <x:v>1227</x:v>
      </x:c>
      <x:c r="G23" s="27" t="s">
        <x:v>1227</x:v>
      </x:c>
      <x:c r="H23" s="28"/>
    </x:row>
    <x:row r="24" spans="1:8">
      <x:c r="A24" s="21" t="s">
        <x:v>1268</x:v>
      </x:c>
      <x:c r="B24" s="22" t="s">
        <x:v>571</x:v>
      </x:c>
      <x:c r="C24" s="22" t="s">
        <x:v>1269</x:v>
      </x:c>
      <x:c r="D24" s="22">
        <x:v>0</x:v>
      </x:c>
      <x:c r="E24" s="22" t="s">
        <x:v>1241</x:v>
      </x:c>
      <x:c r="F24" s="24" t="s">
        <x:v>1227</x:v>
      </x:c>
      <x:c r="G24" s="27" t="s">
        <x:v>1227</x:v>
      </x:c>
      <x:c r="H24" s="28"/>
    </x:row>
    <x:row r="25" spans="1:8">
      <x:c r="A25" s="21" t="s">
        <x:v>1270</x:v>
      </x:c>
      <x:c r="B25" s="22" t="s">
        <x:v>571</x:v>
      </x:c>
      <x:c r="C25" s="22" t="s">
        <x:v>1271</x:v>
      </x:c>
      <x:c r="D25" s="22">
        <x:v>0</x:v>
      </x:c>
      <x:c r="E25" s="22" t="s">
        <x:v>1241</x:v>
      </x:c>
      <x:c r="F25" s="24" t="s">
        <x:v>1227</x:v>
      </x:c>
      <x:c r="G25" s="27" t="s">
        <x:v>1227</x:v>
      </x:c>
      <x:c r="H25" s="28"/>
    </x:row>
    <x:row r="26" spans="1:8">
      <x:c r="A26" s="21" t="s">
        <x:v>1272</x:v>
      </x:c>
      <x:c r="B26" s="22" t="s">
        <x:v>571</x:v>
      </x:c>
      <x:c r="C26" s="22" t="s">
        <x:v>1273</x:v>
      </x:c>
      <x:c r="D26" s="22">
        <x:v>0</x:v>
      </x:c>
      <x:c r="E26" s="22" t="s">
        <x:v>1274</x:v>
      </x:c>
      <x:c r="F26" s="24" t="s">
        <x:v>1227</x:v>
      </x:c>
      <x:c r="G26" s="27" t="s">
        <x:v>1227</x:v>
      </x:c>
      <x:c r="H26" s="28"/>
    </x:row>
    <x:row r="27" spans="1:8">
      <x:c r="A27" s="21" t="s">
        <x:v>1275</x:v>
      </x:c>
      <x:c r="B27" s="22" t="s">
        <x:v>571</x:v>
      </x:c>
      <x:c r="C27" s="22" t="s">
        <x:v>1276</x:v>
      </x:c>
      <x:c r="D27" s="22">
        <x:v>0</x:v>
      </x:c>
      <x:c r="E27" s="22" t="s">
        <x:v>1277</x:v>
      </x:c>
      <x:c r="F27" s="24" t="s">
        <x:v>1227</x:v>
      </x:c>
      <x:c r="G27" s="27" t="s">
        <x:v>1227</x:v>
      </x:c>
      <x:c r="H27" s="28"/>
    </x:row>
    <x:row r="28" spans="1:8">
      <x:c r="A28" s="21" t="s">
        <x:v>1278</x:v>
      </x:c>
      <x:c r="B28" s="22" t="s">
        <x:v>571</x:v>
      </x:c>
      <x:c r="C28" s="22" t="s">
        <x:v>1279</x:v>
      </x:c>
      <x:c r="D28" s="22">
        <x:v>0</x:v>
      </x:c>
      <x:c r="E28" s="22" t="s">
        <x:v>1246</x:v>
      </x:c>
      <x:c r="F28" s="24" t="s">
        <x:v>1227</x:v>
      </x:c>
      <x:c r="G28" s="27" t="s">
        <x:v>1227</x:v>
      </x:c>
      <x:c r="H28" s="28"/>
    </x:row>
    <x:row r="29" spans="1:8">
      <x:c r="A29" s="21" t="s">
        <x:v>1280</x:v>
      </x:c>
      <x:c r="B29" s="22" t="s">
        <x:v>571</x:v>
      </x:c>
      <x:c r="C29" s="22" t="s">
        <x:v>1281</x:v>
      </x:c>
      <x:c r="D29" s="22">
        <x:v>0</x:v>
      </x:c>
      <x:c r="E29" s="22" t="s">
        <x:v>1246</x:v>
      </x:c>
      <x:c r="F29" s="24" t="s">
        <x:v>1227</x:v>
      </x:c>
      <x:c r="G29" s="27" t="s">
        <x:v>1227</x:v>
      </x:c>
      <x:c r="H29" s="28"/>
    </x:row>
    <x:row r="30" spans="1:8">
      <x:c r="A30" s="21" t="s">
        <x:v>1282</x:v>
      </x:c>
      <x:c r="B30" s="22" t="s">
        <x:v>571</x:v>
      </x:c>
      <x:c r="C30" s="22" t="s">
        <x:v>1283</x:v>
      </x:c>
      <x:c r="D30" s="22">
        <x:v>0</x:v>
      </x:c>
      <x:c r="E30" s="22" t="s">
        <x:v>1241</x:v>
      </x:c>
      <x:c r="F30" s="24" t="s">
        <x:v>1227</x:v>
      </x:c>
      <x:c r="G30" s="27" t="s">
        <x:v>1227</x:v>
      </x:c>
      <x:c r="H30" s="28"/>
    </x:row>
    <x:row r="31" spans="1:8">
      <x:c r="A31" s="21" t="s">
        <x:v>1284</x:v>
      </x:c>
      <x:c r="B31" s="22" t="s">
        <x:v>571</x:v>
      </x:c>
      <x:c r="C31" s="22" t="s">
        <x:v>1285</x:v>
      </x:c>
      <x:c r="D31" s="22">
        <x:v>0</x:v>
      </x:c>
      <x:c r="E31" s="22" t="s">
        <x:v>1241</x:v>
      </x:c>
      <x:c r="F31" s="24" t="s">
        <x:v>1227</x:v>
      </x:c>
      <x:c r="G31" s="27" t="s">
        <x:v>1227</x:v>
      </x:c>
      <x:c r="H31" s="28"/>
    </x:row>
    <x:row r="32" spans="1:8">
      <x:c r="A32" s="21" t="s">
        <x:v>1286</x:v>
      </x:c>
      <x:c r="B32" s="22" t="s">
        <x:v>571</x:v>
      </x:c>
      <x:c r="C32" s="22" t="s">
        <x:v>1287</x:v>
      </x:c>
      <x:c r="D32" s="22">
        <x:v>0</x:v>
      </x:c>
      <x:c r="E32" s="22" t="s">
        <x:v>1241</x:v>
      </x:c>
      <x:c r="F32" s="24" t="s">
        <x:v>1227</x:v>
      </x:c>
      <x:c r="G32" s="27" t="s">
        <x:v>1227</x:v>
      </x:c>
      <x:c r="H32" s="28"/>
    </x:row>
    <x:row r="33" spans="1:8">
      <x:c r="A33" s="21" t="s">
        <x:v>1288</x:v>
      </x:c>
      <x:c r="B33" s="22" t="s">
        <x:v>571</x:v>
      </x:c>
      <x:c r="C33" s="22" t="s">
        <x:v>1289</x:v>
      </x:c>
      <x:c r="D33" s="22">
        <x:v>0</x:v>
      </x:c>
      <x:c r="E33" s="22" t="s">
        <x:v>1241</x:v>
      </x:c>
      <x:c r="F33" s="24" t="s">
        <x:v>1227</x:v>
      </x:c>
      <x:c r="G33" s="27" t="s">
        <x:v>1227</x:v>
      </x:c>
      <x:c r="H33" s="28"/>
    </x:row>
    <x:row r="34" spans="1:8">
      <x:c r="A34" s="21" t="s">
        <x:v>1290</x:v>
      </x:c>
      <x:c r="B34" s="22" t="s">
        <x:v>571</x:v>
      </x:c>
      <x:c r="C34" s="22" t="s">
        <x:v>1291</x:v>
      </x:c>
      <x:c r="D34" s="22">
        <x:v>0</x:v>
      </x:c>
      <x:c r="E34" s="22" t="s">
        <x:v>1241</x:v>
      </x:c>
      <x:c r="F34" s="24" t="s">
        <x:v>1227</x:v>
      </x:c>
      <x:c r="G34" s="27" t="s">
        <x:v>1227</x:v>
      </x:c>
      <x:c r="H34" s="28"/>
    </x:row>
    <x:row r="35" spans="1:8">
      <x:c r="A35" s="21" t="s">
        <x:v>1292</x:v>
      </x:c>
      <x:c r="B35" s="22" t="s">
        <x:v>571</x:v>
      </x:c>
      <x:c r="C35" s="22" t="s">
        <x:v>1293</x:v>
      </x:c>
      <x:c r="D35" s="22">
        <x:v>0</x:v>
      </x:c>
      <x:c r="E35" s="22" t="s">
        <x:v>1241</x:v>
      </x:c>
      <x:c r="F35" s="24" t="s">
        <x:v>1227</x:v>
      </x:c>
      <x:c r="G35" s="27" t="s">
        <x:v>1227</x:v>
      </x:c>
      <x:c r="H35" s="28"/>
    </x:row>
    <x:row r="36" spans="1:8">
      <x:c r="A36" s="21" t="s">
        <x:v>1294</x:v>
      </x:c>
      <x:c r="B36" s="22" t="s">
        <x:v>571</x:v>
      </x:c>
      <x:c r="C36" s="22" t="s">
        <x:v>1295</x:v>
      </x:c>
      <x:c r="D36" s="22">
        <x:v>0</x:v>
      </x:c>
      <x:c r="E36" s="22" t="s">
        <x:v>1241</x:v>
      </x:c>
      <x:c r="F36" s="24" t="s">
        <x:v>1227</x:v>
      </x:c>
      <x:c r="G36" s="27" t="s">
        <x:v>1227</x:v>
      </x:c>
      <x:c r="H36" s="28"/>
    </x:row>
    <x:row r="37" spans="1:8">
      <x:c r="A37" s="21" t="s">
        <x:v>1296</x:v>
      </x:c>
      <x:c r="B37" s="22" t="s">
        <x:v>571</x:v>
      </x:c>
      <x:c r="C37" s="22" t="s">
        <x:v>1297</x:v>
      </x:c>
      <x:c r="D37" s="22">
        <x:v>0</x:v>
      </x:c>
      <x:c r="E37" s="22" t="s">
        <x:v>1241</x:v>
      </x:c>
      <x:c r="F37" s="24" t="s">
        <x:v>1227</x:v>
      </x:c>
      <x:c r="G37" s="27" t="s">
        <x:v>1227</x:v>
      </x:c>
      <x:c r="H37" s="28"/>
    </x:row>
    <x:row r="38" spans="1:8">
      <x:c r="A38" s="21" t="s">
        <x:v>1298</x:v>
      </x:c>
      <x:c r="B38" s="22" t="s">
        <x:v>571</x:v>
      </x:c>
      <x:c r="C38" s="22" t="s">
        <x:v>1299</x:v>
      </x:c>
      <x:c r="D38" s="22">
        <x:v>0</x:v>
      </x:c>
      <x:c r="E38" s="22" t="s">
        <x:v>1300</x:v>
      </x:c>
      <x:c r="F38" s="24" t="s">
        <x:v>1227</x:v>
      </x:c>
      <x:c r="G38" s="27" t="s">
        <x:v>1227</x:v>
      </x:c>
      <x:c r="H38" s="28"/>
    </x:row>
    <x:row r="39" spans="1:8">
      <x:c r="A39" s="21" t="s">
        <x:v>1301</x:v>
      </x:c>
      <x:c r="B39" s="22" t="s">
        <x:v>571</x:v>
      </x:c>
      <x:c r="C39" s="22" t="s">
        <x:v>1302</x:v>
      </x:c>
      <x:c r="D39" s="22">
        <x:v>0</x:v>
      </x:c>
      <x:c r="E39" s="22" t="s">
        <x:v>1300</x:v>
      </x:c>
      <x:c r="F39" s="24" t="s">
        <x:v>1227</x:v>
      </x:c>
      <x:c r="G39" s="27" t="s">
        <x:v>1227</x:v>
      </x:c>
      <x:c r="H39" s="28"/>
    </x:row>
    <x:row r="40" spans="1:8">
      <x:c r="A40" s="21" t="s">
        <x:v>1303</x:v>
      </x:c>
      <x:c r="B40" s="22" t="s">
        <x:v>571</x:v>
      </x:c>
      <x:c r="C40" s="22" t="s">
        <x:v>1304</x:v>
      </x:c>
      <x:c r="D40" s="22">
        <x:v>0</x:v>
      </x:c>
      <x:c r="E40" s="22" t="s">
        <x:v>1277</x:v>
      </x:c>
      <x:c r="F40" s="24" t="s">
        <x:v>1227</x:v>
      </x:c>
      <x:c r="G40" s="27" t="s">
        <x:v>1227</x:v>
      </x:c>
      <x:c r="H40" s="28"/>
    </x:row>
    <x:row r="41" spans="1:8">
      <x:c r="A41" s="21" t="s">
        <x:v>1305</x:v>
      </x:c>
      <x:c r="B41" s="22" t="s">
        <x:v>571</x:v>
      </x:c>
      <x:c r="C41" s="22" t="s">
        <x:v>1306</x:v>
      </x:c>
      <x:c r="D41" s="22">
        <x:v>0</x:v>
      </x:c>
      <x:c r="E41" s="22" t="s">
        <x:v>1300</x:v>
      </x:c>
      <x:c r="F41" s="24" t="s">
        <x:v>1227</x:v>
      </x:c>
      <x:c r="G41" s="27" t="s">
        <x:v>1227</x:v>
      </x:c>
      <x:c r="H41" s="28"/>
    </x:row>
    <x:row r="42" spans="1:8">
      <x:c r="A42" s="21" t="s">
        <x:v>1307</x:v>
      </x:c>
      <x:c r="B42" s="22" t="s">
        <x:v>571</x:v>
      </x:c>
      <x:c r="C42" s="22" t="s">
        <x:v>1308</x:v>
      </x:c>
      <x:c r="D42" s="22">
        <x:v>0</x:v>
      </x:c>
      <x:c r="E42" s="22" t="s">
        <x:v>1300</x:v>
      </x:c>
      <x:c r="F42" s="24" t="s">
        <x:v>1227</x:v>
      </x:c>
      <x:c r="G42" s="27" t="s">
        <x:v>1227</x:v>
      </x:c>
      <x:c r="H42" s="28"/>
    </x:row>
    <x:row r="43" spans="1:8">
      <x:c r="A43" s="21" t="s">
        <x:v>1309</x:v>
      </x:c>
      <x:c r="B43" s="22" t="s">
        <x:v>571</x:v>
      </x:c>
      <x:c r="C43" s="22" t="s">
        <x:v>1310</x:v>
      </x:c>
      <x:c r="D43" s="22">
        <x:v>0</x:v>
      </x:c>
      <x:c r="E43" s="22" t="s">
        <x:v>1300</x:v>
      </x:c>
      <x:c r="F43" s="24" t="s">
        <x:v>1227</x:v>
      </x:c>
      <x:c r="G43" s="27" t="s">
        <x:v>1227</x:v>
      </x:c>
      <x:c r="H43" s="28"/>
    </x:row>
    <x:row r="44" spans="1:8">
      <x:c r="A44" s="21" t="s">
        <x:v>1311</x:v>
      </x:c>
      <x:c r="B44" s="22" t="s">
        <x:v>571</x:v>
      </x:c>
      <x:c r="C44" s="22" t="s">
        <x:v>1312</x:v>
      </x:c>
      <x:c r="D44" s="22">
        <x:v>0</x:v>
      </x:c>
      <x:c r="E44" s="22" t="s">
        <x:v>1300</x:v>
      </x:c>
      <x:c r="F44" s="24" t="s">
        <x:v>1227</x:v>
      </x:c>
      <x:c r="G44" s="27" t="s">
        <x:v>1227</x:v>
      </x:c>
      <x:c r="H44" s="28"/>
    </x:row>
    <x:row r="45" spans="1:8">
      <x:c r="A45" s="21" t="s">
        <x:v>1313</x:v>
      </x:c>
      <x:c r="B45" s="22" t="s">
        <x:v>571</x:v>
      </x:c>
      <x:c r="C45" s="22" t="s">
        <x:v>1314</x:v>
      </x:c>
      <x:c r="D45" s="22">
        <x:v>0</x:v>
      </x:c>
      <x:c r="E45" s="22" t="s">
        <x:v>1300</x:v>
      </x:c>
      <x:c r="F45" s="24" t="s">
        <x:v>1227</x:v>
      </x:c>
      <x:c r="G45" s="27" t="s">
        <x:v>1227</x:v>
      </x:c>
      <x:c r="H45" s="28"/>
    </x:row>
    <x:row r="46" spans="1:8">
      <x:c r="A46" s="21" t="s">
        <x:v>1315</x:v>
      </x:c>
      <x:c r="B46" s="22" t="s">
        <x:v>571</x:v>
      </x:c>
      <x:c r="C46" s="22" t="s">
        <x:v>1316</x:v>
      </x:c>
      <x:c r="D46" s="22">
        <x:v>0</x:v>
      </x:c>
      <x:c r="E46" s="22" t="s">
        <x:v>1300</x:v>
      </x:c>
      <x:c r="F46" s="24" t="s">
        <x:v>1227</x:v>
      </x:c>
      <x:c r="G46" s="27" t="s">
        <x:v>1227</x:v>
      </x:c>
      <x:c r="H46" s="28"/>
    </x:row>
    <x:row r="47" spans="1:8">
      <x:c r="A47" s="21" t="s">
        <x:v>1317</x:v>
      </x:c>
      <x:c r="B47" s="22" t="s">
        <x:v>571</x:v>
      </x:c>
      <x:c r="C47" s="22" t="s">
        <x:v>1318</x:v>
      </x:c>
      <x:c r="D47" s="22">
        <x:v>0</x:v>
      </x:c>
      <x:c r="E47" s="22" t="s">
        <x:v>1300</x:v>
      </x:c>
      <x:c r="F47" s="24" t="s">
        <x:v>1227</x:v>
      </x:c>
      <x:c r="G47" s="27" t="s">
        <x:v>1227</x:v>
      </x:c>
      <x:c r="H47" s="28"/>
    </x:row>
    <x:row r="48" spans="1:8">
      <x:c r="A48" s="21" t="s">
        <x:v>1319</x:v>
      </x:c>
      <x:c r="B48" s="22" t="s">
        <x:v>571</x:v>
      </x:c>
      <x:c r="C48" s="22" t="s">
        <x:v>1320</x:v>
      </x:c>
      <x:c r="D48" s="22">
        <x:v>0</x:v>
      </x:c>
      <x:c r="E48" s="22" t="s">
        <x:v>1300</x:v>
      </x:c>
      <x:c r="F48" s="24" t="s">
        <x:v>1227</x:v>
      </x:c>
      <x:c r="G48" s="27" t="s">
        <x:v>1227</x:v>
      </x:c>
      <x:c r="H48" s="28"/>
    </x:row>
    <x:row r="49" spans="1:8">
      <x:c r="A49" s="21" t="s">
        <x:v>1321</x:v>
      </x:c>
      <x:c r="B49" s="22" t="s">
        <x:v>571</x:v>
      </x:c>
      <x:c r="C49" s="22" t="s">
        <x:v>1322</x:v>
      </x:c>
      <x:c r="D49" s="22">
        <x:v>0</x:v>
      </x:c>
      <x:c r="E49" s="22" t="s">
        <x:v>1300</x:v>
      </x:c>
      <x:c r="F49" s="24" t="s">
        <x:v>1227</x:v>
      </x:c>
      <x:c r="G49" s="27" t="s">
        <x:v>1227</x:v>
      </x:c>
      <x:c r="H49" s="28"/>
    </x:row>
    <x:row r="50" spans="1:8">
      <x:c r="A50" s="21" t="s">
        <x:v>1323</x:v>
      </x:c>
      <x:c r="B50" s="22" t="s">
        <x:v>571</x:v>
      </x:c>
      <x:c r="C50" s="22" t="s">
        <x:v>1324</x:v>
      </x:c>
      <x:c r="D50" s="22">
        <x:v>0</x:v>
      </x:c>
      <x:c r="E50" s="22" t="s">
        <x:v>1300</x:v>
      </x:c>
      <x:c r="F50" s="24" t="s">
        <x:v>1227</x:v>
      </x:c>
      <x:c r="G50" s="27" t="s">
        <x:v>1227</x:v>
      </x:c>
      <x:c r="H50" s="28"/>
    </x:row>
    <x:row r="51" spans="1:8">
      <x:c r="A51" s="21" t="s">
        <x:v>1325</x:v>
      </x:c>
      <x:c r="B51" s="22" t="s">
        <x:v>571</x:v>
      </x:c>
      <x:c r="C51" s="22" t="s">
        <x:v>1326</x:v>
      </x:c>
      <x:c r="D51" s="22">
        <x:v>0</x:v>
      </x:c>
      <x:c r="E51" s="22" t="s">
        <x:v>1241</x:v>
      </x:c>
      <x:c r="F51" s="24" t="s">
        <x:v>1227</x:v>
      </x:c>
      <x:c r="G51" s="27" t="s">
        <x:v>1227</x:v>
      </x:c>
      <x:c r="H51" s="28"/>
    </x:row>
    <x:row r="52" spans="1:8">
      <x:c r="A52" s="21" t="s">
        <x:v>1327</x:v>
      </x:c>
      <x:c r="B52" s="22" t="s">
        <x:v>571</x:v>
      </x:c>
      <x:c r="C52" s="22" t="s">
        <x:v>1328</x:v>
      </x:c>
      <x:c r="D52" s="22">
        <x:v>0</x:v>
      </x:c>
      <x:c r="E52" s="22" t="s">
        <x:v>1300</x:v>
      </x:c>
      <x:c r="F52" s="24" t="s">
        <x:v>1227</x:v>
      </x:c>
      <x:c r="G52" s="27" t="s">
        <x:v>1227</x:v>
      </x:c>
      <x:c r="H52" s="28"/>
    </x:row>
    <x:row r="53" spans="1:8">
      <x:c r="A53" s="21" t="s">
        <x:v>1329</x:v>
      </x:c>
      <x:c r="B53" s="22" t="s">
        <x:v>571</x:v>
      </x:c>
      <x:c r="C53" s="22" t="s">
        <x:v>1330</x:v>
      </x:c>
      <x:c r="D53" s="22">
        <x:v>0</x:v>
      </x:c>
      <x:c r="E53" s="22" t="s">
        <x:v>1241</x:v>
      </x:c>
      <x:c r="F53" s="24" t="s">
        <x:v>1227</x:v>
      </x:c>
      <x:c r="G53" s="27" t="s">
        <x:v>1227</x:v>
      </x:c>
      <x:c r="H53" s="28"/>
    </x:row>
    <x:row r="54" spans="1:8">
      <x:c r="A54" s="21" t="s">
        <x:v>1331</x:v>
      </x:c>
      <x:c r="B54" s="22" t="s">
        <x:v>571</x:v>
      </x:c>
      <x:c r="C54" s="22" t="s">
        <x:v>1332</x:v>
      </x:c>
      <x:c r="D54" s="22">
        <x:v>0</x:v>
      </x:c>
      <x:c r="E54" s="22" t="s">
        <x:v>1274</x:v>
      </x:c>
      <x:c r="F54" s="24" t="s">
        <x:v>1227</x:v>
      </x:c>
      <x:c r="G54" s="27" t="s">
        <x:v>1227</x:v>
      </x:c>
      <x:c r="H54" s="28"/>
    </x:row>
    <x:row r="55" spans="1:8">
      <x:c r="A55" s="21" t="s">
        <x:v>1333</x:v>
      </x:c>
      <x:c r="B55" s="22" t="s">
        <x:v>571</x:v>
      </x:c>
      <x:c r="C55" s="22" t="s">
        <x:v>1334</x:v>
      </x:c>
      <x:c r="D55" s="22">
        <x:v>0</x:v>
      </x:c>
      <x:c r="E55" s="22" t="s">
        <x:v>1241</x:v>
      </x:c>
      <x:c r="F55" s="24" t="s">
        <x:v>1227</x:v>
      </x:c>
      <x:c r="G55" s="27" t="s">
        <x:v>1227</x:v>
      </x:c>
      <x:c r="H55" s="28"/>
    </x:row>
    <x:row r="56" spans="1:8">
      <x:c r="A56" s="21" t="s">
        <x:v>1335</x:v>
      </x:c>
      <x:c r="B56" s="22" t="s">
        <x:v>571</x:v>
      </x:c>
      <x:c r="C56" s="22" t="s">
        <x:v>1336</x:v>
      </x:c>
      <x:c r="D56" s="22">
        <x:v>0</x:v>
      </x:c>
      <x:c r="E56" s="22" t="s">
        <x:v>1241</x:v>
      </x:c>
      <x:c r="F56" s="24" t="s">
        <x:v>1227</x:v>
      </x:c>
      <x:c r="G56" s="27" t="s">
        <x:v>1227</x:v>
      </x:c>
      <x:c r="H56" s="28"/>
    </x:row>
    <x:row r="57" spans="1:8">
      <x:c r="A57" s="21" t="s">
        <x:v>1337</x:v>
      </x:c>
      <x:c r="B57" s="22" t="s">
        <x:v>571</x:v>
      </x:c>
      <x:c r="C57" s="22" t="s">
        <x:v>1338</x:v>
      </x:c>
      <x:c r="D57" s="22">
        <x:v>0</x:v>
      </x:c>
      <x:c r="E57" s="22" t="s">
        <x:v>1241</x:v>
      </x:c>
      <x:c r="F57" s="24" t="s">
        <x:v>1227</x:v>
      </x:c>
      <x:c r="G57" s="27" t="s">
        <x:v>1227</x:v>
      </x:c>
      <x:c r="H57" s="28"/>
    </x:row>
    <x:row r="58" spans="1:8">
      <x:c r="A58" s="21" t="s">
        <x:v>1339</x:v>
      </x:c>
      <x:c r="B58" s="22" t="s">
        <x:v>571</x:v>
      </x:c>
      <x:c r="C58" s="22" t="s">
        <x:v>1340</x:v>
      </x:c>
      <x:c r="D58" s="22">
        <x:v>0</x:v>
      </x:c>
      <x:c r="E58" s="22" t="s">
        <x:v>1274</x:v>
      </x:c>
      <x:c r="F58" s="24" t="s">
        <x:v>1227</x:v>
      </x:c>
      <x:c r="G58" s="27" t="s">
        <x:v>1227</x:v>
      </x:c>
      <x:c r="H58" s="28"/>
    </x:row>
    <x:row r="59" spans="1:8">
      <x:c r="A59" s="21" t="s">
        <x:v>1341</x:v>
      </x:c>
      <x:c r="B59" s="22" t="s">
        <x:v>571</x:v>
      </x:c>
      <x:c r="C59" s="22" t="s">
        <x:v>1342</x:v>
      </x:c>
      <x:c r="D59" s="22">
        <x:v>0</x:v>
      </x:c>
      <x:c r="E59" s="22" t="s">
        <x:v>1246</x:v>
      </x:c>
      <x:c r="F59" s="24" t="s">
        <x:v>1227</x:v>
      </x:c>
      <x:c r="G59" s="27" t="s">
        <x:v>1227</x:v>
      </x:c>
      <x:c r="H59" s="28"/>
    </x:row>
    <x:row r="60" spans="1:8">
      <x:c r="A60" s="21" t="s">
        <x:v>1343</x:v>
      </x:c>
      <x:c r="B60" s="22" t="s">
        <x:v>571</x:v>
      </x:c>
      <x:c r="C60" s="22" t="s">
        <x:v>1344</x:v>
      </x:c>
      <x:c r="D60" s="22">
        <x:v>0</x:v>
      </x:c>
      <x:c r="E60" s="22" t="s">
        <x:v>1274</x:v>
      </x:c>
      <x:c r="F60" s="24" t="s">
        <x:v>1227</x:v>
      </x:c>
      <x:c r="G60" s="27" t="s">
        <x:v>1227</x:v>
      </x:c>
      <x:c r="H60" s="28"/>
    </x:row>
    <x:row r="61" spans="1:8">
      <x:c r="A61" s="21" t="s">
        <x:v>1345</x:v>
      </x:c>
      <x:c r="B61" s="22" t="s">
        <x:v>571</x:v>
      </x:c>
      <x:c r="C61" s="22" t="s">
        <x:v>1346</x:v>
      </x:c>
      <x:c r="D61" s="22">
        <x:v>0</x:v>
      </x:c>
      <x:c r="E61" s="22" t="s">
        <x:v>1277</x:v>
      </x:c>
      <x:c r="F61" s="24" t="s">
        <x:v>1227</x:v>
      </x:c>
      <x:c r="G61" s="27" t="s">
        <x:v>1227</x:v>
      </x:c>
      <x:c r="H61" s="28"/>
    </x:row>
    <x:row r="62" spans="1:8">
      <x:c r="A62" s="21" t="s">
        <x:v>1347</x:v>
      </x:c>
      <x:c r="B62" s="22" t="s">
        <x:v>571</x:v>
      </x:c>
      <x:c r="C62" s="22" t="s">
        <x:v>1348</x:v>
      </x:c>
      <x:c r="D62" s="22">
        <x:v>0</x:v>
      </x:c>
      <x:c r="E62" s="22" t="s">
        <x:v>1274</x:v>
      </x:c>
      <x:c r="F62" s="24" t="s">
        <x:v>1227</x:v>
      </x:c>
      <x:c r="G62" s="27" t="s">
        <x:v>1227</x:v>
      </x:c>
      <x:c r="H62" s="28"/>
    </x:row>
    <x:row r="63" spans="1:8">
      <x:c r="A63" s="21" t="s">
        <x:v>1349</x:v>
      </x:c>
      <x:c r="B63" s="22" t="s">
        <x:v>571</x:v>
      </x:c>
      <x:c r="C63" s="22" t="s">
        <x:v>1350</x:v>
      </x:c>
      <x:c r="D63" s="22">
        <x:v>0</x:v>
      </x:c>
      <x:c r="E63" s="22" t="s">
        <x:v>1274</x:v>
      </x:c>
      <x:c r="F63" s="24" t="s">
        <x:v>1227</x:v>
      </x:c>
      <x:c r="G63" s="27" t="s">
        <x:v>1227</x:v>
      </x:c>
      <x:c r="H63" s="28"/>
    </x:row>
    <x:row r="64" spans="1:8">
      <x:c r="A64" s="21" t="s">
        <x:v>1351</x:v>
      </x:c>
      <x:c r="B64" s="22" t="s">
        <x:v>571</x:v>
      </x:c>
      <x:c r="C64" s="22" t="s">
        <x:v>1352</x:v>
      </x:c>
      <x:c r="D64" s="22">
        <x:v>0</x:v>
      </x:c>
      <x:c r="E64" s="22" t="s">
        <x:v>1277</x:v>
      </x:c>
      <x:c r="F64" s="24" t="s">
        <x:v>1227</x:v>
      </x:c>
      <x:c r="G64" s="27" t="s">
        <x:v>1227</x:v>
      </x:c>
      <x:c r="H64" s="28"/>
    </x:row>
    <x:row r="65" spans="1:8">
      <x:c r="A65" s="21" t="s">
        <x:v>1353</x:v>
      </x:c>
      <x:c r="B65" s="22" t="s">
        <x:v>571</x:v>
      </x:c>
      <x:c r="C65" s="22" t="s">
        <x:v>1354</x:v>
      </x:c>
      <x:c r="D65" s="22">
        <x:v>0</x:v>
      </x:c>
      <x:c r="E65" s="22" t="s">
        <x:v>1241</x:v>
      </x:c>
      <x:c r="F65" s="24" t="s">
        <x:v>1227</x:v>
      </x:c>
      <x:c r="G65" s="27" t="s">
        <x:v>1227</x:v>
      </x:c>
      <x:c r="H65" s="28"/>
    </x:row>
    <x:row r="66" spans="1:8">
      <x:c r="A66" s="21" t="s">
        <x:v>1355</x:v>
      </x:c>
      <x:c r="B66" s="22" t="s">
        <x:v>571</x:v>
      </x:c>
      <x:c r="C66" s="22" t="s">
        <x:v>1356</x:v>
      </x:c>
      <x:c r="D66" s="22">
        <x:v>0</x:v>
      </x:c>
      <x:c r="E66" s="22" t="s">
        <x:v>1241</x:v>
      </x:c>
      <x:c r="F66" s="24" t="s">
        <x:v>1227</x:v>
      </x:c>
      <x:c r="G66" s="27" t="s">
        <x:v>1227</x:v>
      </x:c>
      <x:c r="H66" s="28"/>
    </x:row>
    <x:row r="67" spans="1:8">
      <x:c r="A67" s="21" t="s">
        <x:v>1357</x:v>
      </x:c>
      <x:c r="B67" s="22" t="s">
        <x:v>571</x:v>
      </x:c>
      <x:c r="C67" s="22" t="s">
        <x:v>1358</x:v>
      </x:c>
      <x:c r="D67" s="22">
        <x:v>0</x:v>
      </x:c>
      <x:c r="E67" s="22" t="s">
        <x:v>1300</x:v>
      </x:c>
      <x:c r="F67" s="24" t="s">
        <x:v>1227</x:v>
      </x:c>
      <x:c r="G67" s="27" t="s">
        <x:v>1227</x:v>
      </x:c>
      <x:c r="H67" s="28"/>
    </x:row>
    <x:row r="68" spans="1:8">
      <x:c r="A68" s="21" t="s">
        <x:v>1359</x:v>
      </x:c>
      <x:c r="B68" s="22" t="s">
        <x:v>571</x:v>
      </x:c>
      <x:c r="C68" s="22" t="s">
        <x:v>1360</x:v>
      </x:c>
      <x:c r="D68" s="22">
        <x:v>0</x:v>
      </x:c>
      <x:c r="E68" s="22" t="s">
        <x:v>1241</x:v>
      </x:c>
      <x:c r="F68" s="24" t="s">
        <x:v>1227</x:v>
      </x:c>
      <x:c r="G68" s="27" t="s">
        <x:v>1227</x:v>
      </x:c>
      <x:c r="H68" s="28"/>
    </x:row>
    <x:row r="69" spans="1:8">
      <x:c r="A69" s="21" t="s">
        <x:v>1361</x:v>
      </x:c>
      <x:c r="B69" s="22" t="s">
        <x:v>571</x:v>
      </x:c>
      <x:c r="C69" s="22" t="s">
        <x:v>1362</x:v>
      </x:c>
      <x:c r="D69" s="22">
        <x:v>0</x:v>
      </x:c>
      <x:c r="E69" s="22" t="s">
        <x:v>1277</x:v>
      </x:c>
      <x:c r="F69" s="24" t="s">
        <x:v>1227</x:v>
      </x:c>
      <x:c r="G69" s="27" t="s">
        <x:v>1227</x:v>
      </x:c>
      <x:c r="H69" s="28"/>
    </x:row>
    <x:row r="70" spans="1:8">
      <x:c r="A70" s="21" t="s">
        <x:v>1363</x:v>
      </x:c>
      <x:c r="B70" s="22" t="s">
        <x:v>571</x:v>
      </x:c>
      <x:c r="C70" s="22" t="s">
        <x:v>1364</x:v>
      </x:c>
      <x:c r="D70" s="22">
        <x:v>0</x:v>
      </x:c>
      <x:c r="E70" s="22" t="s">
        <x:v>1274</x:v>
      </x:c>
      <x:c r="F70" s="24" t="s">
        <x:v>1227</x:v>
      </x:c>
      <x:c r="G70" s="27" t="s">
        <x:v>1227</x:v>
      </x:c>
      <x:c r="H70" s="28"/>
    </x:row>
    <x:row r="71" spans="1:8">
      <x:c r="A71" s="21" t="s">
        <x:v>1365</x:v>
      </x:c>
      <x:c r="B71" s="22" t="s">
        <x:v>571</x:v>
      </x:c>
      <x:c r="C71" s="22" t="s">
        <x:v>1366</x:v>
      </x:c>
      <x:c r="D71" s="22">
        <x:v>0</x:v>
      </x:c>
      <x:c r="E71" s="22" t="s">
        <x:v>1274</x:v>
      </x:c>
      <x:c r="F71" s="24" t="s">
        <x:v>1227</x:v>
      </x:c>
      <x:c r="G71" s="27" t="s">
        <x:v>1227</x:v>
      </x:c>
      <x:c r="H71" s="28"/>
    </x:row>
    <x:row r="72" spans="1:8">
      <x:c r="A72" s="21" t="s">
        <x:v>1367</x:v>
      </x:c>
      <x:c r="B72" s="22" t="s">
        <x:v>571</x:v>
      </x:c>
      <x:c r="C72" s="22" t="s">
        <x:v>1368</x:v>
      </x:c>
      <x:c r="D72" s="22">
        <x:v>0</x:v>
      </x:c>
      <x:c r="E72" s="22" t="s">
        <x:v>1274</x:v>
      </x:c>
      <x:c r="F72" s="24" t="s">
        <x:v>1227</x:v>
      </x:c>
      <x:c r="G72" s="27" t="s">
        <x:v>1227</x:v>
      </x:c>
      <x:c r="H72" s="28"/>
    </x:row>
    <x:row r="73" spans="1:8">
      <x:c r="A73" s="21" t="s">
        <x:v>1369</x:v>
      </x:c>
      <x:c r="B73" s="22" t="s">
        <x:v>571</x:v>
      </x:c>
      <x:c r="C73" s="22" t="s">
        <x:v>1370</x:v>
      </x:c>
      <x:c r="D73" s="22">
        <x:v>0</x:v>
      </x:c>
      <x:c r="E73" s="22" t="s">
        <x:v>1300</x:v>
      </x:c>
      <x:c r="F73" s="24" t="s">
        <x:v>1227</x:v>
      </x:c>
      <x:c r="G73" s="27" t="s">
        <x:v>1227</x:v>
      </x:c>
      <x:c r="H73" s="28"/>
    </x:row>
    <x:row r="74" spans="1:8">
      <x:c r="A74" s="21" t="s">
        <x:v>1371</x:v>
      </x:c>
      <x:c r="B74" s="22" t="s">
        <x:v>571</x:v>
      </x:c>
      <x:c r="C74" s="22" t="s">
        <x:v>1372</x:v>
      </x:c>
      <x:c r="D74" s="22">
        <x:v>0</x:v>
      </x:c>
      <x:c r="E74" s="22" t="s">
        <x:v>1300</x:v>
      </x:c>
      <x:c r="F74" s="24" t="s">
        <x:v>1227</x:v>
      </x:c>
      <x:c r="G74" s="27" t="s">
        <x:v>1227</x:v>
      </x:c>
      <x:c r="H74" s="28"/>
    </x:row>
    <x:row r="75" spans="1:8">
      <x:c r="A75" s="21" t="s">
        <x:v>1373</x:v>
      </x:c>
      <x:c r="B75" s="22" t="s">
        <x:v>571</x:v>
      </x:c>
      <x:c r="C75" s="22" t="s">
        <x:v>1374</x:v>
      </x:c>
      <x:c r="D75" s="22">
        <x:v>0</x:v>
      </x:c>
      <x:c r="E75" s="22" t="s">
        <x:v>1300</x:v>
      </x:c>
      <x:c r="F75" s="24" t="s">
        <x:v>1227</x:v>
      </x:c>
      <x:c r="G75" s="27" t="s">
        <x:v>1227</x:v>
      </x:c>
      <x:c r="H75" s="28"/>
    </x:row>
    <x:row r="76" spans="1:8">
      <x:c r="A76" s="21" t="s">
        <x:v>1375</x:v>
      </x:c>
      <x:c r="B76" s="22" t="s">
        <x:v>571</x:v>
      </x:c>
      <x:c r="C76" s="22" t="s">
        <x:v>1376</x:v>
      </x:c>
      <x:c r="D76" s="22">
        <x:v>0</x:v>
      </x:c>
      <x:c r="E76" s="22" t="s">
        <x:v>1274</x:v>
      </x:c>
      <x:c r="F76" s="24" t="s">
        <x:v>1227</x:v>
      </x:c>
      <x:c r="G76" s="27" t="s">
        <x:v>1227</x:v>
      </x:c>
      <x:c r="H76" s="28"/>
    </x:row>
    <x:row r="77" spans="1:8">
      <x:c r="A77" s="21" t="s">
        <x:v>1377</x:v>
      </x:c>
      <x:c r="B77" s="22" t="s">
        <x:v>571</x:v>
      </x:c>
      <x:c r="C77" s="22" t="s">
        <x:v>1378</x:v>
      </x:c>
      <x:c r="D77" s="22">
        <x:v>0</x:v>
      </x:c>
      <x:c r="E77" s="22" t="s">
        <x:v>1241</x:v>
      </x:c>
      <x:c r="F77" s="24" t="s">
        <x:v>1227</x:v>
      </x:c>
      <x:c r="G77" s="27" t="s">
        <x:v>1227</x:v>
      </x:c>
      <x:c r="H77" s="28"/>
    </x:row>
    <x:row r="78" spans="1:8">
      <x:c r="A78" s="21" t="s">
        <x:v>1379</x:v>
      </x:c>
      <x:c r="B78" s="22" t="s">
        <x:v>571</x:v>
      </x:c>
      <x:c r="C78" s="22" t="s">
        <x:v>1380</x:v>
      </x:c>
      <x:c r="D78" s="22">
        <x:v>0</x:v>
      </x:c>
      <x:c r="E78" s="22" t="s">
        <x:v>1300</x:v>
      </x:c>
      <x:c r="F78" s="24" t="s">
        <x:v>1227</x:v>
      </x:c>
      <x:c r="G78" s="27" t="s">
        <x:v>1227</x:v>
      </x:c>
      <x:c r="H78" s="28"/>
    </x:row>
    <x:row r="79" spans="1:8">
      <x:c r="A79" s="21" t="s">
        <x:v>1381</x:v>
      </x:c>
      <x:c r="B79" s="22" t="s">
        <x:v>571</x:v>
      </x:c>
      <x:c r="C79" s="22" t="s">
        <x:v>1382</x:v>
      </x:c>
      <x:c r="D79" s="22">
        <x:v>0</x:v>
      </x:c>
      <x:c r="E79" s="22" t="s">
        <x:v>1300</x:v>
      </x:c>
      <x:c r="F79" s="24" t="s">
        <x:v>1227</x:v>
      </x:c>
      <x:c r="G79" s="27" t="s">
        <x:v>1227</x:v>
      </x:c>
      <x:c r="H79" s="28"/>
    </x:row>
    <x:row r="80" spans="1:8">
      <x:c r="A80" s="21" t="s">
        <x:v>1383</x:v>
      </x:c>
      <x:c r="B80" s="22" t="s">
        <x:v>571</x:v>
      </x:c>
      <x:c r="C80" s="22" t="s">
        <x:v>1384</x:v>
      </x:c>
      <x:c r="D80" s="22">
        <x:v>0</x:v>
      </x:c>
      <x:c r="E80" s="22" t="s">
        <x:v>1300</x:v>
      </x:c>
      <x:c r="F80" s="24" t="s">
        <x:v>1227</x:v>
      </x:c>
      <x:c r="G80" s="27" t="s">
        <x:v>1227</x:v>
      </x:c>
      <x:c r="H80" s="28"/>
    </x:row>
    <x:row r="81" spans="1:8">
      <x:c r="A81" s="21" t="s">
        <x:v>1385</x:v>
      </x:c>
      <x:c r="B81" s="22" t="s">
        <x:v>571</x:v>
      </x:c>
      <x:c r="C81" s="22" t="s">
        <x:v>1386</x:v>
      </x:c>
      <x:c r="D81" s="22">
        <x:v>0</x:v>
      </x:c>
      <x:c r="E81" s="22" t="s">
        <x:v>1300</x:v>
      </x:c>
      <x:c r="F81" s="24" t="s">
        <x:v>1227</x:v>
      </x:c>
      <x:c r="G81" s="27" t="s">
        <x:v>1227</x:v>
      </x:c>
      <x:c r="H81" s="28"/>
    </x:row>
    <x:row r="82" spans="1:8">
      <x:c r="A82" s="21" t="s">
        <x:v>1387</x:v>
      </x:c>
      <x:c r="B82" s="22" t="s">
        <x:v>571</x:v>
      </x:c>
      <x:c r="C82" s="22" t="s">
        <x:v>1388</x:v>
      </x:c>
      <x:c r="D82" s="22">
        <x:v>0</x:v>
      </x:c>
      <x:c r="E82" s="22" t="s">
        <x:v>1274</x:v>
      </x:c>
      <x:c r="F82" s="24" t="s">
        <x:v>1227</x:v>
      </x:c>
      <x:c r="G82" s="27" t="s">
        <x:v>1227</x:v>
      </x:c>
      <x:c r="H82" s="28"/>
    </x:row>
    <x:row r="83" spans="1:8">
      <x:c r="A83" s="21" t="s">
        <x:v>1389</x:v>
      </x:c>
      <x:c r="B83" s="22" t="s">
        <x:v>571</x:v>
      </x:c>
      <x:c r="C83" s="22" t="s">
        <x:v>1390</x:v>
      </x:c>
      <x:c r="D83" s="22">
        <x:v>0</x:v>
      </x:c>
      <x:c r="E83" s="22" t="s">
        <x:v>1241</x:v>
      </x:c>
      <x:c r="F83" s="24" t="s">
        <x:v>1227</x:v>
      </x:c>
      <x:c r="G83" s="27" t="s">
        <x:v>1227</x:v>
      </x:c>
      <x:c r="H83" s="28"/>
    </x:row>
    <x:row r="84" spans="1:8">
      <x:c r="A84" s="21" t="s">
        <x:v>1391</x:v>
      </x:c>
      <x:c r="B84" s="22" t="s">
        <x:v>571</x:v>
      </x:c>
      <x:c r="C84" s="22" t="s">
        <x:v>1392</x:v>
      </x:c>
      <x:c r="D84" s="22">
        <x:v>0</x:v>
      </x:c>
      <x:c r="E84" s="22" t="s">
        <x:v>1300</x:v>
      </x:c>
      <x:c r="F84" s="24" t="s">
        <x:v>1227</x:v>
      </x:c>
      <x:c r="G84" s="27" t="s">
        <x:v>1227</x:v>
      </x:c>
      <x:c r="H84" s="28"/>
    </x:row>
    <x:row r="85" spans="1:8">
      <x:c r="A85" s="21" t="s">
        <x:v>1393</x:v>
      </x:c>
      <x:c r="B85" s="22" t="s">
        <x:v>571</x:v>
      </x:c>
      <x:c r="C85" s="22" t="s">
        <x:v>1394</x:v>
      </x:c>
      <x:c r="D85" s="22">
        <x:v>0</x:v>
      </x:c>
      <x:c r="E85" s="22" t="s">
        <x:v>1274</x:v>
      </x:c>
      <x:c r="F85" s="24" t="s">
        <x:v>1227</x:v>
      </x:c>
      <x:c r="G85" s="27" t="s">
        <x:v>1227</x:v>
      </x:c>
      <x:c r="H85" s="28"/>
    </x:row>
    <x:row r="86" spans="1:8">
      <x:c r="A86" s="21" t="s">
        <x:v>1395</x:v>
      </x:c>
      <x:c r="B86" s="22" t="s">
        <x:v>571</x:v>
      </x:c>
      <x:c r="C86" s="22" t="s">
        <x:v>1396</x:v>
      </x:c>
      <x:c r="D86" s="22">
        <x:v>0</x:v>
      </x:c>
      <x:c r="E86" s="22" t="s">
        <x:v>1277</x:v>
      </x:c>
      <x:c r="F86" s="24" t="s">
        <x:v>1227</x:v>
      </x:c>
      <x:c r="G86" s="27" t="s">
        <x:v>1227</x:v>
      </x:c>
      <x:c r="H86" s="28"/>
    </x:row>
    <x:row r="87" spans="1:8">
      <x:c r="A87" s="21" t="s">
        <x:v>1397</x:v>
      </x:c>
      <x:c r="B87" s="22" t="s">
        <x:v>571</x:v>
      </x:c>
      <x:c r="C87" s="22" t="s">
        <x:v>1398</x:v>
      </x:c>
      <x:c r="D87" s="22">
        <x:v>0</x:v>
      </x:c>
      <x:c r="E87" s="22" t="s">
        <x:v>1274</x:v>
      </x:c>
      <x:c r="F87" s="24" t="s">
        <x:v>1227</x:v>
      </x:c>
      <x:c r="G87" s="27" t="s">
        <x:v>1227</x:v>
      </x:c>
      <x:c r="H87" s="28"/>
    </x:row>
    <x:row r="88" spans="1:8">
      <x:c r="A88" s="21" t="s">
        <x:v>1399</x:v>
      </x:c>
      <x:c r="B88" s="22" t="s">
        <x:v>571</x:v>
      </x:c>
      <x:c r="C88" s="22" t="s">
        <x:v>1400</x:v>
      </x:c>
      <x:c r="D88" s="22">
        <x:v>0</x:v>
      </x:c>
      <x:c r="E88" s="22" t="s">
        <x:v>1274</x:v>
      </x:c>
      <x:c r="F88" s="24" t="s">
        <x:v>1227</x:v>
      </x:c>
      <x:c r="G88" s="27" t="s">
        <x:v>1227</x:v>
      </x:c>
      <x:c r="H88" s="28"/>
    </x:row>
    <x:row r="89" spans="1:8">
      <x:c r="A89" s="21" t="s">
        <x:v>1401</x:v>
      </x:c>
      <x:c r="B89" s="22" t="s">
        <x:v>571</x:v>
      </x:c>
      <x:c r="C89" s="22" t="s">
        <x:v>1402</x:v>
      </x:c>
      <x:c r="D89" s="22">
        <x:v>0</x:v>
      </x:c>
      <x:c r="E89" s="22" t="s">
        <x:v>1274</x:v>
      </x:c>
      <x:c r="F89" s="24" t="s">
        <x:v>1227</x:v>
      </x:c>
      <x:c r="G89" s="27" t="s">
        <x:v>1227</x:v>
      </x:c>
      <x:c r="H89" s="28"/>
    </x:row>
    <x:row r="90" spans="1:8">
      <x:c r="A90" s="21" t="s">
        <x:v>1403</x:v>
      </x:c>
      <x:c r="B90" s="22" t="s">
        <x:v>571</x:v>
      </x:c>
      <x:c r="C90" s="22" t="s">
        <x:v>1404</x:v>
      </x:c>
      <x:c r="D90" s="22">
        <x:v>0</x:v>
      </x:c>
      <x:c r="E90" s="22" t="s">
        <x:v>1246</x:v>
      </x:c>
      <x:c r="F90" s="24" t="s">
        <x:v>1227</x:v>
      </x:c>
      <x:c r="G90" s="27" t="s">
        <x:v>1227</x:v>
      </x:c>
      <x:c r="H90" s="28"/>
    </x:row>
    <x:row r="91" spans="1:8">
      <x:c r="A91" s="21" t="s">
        <x:v>1405</x:v>
      </x:c>
      <x:c r="B91" s="22" t="s">
        <x:v>571</x:v>
      </x:c>
      <x:c r="C91" s="22" t="s">
        <x:v>1406</x:v>
      </x:c>
      <x:c r="D91" s="22">
        <x:v>0</x:v>
      </x:c>
      <x:c r="E91" s="22" t="s">
        <x:v>1274</x:v>
      </x:c>
      <x:c r="F91" s="24" t="s">
        <x:v>1227</x:v>
      </x:c>
      <x:c r="G91" s="27" t="s">
        <x:v>1227</x:v>
      </x:c>
      <x:c r="H91" s="28"/>
    </x:row>
    <x:row r="92" spans="1:8">
      <x:c r="A92" s="21" t="s">
        <x:v>1407</x:v>
      </x:c>
      <x:c r="B92" s="22" t="s">
        <x:v>571</x:v>
      </x:c>
      <x:c r="C92" s="22" t="s">
        <x:v>1408</x:v>
      </x:c>
      <x:c r="D92" s="22">
        <x:v>0</x:v>
      </x:c>
      <x:c r="E92" s="22" t="s">
        <x:v>1274</x:v>
      </x:c>
      <x:c r="F92" s="24" t="s">
        <x:v>1227</x:v>
      </x:c>
      <x:c r="G92" s="27" t="s">
        <x:v>1227</x:v>
      </x:c>
      <x:c r="H92" s="28"/>
    </x:row>
    <x:row r="93" spans="1:8">
      <x:c r="A93" s="21" t="s">
        <x:v>1409</x:v>
      </x:c>
      <x:c r="B93" s="22" t="s">
        <x:v>571</x:v>
      </x:c>
      <x:c r="C93" s="22" t="s">
        <x:v>1410</x:v>
      </x:c>
      <x:c r="D93" s="22">
        <x:v>0</x:v>
      </x:c>
      <x:c r="E93" s="22" t="s">
        <x:v>1300</x:v>
      </x:c>
      <x:c r="F93" s="24" t="s">
        <x:v>1227</x:v>
      </x:c>
      <x:c r="G93" s="27" t="s">
        <x:v>1227</x:v>
      </x:c>
      <x:c r="H93" s="28"/>
    </x:row>
    <x:row r="94" spans="1:8">
      <x:c r="A94" s="21" t="s">
        <x:v>1411</x:v>
      </x:c>
      <x:c r="B94" s="22" t="s">
        <x:v>571</x:v>
      </x:c>
      <x:c r="C94" s="22" t="s">
        <x:v>1412</x:v>
      </x:c>
      <x:c r="D94" s="22">
        <x:v>0</x:v>
      </x:c>
      <x:c r="E94" s="22" t="s">
        <x:v>1241</x:v>
      </x:c>
      <x:c r="F94" s="24" t="s">
        <x:v>1227</x:v>
      </x:c>
      <x:c r="G94" s="27" t="s">
        <x:v>1227</x:v>
      </x:c>
      <x:c r="H94" s="28"/>
    </x:row>
    <x:row r="95" spans="1:8">
      <x:c r="A95" s="21" t="s">
        <x:v>1413</x:v>
      </x:c>
      <x:c r="B95" s="22" t="s">
        <x:v>571</x:v>
      </x:c>
      <x:c r="C95" s="22" t="s">
        <x:v>1414</x:v>
      </x:c>
      <x:c r="D95" s="22">
        <x:v>0</x:v>
      </x:c>
      <x:c r="E95" s="22" t="s">
        <x:v>1241</x:v>
      </x:c>
      <x:c r="F95" s="24" t="s">
        <x:v>1227</x:v>
      </x:c>
      <x:c r="G95" s="27" t="s">
        <x:v>1227</x:v>
      </x:c>
      <x:c r="H95" s="28"/>
    </x:row>
    <x:row r="96" spans="1:8">
      <x:c r="A96" s="21" t="s">
        <x:v>1415</x:v>
      </x:c>
      <x:c r="B96" s="22" t="s">
        <x:v>571</x:v>
      </x:c>
      <x:c r="C96" s="22" t="s">
        <x:v>1416</x:v>
      </x:c>
      <x:c r="D96" s="22">
        <x:v>0</x:v>
      </x:c>
      <x:c r="E96" s="22" t="s">
        <x:v>1241</x:v>
      </x:c>
      <x:c r="F96" s="24" t="s">
        <x:v>1227</x:v>
      </x:c>
      <x:c r="G96" s="27" t="s">
        <x:v>1227</x:v>
      </x:c>
      <x:c r="H96" s="28"/>
    </x:row>
    <x:row r="97" spans="1:8">
      <x:c r="A97" s="21" t="s">
        <x:v>1417</x:v>
      </x:c>
      <x:c r="B97" s="22" t="s">
        <x:v>571</x:v>
      </x:c>
      <x:c r="C97" s="22" t="s">
        <x:v>1418</x:v>
      </x:c>
      <x:c r="D97" s="22">
        <x:v>0</x:v>
      </x:c>
      <x:c r="E97" s="22" t="s">
        <x:v>1241</x:v>
      </x:c>
      <x:c r="F97" s="24" t="s">
        <x:v>1227</x:v>
      </x:c>
      <x:c r="G97" s="27" t="s">
        <x:v>1227</x:v>
      </x:c>
      <x:c r="H97" s="28"/>
    </x:row>
    <x:row r="98" spans="1:8">
      <x:c r="A98" s="21" t="s">
        <x:v>1419</x:v>
      </x:c>
      <x:c r="B98" s="22" t="s">
        <x:v>571</x:v>
      </x:c>
      <x:c r="C98" s="22" t="s">
        <x:v>1420</x:v>
      </x:c>
      <x:c r="D98" s="22">
        <x:v>0</x:v>
      </x:c>
      <x:c r="E98" s="22" t="s">
        <x:v>1241</x:v>
      </x:c>
      <x:c r="F98" s="24" t="s">
        <x:v>1227</x:v>
      </x:c>
      <x:c r="G98" s="27" t="s">
        <x:v>1227</x:v>
      </x:c>
      <x:c r="H98" s="28"/>
    </x:row>
    <x:row r="99" spans="1:8">
      <x:c r="A99" s="21" t="s">
        <x:v>1421</x:v>
      </x:c>
      <x:c r="B99" s="22" t="s">
        <x:v>571</x:v>
      </x:c>
      <x:c r="C99" s="22" t="s">
        <x:v>1422</x:v>
      </x:c>
      <x:c r="D99" s="22">
        <x:v>0</x:v>
      </x:c>
      <x:c r="E99" s="22" t="s">
        <x:v>1241</x:v>
      </x:c>
      <x:c r="F99" s="24" t="s">
        <x:v>1227</x:v>
      </x:c>
      <x:c r="G99" s="27" t="s">
        <x:v>1227</x:v>
      </x:c>
      <x:c r="H99" s="28"/>
    </x:row>
    <x:row r="100" spans="1:8">
      <x:c r="A100" s="21" t="s">
        <x:v>1423</x:v>
      </x:c>
      <x:c r="B100" s="22" t="s">
        <x:v>571</x:v>
      </x:c>
      <x:c r="C100" s="22" t="s">
        <x:v>1424</x:v>
      </x:c>
      <x:c r="D100" s="22">
        <x:v>0</x:v>
      </x:c>
      <x:c r="E100" s="22" t="s">
        <x:v>1241</x:v>
      </x:c>
      <x:c r="F100" s="24" t="s">
        <x:v>1227</x:v>
      </x:c>
      <x:c r="G100" s="27" t="s">
        <x:v>1227</x:v>
      </x:c>
      <x:c r="H100" s="28"/>
    </x:row>
    <x:row r="101" spans="1:8">
      <x:c r="A101" s="21" t="s">
        <x:v>1425</x:v>
      </x:c>
      <x:c r="B101" s="22" t="s">
        <x:v>571</x:v>
      </x:c>
      <x:c r="C101" s="22" t="s">
        <x:v>1426</x:v>
      </x:c>
      <x:c r="D101" s="22">
        <x:v>0</x:v>
      </x:c>
      <x:c r="E101" s="22" t="s">
        <x:v>1241</x:v>
      </x:c>
      <x:c r="F101" s="24" t="s">
        <x:v>1227</x:v>
      </x:c>
      <x:c r="G101" s="27" t="s">
        <x:v>1227</x:v>
      </x:c>
      <x:c r="H101" s="28"/>
    </x:row>
    <x:row r="102" spans="1:8">
      <x:c r="A102" s="21" t="s">
        <x:v>1427</x:v>
      </x:c>
      <x:c r="B102" s="22" t="s">
        <x:v>571</x:v>
      </x:c>
      <x:c r="C102" s="22" t="s">
        <x:v>1428</x:v>
      </x:c>
      <x:c r="D102" s="22">
        <x:v>0</x:v>
      </x:c>
      <x:c r="E102" s="22" t="s">
        <x:v>1241</x:v>
      </x:c>
      <x:c r="F102" s="24" t="s">
        <x:v>1227</x:v>
      </x:c>
      <x:c r="G102" s="27" t="s">
        <x:v>1227</x:v>
      </x:c>
      <x:c r="H102" s="28"/>
    </x:row>
    <x:row r="103" spans="1:8">
      <x:c r="A103" s="21" t="s">
        <x:v>1429</x:v>
      </x:c>
      <x:c r="B103" s="22" t="s">
        <x:v>571</x:v>
      </x:c>
      <x:c r="C103" s="22" t="s">
        <x:v>1430</x:v>
      </x:c>
      <x:c r="D103" s="22">
        <x:v>0</x:v>
      </x:c>
      <x:c r="E103" s="22" t="s">
        <x:v>1241</x:v>
      </x:c>
      <x:c r="F103" s="24" t="s">
        <x:v>1227</x:v>
      </x:c>
      <x:c r="G103" s="27" t="s">
        <x:v>1227</x:v>
      </x:c>
      <x:c r="H103" s="28"/>
    </x:row>
    <x:row r="104" spans="1:8">
      <x:c r="A104" s="21" t="s">
        <x:v>1431</x:v>
      </x:c>
      <x:c r="B104" s="22" t="s">
        <x:v>571</x:v>
      </x:c>
      <x:c r="C104" s="22" t="s">
        <x:v>1432</x:v>
      </x:c>
      <x:c r="D104" s="22">
        <x:v>0</x:v>
      </x:c>
      <x:c r="E104" s="22" t="s">
        <x:v>1241</x:v>
      </x:c>
      <x:c r="F104" s="24" t="s">
        <x:v>1227</x:v>
      </x:c>
      <x:c r="G104" s="27" t="s">
        <x:v>1227</x:v>
      </x:c>
      <x:c r="H104" s="28"/>
    </x:row>
    <x:row r="105" spans="1:8">
      <x:c r="A105" s="21" t="s">
        <x:v>1433</x:v>
      </x:c>
      <x:c r="B105" s="22" t="s">
        <x:v>571</x:v>
      </x:c>
      <x:c r="C105" s="22" t="s">
        <x:v>1434</x:v>
      </x:c>
      <x:c r="D105" s="22">
        <x:v>0</x:v>
      </x:c>
      <x:c r="E105" s="22" t="s">
        <x:v>1274</x:v>
      </x:c>
      <x:c r="F105" s="24" t="s">
        <x:v>1227</x:v>
      </x:c>
      <x:c r="G105" s="27" t="s">
        <x:v>1227</x:v>
      </x:c>
      <x:c r="H105" s="28"/>
    </x:row>
    <x:row r="106" spans="1:8">
      <x:c r="A106" s="21" t="s">
        <x:v>1435</x:v>
      </x:c>
      <x:c r="B106" s="22" t="s">
        <x:v>571</x:v>
      </x:c>
      <x:c r="C106" s="22" t="s">
        <x:v>1436</x:v>
      </x:c>
      <x:c r="D106" s="22">
        <x:v>0</x:v>
      </x:c>
      <x:c r="E106" s="22" t="s">
        <x:v>1241</x:v>
      </x:c>
      <x:c r="F106" s="24" t="s">
        <x:v>1227</x:v>
      </x:c>
      <x:c r="G106" s="27" t="s">
        <x:v>1227</x:v>
      </x:c>
      <x:c r="H106" s="28"/>
    </x:row>
    <x:row r="107" spans="1:8">
      <x:c r="A107" s="21" t="s">
        <x:v>1437</x:v>
      </x:c>
      <x:c r="B107" s="22" t="s">
        <x:v>571</x:v>
      </x:c>
      <x:c r="C107" s="22" t="s">
        <x:v>1438</x:v>
      </x:c>
      <x:c r="D107" s="22">
        <x:v>0</x:v>
      </x:c>
      <x:c r="E107" s="22" t="s">
        <x:v>1274</x:v>
      </x:c>
      <x:c r="F107" s="24" t="s">
        <x:v>1227</x:v>
      </x:c>
      <x:c r="G107" s="27" t="s">
        <x:v>1227</x:v>
      </x:c>
      <x:c r="H107" s="28"/>
    </x:row>
    <x:row r="108" spans="1:8">
      <x:c r="A108" s="21" t="s">
        <x:v>1439</x:v>
      </x:c>
      <x:c r="B108" s="22" t="s">
        <x:v>571</x:v>
      </x:c>
      <x:c r="C108" s="22" t="s">
        <x:v>1440</x:v>
      </x:c>
      <x:c r="D108" s="22">
        <x:v>0</x:v>
      </x:c>
      <x:c r="E108" s="22" t="s">
        <x:v>1241</x:v>
      </x:c>
      <x:c r="F108" s="24" t="s">
        <x:v>1227</x:v>
      </x:c>
      <x:c r="G108" s="27" t="s">
        <x:v>1227</x:v>
      </x:c>
      <x:c r="H108" s="28"/>
    </x:row>
    <x:row r="109" spans="1:8">
      <x:c r="A109" s="21" t="s">
        <x:v>1441</x:v>
      </x:c>
      <x:c r="B109" s="22" t="s">
        <x:v>571</x:v>
      </x:c>
      <x:c r="C109" s="22" t="s">
        <x:v>1442</x:v>
      </x:c>
      <x:c r="D109" s="22">
        <x:v>0</x:v>
      </x:c>
      <x:c r="E109" s="22" t="s">
        <x:v>1246</x:v>
      </x:c>
      <x:c r="F109" s="24" t="s">
        <x:v>1227</x:v>
      </x:c>
      <x:c r="G109" s="27" t="s">
        <x:v>1227</x:v>
      </x:c>
      <x:c r="H109" s="28"/>
    </x:row>
    <x:row r="110" spans="1:8">
      <x:c r="A110" s="21" t="s">
        <x:v>1443</x:v>
      </x:c>
      <x:c r="B110" s="22" t="s">
        <x:v>571</x:v>
      </x:c>
      <x:c r="C110" s="22" t="s">
        <x:v>1444</x:v>
      </x:c>
      <x:c r="D110" s="22">
        <x:v>0</x:v>
      </x:c>
      <x:c r="E110" s="22" t="s">
        <x:v>1241</x:v>
      </x:c>
      <x:c r="F110" s="24" t="s">
        <x:v>1227</x:v>
      </x:c>
      <x:c r="G110" s="27" t="s">
        <x:v>1227</x:v>
      </x:c>
      <x:c r="H110" s="28"/>
    </x:row>
    <x:row r="111" spans="1:8">
      <x:c r="A111" s="21" t="s">
        <x:v>1445</x:v>
      </x:c>
      <x:c r="B111" s="22" t="s">
        <x:v>571</x:v>
      </x:c>
      <x:c r="C111" s="22" t="s">
        <x:v>1446</x:v>
      </x:c>
      <x:c r="D111" s="22">
        <x:v>0</x:v>
      </x:c>
      <x:c r="E111" s="22" t="s">
        <x:v>1241</x:v>
      </x:c>
      <x:c r="F111" s="24" t="s">
        <x:v>1227</x:v>
      </x:c>
      <x:c r="G111" s="27" t="s">
        <x:v>1227</x:v>
      </x:c>
      <x:c r="H111" s="28"/>
    </x:row>
    <x:row r="112" spans="1:8">
      <x:c r="A112" s="21" t="s">
        <x:v>1447</x:v>
      </x:c>
      <x:c r="B112" s="22" t="s">
        <x:v>571</x:v>
      </x:c>
      <x:c r="C112" s="22" t="s">
        <x:v>1448</x:v>
      </x:c>
      <x:c r="D112" s="22">
        <x:v>0</x:v>
      </x:c>
      <x:c r="E112" s="22" t="s">
        <x:v>1241</x:v>
      </x:c>
      <x:c r="F112" s="24" t="s">
        <x:v>1227</x:v>
      </x:c>
      <x:c r="G112" s="27" t="s">
        <x:v>1227</x:v>
      </x:c>
      <x:c r="H112" s="28"/>
    </x:row>
    <x:row r="113" spans="1:8">
      <x:c r="A113" s="21" t="s">
        <x:v>1449</x:v>
      </x:c>
      <x:c r="B113" s="22" t="s">
        <x:v>571</x:v>
      </x:c>
      <x:c r="C113" s="22" t="s">
        <x:v>1450</x:v>
      </x:c>
      <x:c r="D113" s="22">
        <x:v>0</x:v>
      </x:c>
      <x:c r="E113" s="22" t="s">
        <x:v>1241</x:v>
      </x:c>
      <x:c r="F113" s="24" t="s">
        <x:v>1227</x:v>
      </x:c>
      <x:c r="G113" s="27" t="s">
        <x:v>1227</x:v>
      </x:c>
      <x:c r="H113" s="28"/>
    </x:row>
    <x:row r="114" spans="1:8">
      <x:c r="A114" s="21" t="s">
        <x:v>1451</x:v>
      </x:c>
      <x:c r="B114" s="22" t="s">
        <x:v>571</x:v>
      </x:c>
      <x:c r="C114" s="22" t="s">
        <x:v>1452</x:v>
      </x:c>
      <x:c r="D114" s="22">
        <x:v>0</x:v>
      </x:c>
      <x:c r="E114" s="22" t="s">
        <x:v>1241</x:v>
      </x:c>
      <x:c r="F114" s="24" t="s">
        <x:v>1227</x:v>
      </x:c>
      <x:c r="G114" s="27" t="s">
        <x:v>1227</x:v>
      </x:c>
      <x:c r="H114" s="28"/>
    </x:row>
    <x:row r="115" spans="1:8">
      <x:c r="A115" s="21" t="s">
        <x:v>1453</x:v>
      </x:c>
      <x:c r="B115" s="22" t="s">
        <x:v>571</x:v>
      </x:c>
      <x:c r="C115" s="22" t="s">
        <x:v>1454</x:v>
      </x:c>
      <x:c r="D115" s="22">
        <x:v>0</x:v>
      </x:c>
      <x:c r="E115" s="22" t="s">
        <x:v>1241</x:v>
      </x:c>
      <x:c r="F115" s="24" t="s">
        <x:v>1227</x:v>
      </x:c>
      <x:c r="G115" s="27" t="s">
        <x:v>1227</x:v>
      </x:c>
      <x:c r="H115" s="28"/>
    </x:row>
    <x:row r="116" spans="1:8">
      <x:c r="A116" s="21" t="s">
        <x:v>1455</x:v>
      </x:c>
      <x:c r="B116" s="22" t="s">
        <x:v>571</x:v>
      </x:c>
      <x:c r="C116" s="22" t="s">
        <x:v>1456</x:v>
      </x:c>
      <x:c r="D116" s="22">
        <x:v>0</x:v>
      </x:c>
      <x:c r="E116" s="22" t="s">
        <x:v>1241</x:v>
      </x:c>
      <x:c r="F116" s="24" t="s">
        <x:v>1227</x:v>
      </x:c>
      <x:c r="G116" s="27" t="s">
        <x:v>1227</x:v>
      </x:c>
      <x:c r="H116" s="28"/>
    </x:row>
    <x:row r="117" spans="1:8">
      <x:c r="A117" s="21" t="s">
        <x:v>1457</x:v>
      </x:c>
      <x:c r="B117" s="22" t="s">
        <x:v>571</x:v>
      </x:c>
      <x:c r="C117" s="22" t="s">
        <x:v>1458</x:v>
      </x:c>
      <x:c r="D117" s="22">
        <x:v>0</x:v>
      </x:c>
      <x:c r="E117" s="22" t="s">
        <x:v>1241</x:v>
      </x:c>
      <x:c r="F117" s="24" t="s">
        <x:v>1227</x:v>
      </x:c>
      <x:c r="G117" s="27" t="s">
        <x:v>1227</x:v>
      </x:c>
      <x:c r="H117" s="28"/>
    </x:row>
    <x:row r="118" spans="1:8">
      <x:c r="A118" s="21" t="s">
        <x:v>1459</x:v>
      </x:c>
      <x:c r="B118" s="22" t="s">
        <x:v>571</x:v>
      </x:c>
      <x:c r="C118" s="22" t="s">
        <x:v>1460</x:v>
      </x:c>
      <x:c r="D118" s="22">
        <x:v>0</x:v>
      </x:c>
      <x:c r="E118" s="22" t="s">
        <x:v>1300</x:v>
      </x:c>
      <x:c r="F118" s="24" t="s">
        <x:v>1227</x:v>
      </x:c>
      <x:c r="G118" s="27" t="s">
        <x:v>1227</x:v>
      </x:c>
      <x:c r="H118" s="28"/>
    </x:row>
    <x:row r="119" spans="1:8">
      <x:c r="A119" s="21" t="s">
        <x:v>1461</x:v>
      </x:c>
      <x:c r="B119" s="22" t="s">
        <x:v>571</x:v>
      </x:c>
      <x:c r="C119" s="22" t="s">
        <x:v>1462</x:v>
      </x:c>
      <x:c r="D119" s="22">
        <x:v>0</x:v>
      </x:c>
      <x:c r="E119" s="22" t="s">
        <x:v>1300</x:v>
      </x:c>
      <x:c r="F119" s="24" t="s">
        <x:v>1227</x:v>
      </x:c>
      <x:c r="G119" s="27" t="s">
        <x:v>1227</x:v>
      </x:c>
      <x:c r="H119" s="28"/>
    </x:row>
    <x:row r="120" spans="1:8">
      <x:c r="A120" s="21" t="s">
        <x:v>1463</x:v>
      </x:c>
      <x:c r="B120" s="22" t="s">
        <x:v>571</x:v>
      </x:c>
      <x:c r="C120" s="22" t="s">
        <x:v>1464</x:v>
      </x:c>
      <x:c r="D120" s="22">
        <x:v>0</x:v>
      </x:c>
      <x:c r="E120" s="22" t="s">
        <x:v>1300</x:v>
      </x:c>
      <x:c r="F120" s="24" t="s">
        <x:v>1227</x:v>
      </x:c>
      <x:c r="G120" s="27" t="s">
        <x:v>1227</x:v>
      </x:c>
      <x:c r="H120" s="28"/>
    </x:row>
    <x:row r="121" spans="1:8">
      <x:c r="A121" s="21" t="s">
        <x:v>1465</x:v>
      </x:c>
      <x:c r="B121" s="22" t="s">
        <x:v>571</x:v>
      </x:c>
      <x:c r="C121" s="22" t="s">
        <x:v>1466</x:v>
      </x:c>
      <x:c r="D121" s="22">
        <x:v>0</x:v>
      </x:c>
      <x:c r="E121" s="22" t="s">
        <x:v>1241</x:v>
      </x:c>
      <x:c r="F121" s="24" t="s">
        <x:v>1227</x:v>
      </x:c>
      <x:c r="G121" s="27" t="s">
        <x:v>1227</x:v>
      </x:c>
      <x:c r="H121" s="28"/>
    </x:row>
    <x:row r="122" spans="1:8">
      <x:c r="A122" s="21" t="s">
        <x:v>1467</x:v>
      </x:c>
      <x:c r="B122" s="22" t="s">
        <x:v>571</x:v>
      </x:c>
      <x:c r="C122" s="22" t="s">
        <x:v>1468</x:v>
      </x:c>
      <x:c r="D122" s="22">
        <x:v>0</x:v>
      </x:c>
      <x:c r="E122" s="22" t="s">
        <x:v>1241</x:v>
      </x:c>
      <x:c r="F122" s="24" t="s">
        <x:v>1227</x:v>
      </x:c>
      <x:c r="G122" s="27" t="s">
        <x:v>1227</x:v>
      </x:c>
      <x:c r="H122" s="28"/>
    </x:row>
    <x:row r="123" spans="1:8">
      <x:c r="A123" s="21" t="s">
        <x:v>1469</x:v>
      </x:c>
      <x:c r="B123" s="22" t="s">
        <x:v>571</x:v>
      </x:c>
      <x:c r="C123" s="22" t="s">
        <x:v>1470</x:v>
      </x:c>
      <x:c r="D123" s="22">
        <x:v>0</x:v>
      </x:c>
      <x:c r="E123" s="22" t="s">
        <x:v>1300</x:v>
      </x:c>
      <x:c r="F123" s="24" t="s">
        <x:v>1227</x:v>
      </x:c>
      <x:c r="G123" s="27" t="s">
        <x:v>1227</x:v>
      </x:c>
      <x:c r="H123" s="28"/>
    </x:row>
    <x:row r="124" spans="1:8">
      <x:c r="A124" s="21" t="s">
        <x:v>1471</x:v>
      </x:c>
      <x:c r="B124" s="22" t="s">
        <x:v>571</x:v>
      </x:c>
      <x:c r="C124" s="22" t="s">
        <x:v>1472</x:v>
      </x:c>
      <x:c r="D124" s="22">
        <x:v>0</x:v>
      </x:c>
      <x:c r="E124" s="22" t="s">
        <x:v>1241</x:v>
      </x:c>
      <x:c r="F124" s="24" t="s">
        <x:v>1227</x:v>
      </x:c>
      <x:c r="G124" s="27" t="s">
        <x:v>1227</x:v>
      </x:c>
      <x:c r="H124" s="28"/>
    </x:row>
    <x:row r="125" spans="1:8">
      <x:c r="A125" s="21" t="s">
        <x:v>155</x:v>
      </x:c>
      <x:c r="B125" s="22" t="s">
        <x:v>571</x:v>
      </x:c>
      <x:c r="C125" s="22" t="s">
        <x:v>1473</x:v>
      </x:c>
      <x:c r="D125" s="22">
        <x:v>0</x:v>
      </x:c>
      <x:c r="E125" s="22" t="s">
        <x:v>1241</x:v>
      </x:c>
      <x:c r="F125" s="24" t="s">
        <x:v>1227</x:v>
      </x:c>
      <x:c r="G125" s="27" t="s">
        <x:v>1227</x:v>
      </x:c>
      <x:c r="H125" s="28"/>
    </x:row>
    <x:row r="126" spans="1:8">
      <x:c r="A126" s="21" t="s">
        <x:v>1474</x:v>
      </x:c>
      <x:c r="B126" s="22" t="s">
        <x:v>571</x:v>
      </x:c>
      <x:c r="C126" s="22" t="s">
        <x:v>1475</x:v>
      </x:c>
      <x:c r="D126" s="22">
        <x:v>0</x:v>
      </x:c>
      <x:c r="E126" s="22" t="s">
        <x:v>1241</x:v>
      </x:c>
      <x:c r="F126" s="24" t="s">
        <x:v>1227</x:v>
      </x:c>
      <x:c r="G126" s="27" t="s">
        <x:v>1227</x:v>
      </x:c>
      <x:c r="H126" s="28"/>
    </x:row>
    <x:row r="127" spans="1:8">
      <x:c r="A127" s="21" t="s">
        <x:v>1476</x:v>
      </x:c>
      <x:c r="B127" s="22" t="s">
        <x:v>571</x:v>
      </x:c>
      <x:c r="C127" s="22" t="s">
        <x:v>1477</x:v>
      </x:c>
      <x:c r="D127" s="22">
        <x:v>0</x:v>
      </x:c>
      <x:c r="E127" s="22" t="s">
        <x:v>1241</x:v>
      </x:c>
      <x:c r="F127" s="24" t="s">
        <x:v>1227</x:v>
      </x:c>
      <x:c r="G127" s="27" t="s">
        <x:v>1227</x:v>
      </x:c>
      <x:c r="H127" s="28"/>
    </x:row>
    <x:row r="128" spans="1:8">
      <x:c r="A128" s="21" t="s">
        <x:v>1478</x:v>
      </x:c>
      <x:c r="B128" s="22" t="s">
        <x:v>571</x:v>
      </x:c>
      <x:c r="C128" s="22" t="s">
        <x:v>1479</x:v>
      </x:c>
      <x:c r="D128" s="22">
        <x:v>0</x:v>
      </x:c>
      <x:c r="E128" s="22" t="s">
        <x:v>1241</x:v>
      </x:c>
      <x:c r="F128" s="24" t="s">
        <x:v>1227</x:v>
      </x:c>
      <x:c r="G128" s="27" t="s">
        <x:v>1227</x:v>
      </x:c>
      <x:c r="H128" s="28"/>
    </x:row>
    <x:row r="129" spans="1:8">
      <x:c r="A129" s="21" t="s">
        <x:v>1480</x:v>
      </x:c>
      <x:c r="B129" s="22" t="s">
        <x:v>571</x:v>
      </x:c>
      <x:c r="C129" s="22" t="s">
        <x:v>1481</x:v>
      </x:c>
      <x:c r="D129" s="22">
        <x:v>0</x:v>
      </x:c>
      <x:c r="E129" s="22" t="s">
        <x:v>1274</x:v>
      </x:c>
      <x:c r="F129" s="24" t="s">
        <x:v>1227</x:v>
      </x:c>
      <x:c r="G129" s="27" t="s">
        <x:v>1227</x:v>
      </x:c>
      <x:c r="H129" s="28"/>
    </x:row>
    <x:row r="130" spans="1:8">
      <x:c r="A130" s="21" t="s">
        <x:v>1482</x:v>
      </x:c>
      <x:c r="B130" s="22" t="s">
        <x:v>571</x:v>
      </x:c>
      <x:c r="C130" s="22" t="s">
        <x:v>1483</x:v>
      </x:c>
      <x:c r="D130" s="22">
        <x:v>0</x:v>
      </x:c>
      <x:c r="E130" s="22" t="s">
        <x:v>1484</x:v>
      </x:c>
      <x:c r="F130" s="24" t="s">
        <x:v>1227</x:v>
      </x:c>
      <x:c r="G130" s="27" t="s">
        <x:v>1227</x:v>
      </x:c>
      <x:c r="H130" s="28"/>
    </x:row>
    <x:row r="131" spans="1:8">
      <x:c r="A131" s="21" t="s">
        <x:v>1482</x:v>
      </x:c>
      <x:c r="B131" s="22" t="s">
        <x:v>1258</x:v>
      </x:c>
      <x:c r="C131" s="22" t="s">
        <x:v>1485</x:v>
      </x:c>
      <x:c r="D131" s="22">
        <x:v>0</x:v>
      </x:c>
      <x:c r="E131" s="22" t="s">
        <x:v>1484</x:v>
      </x:c>
      <x:c r="F131" s="24" t="s">
        <x:v>1227</x:v>
      </x:c>
      <x:c r="G131" s="27" t="s">
        <x:v>1227</x:v>
      </x:c>
      <x:c r="H131" s="28"/>
    </x:row>
    <x:row r="132" spans="1:8">
      <x:c r="A132" s="21" t="s">
        <x:v>1221</x:v>
      </x:c>
      <x:c r="B132" s="22" t="s">
        <x:v>1258</x:v>
      </x:c>
      <x:c r="C132" s="22" t="s">
        <x:v>1485</x:v>
      </x:c>
      <x:c r="D132" s="22">
        <x:v>0</x:v>
      </x:c>
      <x:c r="E132" s="22" t="s">
        <x:v>1484</x:v>
      </x:c>
      <x:c r="F132" s="24" t="s">
        <x:v>1227</x:v>
      </x:c>
      <x:c r="G132" s="27" t="s">
        <x:v>1227</x:v>
      </x:c>
      <x:c r="H132" s="28"/>
    </x:row>
    <x:row r="133" spans="1:8">
      <x:c r="A133" s="21" t="s">
        <x:v>1221</x:v>
      </x:c>
      <x:c r="B133" s="22" t="s">
        <x:v>1486</x:v>
      </x:c>
      <x:c r="C133" s="22" t="s">
        <x:v>1487</x:v>
      </x:c>
      <x:c r="D133" s="22">
        <x:v>0</x:v>
      </x:c>
      <x:c r="E133" s="22" t="s">
        <x:v>571</x:v>
      </x:c>
      <x:c r="F133" s="24" t="s">
        <x:v>1227</x:v>
      </x:c>
      <x:c r="G133" s="27" t="s">
        <x:v>1227</x:v>
      </x:c>
      <x:c r="H133" s="28"/>
    </x:row>
    <x:row r="134" spans="1:8">
      <x:c r="A134" s="29" t="s">
        <x:v>1488</x:v>
      </x:c>
      <x:c r="B134" s="30" t="s">
        <x:v>571</x:v>
      </x:c>
      <x:c r="C134" s="30" t="s">
        <x:v>1489</x:v>
      </x:c>
      <x:c r="D134" s="30">
        <x:v>0</x:v>
      </x:c>
      <x:c r="E134" s="30" t="s">
        <x:v>1300</x:v>
      </x:c>
      <x:c r="F134" s="32" t="s">
        <x:v>1227</x:v>
      </x:c>
      <x:c r="G134" s="35" t="s">
        <x:v>1227</x:v>
      </x:c>
      <x:c r="H134" s="36"/>
    </x:row>
  </x:sheetData>
  <x:autoFilter ref="A1:H134"/>
  <x:dataValidations count="1">
    <x:dataValidation type="list" errorStyle="stop" operator="between" allowBlank="1" showDropDown="0" showInputMessage="1" showErrorMessage="1" errorTitle="" error="" promptTitle="" prompt="" sqref="G2:G134">
      <x:formula1>"انتقال به‌عنوان تفصیلی سطح ۲,منتقل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1490</x:v>
      </x:c>
      <x:c r="B1" s="11" t="s">
        <x:v>1491</x:v>
      </x:c>
      <x:c r="C1" s="11" t="s">
        <x:v>1492</x:v>
      </x:c>
      <x:c r="D1" s="11" t="s">
        <x:v>1493</x:v>
      </x:c>
      <x:c r="E1" s="11" t="s">
        <x:v>1494</x:v>
      </x:c>
      <x:c r="F1" s="11" t="s">
        <x:v>1495</x:v>
      </x:c>
      <x:c r="G1" s="11" t="s">
        <x:v>1496</x:v>
      </x:c>
      <x:c r="H1" s="11" t="s">
        <x:v>4</x:v>
      </x:c>
      <x:c r="I1" s="11" t="s">
        <x:v>5</x:v>
      </x:c>
      <x:c r="J1" s="11" t="s">
        <x:v>1497</x:v>
      </x:c>
      <x:c r="K1" s="12" t="s">
        <x:v>1498</x:v>
      </x:c>
      <x:c r="L1" s="11" t="s">
        <x:v>11</x:v>
      </x:c>
      <x:c r="M1" s="12" t="s">
        <x:v>13</x:v>
      </x:c>
    </x:row>
    <x:row r="2" spans="1:13">
      <x:c r="A2" s="13">
        <x:v>1220</x:v>
      </x:c>
      <x:c r="B2" s="14" t="s">
        <x:v>1499</x:v>
      </x:c>
      <x:c r="C2" s="14" t="s">
        <x:v>1500</x:v>
      </x:c>
      <x:c r="D2" s="14" t="s">
        <x:v>195</x:v>
      </x:c>
      <x:c r="E2" s="14" t="s">
        <x:v>571</x:v>
      </x:c>
      <x:c r="F2" s="14" t="s">
        <x:v>1501</x:v>
      </x:c>
      <x:c r="G2" s="14">
        <x:v>12</x:v>
      </x:c>
      <x:c r="H2" s="15">
        <x:v>20716471</x:v>
      </x:c>
      <x:c r="I2" s="15">
        <x:v>37291471</x:v>
      </x:c>
      <x:c r="J2" s="15">
        <x:f>H2-I2</x:f>
      </x:c>
      <x:c r="K2" s="19"/>
      <x:c r="L2" s="14">
        <x:f>IF(K2="","تکمیل نشده","OK")</x:f>
      </x:c>
      <x:c r="M2" s="20"/>
    </x:row>
    <x:row r="3" spans="1:13">
      <x:c r="A3" s="21">
        <x:v>301</x:v>
      </x:c>
      <x:c r="B3" s="22" t="s">
        <x:v>1502</x:v>
      </x:c>
      <x:c r="C3" s="22" t="s">
        <x:v>1503</x:v>
      </x:c>
      <x:c r="D3" s="22" t="s">
        <x:v>383</x:v>
      </x:c>
      <x:c r="E3" s="22" t="s">
        <x:v>49</x:v>
      </x:c>
      <x:c r="F3" s="22" t="s">
        <x:v>1504</x:v>
      </x:c>
      <x:c r="G3" s="22">
        <x:v>8</x:v>
      </x:c>
      <x:c r="H3" s="23">
        <x:v>58046760</x:v>
      </x:c>
      <x:c r="I3" s="23">
        <x:v>63515960</x:v>
      </x:c>
      <x:c r="J3" s="23">
        <x:f>H3-I3</x:f>
      </x:c>
      <x:c r="K3" s="27"/>
      <x:c r="L3" s="22">
        <x:f>IF(K3="","تکمیل نشده","OK")</x:f>
      </x:c>
      <x:c r="M3" s="28"/>
    </x:row>
    <x:row r="4" spans="1:13">
      <x:c r="A4" s="21">
        <x:v>275</x:v>
      </x:c>
      <x:c r="B4" s="22" t="s">
        <x:v>1505</x:v>
      </x:c>
      <x:c r="C4" s="22" t="s">
        <x:v>1503</x:v>
      </x:c>
      <x:c r="D4" s="22" t="s">
        <x:v>383</x:v>
      </x:c>
      <x:c r="E4" s="22" t="s">
        <x:v>571</x:v>
      </x:c>
      <x:c r="F4" s="22" t="s">
        <x:v>1506</x:v>
      </x:c>
      <x:c r="G4" s="22">
        <x:v>5</x:v>
      </x:c>
      <x:c r="H4" s="23">
        <x:v>274422750</x:v>
      </x:c>
      <x:c r="I4" s="23">
        <x:v>548366250</x:v>
      </x:c>
      <x:c r="J4" s="23">
        <x:f>H4-I4</x:f>
      </x:c>
      <x:c r="K4" s="27"/>
      <x:c r="L4" s="22">
        <x:f>IF(K4="","تکمیل نشده","OK")</x:f>
      </x:c>
      <x:c r="M4" s="28"/>
    </x:row>
    <x:row r="5" spans="1:13">
      <x:c r="A5" s="21">
        <x:v>166</x:v>
      </x:c>
      <x:c r="B5" s="22" t="s">
        <x:v>1507</x:v>
      </x:c>
      <x:c r="C5" s="22" t="s">
        <x:v>1508</x:v>
      </x:c>
      <x:c r="D5" s="22" t="s">
        <x:v>383</x:v>
      </x:c>
      <x:c r="E5" s="22" t="s">
        <x:v>571</x:v>
      </x:c>
      <x:c r="F5" s="22" t="s">
        <x:v>1509</x:v>
      </x:c>
      <x:c r="G5" s="22">
        <x:v>3</x:v>
      </x:c>
      <x:c r="H5" s="23">
        <x:v>9869500</x:v>
      </x:c>
      <x:c r="I5" s="23">
        <x:v>59869500</x:v>
      </x:c>
      <x:c r="J5" s="23">
        <x:f>H5-I5</x:f>
      </x:c>
      <x:c r="K5" s="27"/>
      <x:c r="L5" s="22">
        <x:f>IF(K5="","تکمیل نشده","OK")</x:f>
      </x:c>
      <x:c r="M5" s="28"/>
    </x:row>
    <x:row r="6" spans="1:13">
      <x:c r="A6" s="21">
        <x:v>435</x:v>
      </x:c>
      <x:c r="B6" s="22" t="s">
        <x:v>1510</x:v>
      </x:c>
      <x:c r="C6" s="22" t="s">
        <x:v>1511</x:v>
      </x:c>
      <x:c r="D6" s="22" t="s">
        <x:v>195</x:v>
      </x:c>
      <x:c r="E6" s="22" t="s">
        <x:v>571</x:v>
      </x:c>
      <x:c r="F6" s="22" t="s">
        <x:v>1512</x:v>
      </x:c>
      <x:c r="G6" s="22">
        <x:v>90</x:v>
      </x:c>
      <x:c r="H6" s="23">
        <x:v>7617038956</x:v>
      </x:c>
      <x:c r="I6" s="23">
        <x:v>7619725463</x:v>
      </x:c>
      <x:c r="J6" s="23">
        <x:f>H6-I6</x:f>
      </x:c>
      <x:c r="K6" s="27"/>
      <x:c r="L6" s="22">
        <x:f>IF(K6="","تکمیل نشده","OK")</x:f>
      </x:c>
      <x:c r="M6" s="28"/>
    </x:row>
    <x:row r="7" spans="1:13">
      <x:c r="A7" s="21">
        <x:v>1225</x:v>
      </x:c>
      <x:c r="B7" s="22" t="s">
        <x:v>1513</x:v>
      </x:c>
      <x:c r="C7" s="22" t="s">
        <x:v>1514</x:v>
      </x:c>
      <x:c r="D7" s="22" t="s">
        <x:v>195</x:v>
      </x:c>
      <x:c r="E7" s="22" t="s">
        <x:v>571</x:v>
      </x:c>
      <x:c r="F7" s="22" t="s">
        <x:v>1515</x:v>
      </x:c>
      <x:c r="G7" s="22">
        <x:v>140</x:v>
      </x:c>
      <x:c r="H7" s="23">
        <x:v>179623897388</x:v>
      </x:c>
      <x:c r="I7" s="23">
        <x:v>179369537122</x:v>
      </x:c>
      <x:c r="J7" s="23">
        <x:f>H7-I7</x:f>
      </x:c>
      <x:c r="K7" s="27"/>
      <x:c r="L7" s="22">
        <x:f>IF(K7="","تکمیل نشده","OK")</x:f>
      </x:c>
      <x:c r="M7" s="28"/>
    </x:row>
    <x:row r="8" spans="1:13">
      <x:c r="A8" s="21">
        <x:v>1290</x:v>
      </x:c>
      <x:c r="B8" s="22" t="s">
        <x:v>1516</x:v>
      </x:c>
      <x:c r="C8" s="22" t="s">
        <x:v>1517</x:v>
      </x:c>
      <x:c r="D8" s="22" t="s">
        <x:v>195</x:v>
      </x:c>
      <x:c r="E8" s="22" t="s">
        <x:v>571</x:v>
      </x:c>
      <x:c r="F8" s="22" t="s">
        <x:v>1518</x:v>
      </x:c>
      <x:c r="G8" s="22">
        <x:v>90</x:v>
      </x:c>
      <x:c r="H8" s="23">
        <x:v>7619725463</x:v>
      </x:c>
      <x:c r="I8" s="23">
        <x:v>7617038956</x:v>
      </x:c>
      <x:c r="J8" s="23">
        <x:f>H8-I8</x:f>
      </x:c>
      <x:c r="K8" s="27"/>
      <x:c r="L8" s="22">
        <x:f>IF(K8="","تکمیل نشده","OK")</x:f>
      </x:c>
      <x:c r="M8" s="28"/>
    </x:row>
    <x:row r="9" spans="1:13">
      <x:c r="A9" s="21">
        <x:v>1239</x:v>
      </x:c>
      <x:c r="B9" s="22" t="s">
        <x:v>1519</x:v>
      </x:c>
      <x:c r="C9" s="22" t="s">
        <x:v>1520</x:v>
      </x:c>
      <x:c r="D9" s="22" t="s">
        <x:v>195</x:v>
      </x:c>
      <x:c r="E9" s="22" t="s">
        <x:v>571</x:v>
      </x:c>
      <x:c r="F9" s="22" t="s">
        <x:v>1521</x:v>
      </x:c>
      <x:c r="G9" s="22">
        <x:v>3</x:v>
      </x:c>
      <x:c r="H9" s="23">
        <x:v>100</x:v>
      </x:c>
      <x:c r="I9" s="23">
        <x:v>200</x:v>
      </x:c>
      <x:c r="J9" s="23">
        <x:f>H9-I9</x:f>
      </x:c>
      <x:c r="K9" s="27"/>
      <x:c r="L9" s="22">
        <x:f>IF(K9="","تکمیل نشده","OK")</x:f>
      </x:c>
      <x:c r="M9" s="28"/>
    </x:row>
    <x:row r="10" spans="1:13">
      <x:c r="A10" s="21">
        <x:v>354</x:v>
      </x:c>
      <x:c r="B10" s="22" t="s">
        <x:v>1522</x:v>
      </x:c>
      <x:c r="C10" s="22" t="s">
        <x:v>1523</x:v>
      </x:c>
      <x:c r="D10" s="22" t="s">
        <x:v>195</x:v>
      </x:c>
      <x:c r="E10" s="22" t="s">
        <x:v>64</x:v>
      </x:c>
      <x:c r="F10" s="22" t="s">
        <x:v>1524</x:v>
      </x:c>
      <x:c r="G10" s="22">
        <x:v>5</x:v>
      </x:c>
      <x:c r="H10" s="23">
        <x:v>5000010</x:v>
      </x:c>
      <x:c r="I10" s="23">
        <x:v>5000030</x:v>
      </x:c>
      <x:c r="J10" s="23">
        <x:f>H10-I10</x:f>
      </x:c>
      <x:c r="K10" s="27"/>
      <x:c r="L10" s="22">
        <x:f>IF(K10="","تکمیل نشده","OK")</x:f>
      </x:c>
      <x:c r="M10" s="28"/>
    </x:row>
    <x:row r="11" spans="1:13">
      <x:c r="A11" s="21">
        <x:v>1511</x:v>
      </x:c>
      <x:c r="B11" s="22" t="s">
        <x:v>1525</x:v>
      </x:c>
      <x:c r="C11" s="22" t="s">
        <x:v>1526</x:v>
      </x:c>
      <x:c r="D11" s="22" t="s">
        <x:v>195</x:v>
      </x:c>
      <x:c r="E11" s="22" t="s">
        <x:v>571</x:v>
      </x:c>
      <x:c r="F11" s="22" t="s">
        <x:v>1527</x:v>
      </x:c>
      <x:c r="G11" s="22">
        <x:v>19</x:v>
      </x:c>
      <x:c r="H11" s="23">
        <x:v>1203168</x:v>
      </x:c>
      <x:c r="I11" s="23">
        <x:v>173896168</x:v>
      </x:c>
      <x:c r="J11" s="23">
        <x:f>H11-I11</x:f>
      </x:c>
      <x:c r="K11" s="27"/>
      <x:c r="L11" s="22">
        <x:f>IF(K11="","تکمیل نشده","OK")</x:f>
      </x:c>
      <x:c r="M11" s="28"/>
    </x:row>
    <x:row r="12" spans="1:13">
      <x:c r="A12" s="21">
        <x:v>2022</x:v>
      </x:c>
      <x:c r="B12" s="22" t="s">
        <x:v>1528</x:v>
      </x:c>
      <x:c r="C12" s="22" t="s">
        <x:v>1529</x:v>
      </x:c>
      <x:c r="D12" s="22" t="s">
        <x:v>195</x:v>
      </x:c>
      <x:c r="E12" s="22" t="s">
        <x:v>571</x:v>
      </x:c>
      <x:c r="F12" s="22" t="s">
        <x:v>1530</x:v>
      </x:c>
      <x:c r="G12" s="22">
        <x:v>3</x:v>
      </x:c>
      <x:c r="H12" s="23">
        <x:v>3300020</x:v>
      </x:c>
      <x:c r="I12" s="23">
        <x:v>8000060</x:v>
      </x:c>
      <x:c r="J12" s="23">
        <x:f>H12-I12</x:f>
      </x:c>
      <x:c r="K12" s="27"/>
      <x:c r="L12" s="22">
        <x:f>IF(K12="","تکمیل نشده","OK")</x:f>
      </x:c>
      <x:c r="M12" s="28"/>
    </x:row>
    <x:row r="13" spans="1:13">
      <x:c r="A13" s="21">
        <x:v>2051</x:v>
      </x:c>
      <x:c r="B13" s="22" t="s">
        <x:v>1531</x:v>
      </x:c>
      <x:c r="C13" s="22" t="s">
        <x:v>1529</x:v>
      </x:c>
      <x:c r="D13" s="22" t="s">
        <x:v>195</x:v>
      </x:c>
      <x:c r="E13" s="22" t="s">
        <x:v>64</x:v>
      </x:c>
      <x:c r="F13" s="22" t="s">
        <x:v>1532</x:v>
      </x:c>
      <x:c r="G13" s="22">
        <x:v>1</x:v>
      </x:c>
      <x:c r="H13" s="23">
        <x:v>59768200</x:v>
      </x:c>
      <x:c r="I13" s="23">
        <x:v>0</x:v>
      </x:c>
      <x:c r="J13" s="23">
        <x:f>H13-I13</x:f>
      </x:c>
      <x:c r="K13" s="27"/>
      <x:c r="L13" s="22">
        <x:f>IF(K13="","تکمیل نشده","OK")</x:f>
      </x:c>
      <x:c r="M13" s="28"/>
    </x:row>
    <x:row r="14" spans="1:13">
      <x:c r="A14" s="21">
        <x:v>1835</x:v>
      </x:c>
      <x:c r="B14" s="22" t="s">
        <x:v>1533</x:v>
      </x:c>
      <x:c r="C14" s="22" t="s">
        <x:v>1529</x:v>
      </x:c>
      <x:c r="D14" s="22" t="s">
        <x:v>195</x:v>
      </x:c>
      <x:c r="E14" s="22" t="s">
        <x:v>571</x:v>
      </x:c>
      <x:c r="F14" s="22" t="s">
        <x:v>1534</x:v>
      </x:c>
      <x:c r="G14" s="22">
        <x:v>1</x:v>
      </x:c>
      <x:c r="H14" s="23">
        <x:v>0</x:v>
      </x:c>
      <x:c r="I14" s="23">
        <x:v>8</x:v>
      </x:c>
      <x:c r="J14" s="23">
        <x:f>H14-I14</x:f>
      </x:c>
      <x:c r="K14" s="27"/>
      <x:c r="L14" s="22">
        <x:f>IF(K14="","تکمیل نشده","OK")</x:f>
      </x:c>
      <x:c r="M14" s="28"/>
    </x:row>
    <x:row r="15" spans="1:13">
      <x:c r="A15" s="21">
        <x:v>2347</x:v>
      </x:c>
      <x:c r="B15" s="22" t="s">
        <x:v>1535</x:v>
      </x:c>
      <x:c r="C15" s="22" t="s">
        <x:v>1529</x:v>
      </x:c>
      <x:c r="D15" s="22" t="s">
        <x:v>201</x:v>
      </x:c>
      <x:c r="E15" s="22" t="s">
        <x:v>571</x:v>
      </x:c>
      <x:c r="F15" s="22" t="s">
        <x:v>1536</x:v>
      </x:c>
      <x:c r="G15" s="22">
        <x:v>1</x:v>
      </x:c>
      <x:c r="H15" s="23">
        <x:v>0</x:v>
      </x:c>
      <x:c r="I15" s="23">
        <x:v>250</x:v>
      </x:c>
      <x:c r="J15" s="23">
        <x:f>H15-I15</x:f>
      </x:c>
      <x:c r="K15" s="27"/>
      <x:c r="L15" s="22">
        <x:f>IF(K15="","تکمیل نشده","OK")</x:f>
      </x:c>
      <x:c r="M15" s="28"/>
    </x:row>
    <x:row r="16" spans="1:13">
      <x:c r="A16" s="21">
        <x:v>2130</x:v>
      </x:c>
      <x:c r="B16" s="22" t="s">
        <x:v>1537</x:v>
      </x:c>
      <x:c r="C16" s="22" t="s">
        <x:v>1529</x:v>
      </x:c>
      <x:c r="D16" s="22" t="s">
        <x:v>195</x:v>
      </x:c>
      <x:c r="E16" s="22" t="s">
        <x:v>64</x:v>
      </x:c>
      <x:c r="F16" s="22" t="s">
        <x:v>1538</x:v>
      </x:c>
      <x:c r="G16" s="22">
        <x:v>1</x:v>
      </x:c>
      <x:c r="H16" s="23">
        <x:v>153724684</x:v>
      </x:c>
      <x:c r="I16" s="23">
        <x:v>0</x:v>
      </x:c>
      <x:c r="J16" s="23">
        <x:f>H16-I16</x:f>
      </x:c>
      <x:c r="K16" s="27"/>
      <x:c r="L16" s="22">
        <x:f>IF(K16="","تکمیل نشده","OK")</x:f>
      </x:c>
      <x:c r="M16" s="28"/>
    </x:row>
    <x:row r="17" spans="1:13">
      <x:c r="A17" s="21">
        <x:v>1861</x:v>
      </x:c>
      <x:c r="B17" s="22" t="s">
        <x:v>1539</x:v>
      </x:c>
      <x:c r="C17" s="22" t="s">
        <x:v>1529</x:v>
      </x:c>
      <x:c r="D17" s="22" t="s">
        <x:v>195</x:v>
      </x:c>
      <x:c r="E17" s="22" t="s">
        <x:v>571</x:v>
      </x:c>
      <x:c r="F17" s="22" t="s">
        <x:v>227</x:v>
      </x:c>
      <x:c r="G17" s="22">
        <x:v>3</x:v>
      </x:c>
      <x:c r="H17" s="23">
        <x:v>10</x:v>
      </x:c>
      <x:c r="I17" s="23">
        <x:v>10010</x:v>
      </x:c>
      <x:c r="J17" s="23">
        <x:f>H17-I17</x:f>
      </x:c>
      <x:c r="K17" s="27"/>
      <x:c r="L17" s="22">
        <x:f>IF(K17="","تکمیل نشده","OK")</x:f>
      </x:c>
      <x:c r="M17" s="28"/>
    </x:row>
    <x:row r="18" spans="1:13">
      <x:c r="A18" s="21">
        <x:v>1837</x:v>
      </x:c>
      <x:c r="B18" s="22" t="s">
        <x:v>1540</x:v>
      </x:c>
      <x:c r="C18" s="22" t="s">
        <x:v>1529</x:v>
      </x:c>
      <x:c r="D18" s="22" t="s">
        <x:v>195</x:v>
      </x:c>
      <x:c r="E18" s="22" t="s">
        <x:v>571</x:v>
      </x:c>
      <x:c r="F18" s="22" t="s">
        <x:v>1541</x:v>
      </x:c>
      <x:c r="G18" s="22">
        <x:v>1</x:v>
      </x:c>
      <x:c r="H18" s="23">
        <x:v>0</x:v>
      </x:c>
      <x:c r="I18" s="23">
        <x:v>9000</x:v>
      </x:c>
      <x:c r="J18" s="23">
        <x:f>H18-I18</x:f>
      </x:c>
      <x:c r="K18" s="27"/>
      <x:c r="L18" s="22">
        <x:f>IF(K18="","تکمیل نشده","OK")</x:f>
      </x:c>
      <x:c r="M18" s="28"/>
    </x:row>
    <x:row r="19" spans="1:13">
      <x:c r="A19" s="21">
        <x:v>2052</x:v>
      </x:c>
      <x:c r="B19" s="22" t="s">
        <x:v>1542</x:v>
      </x:c>
      <x:c r="C19" s="22" t="s">
        <x:v>1529</x:v>
      </x:c>
      <x:c r="D19" s="22" t="s">
        <x:v>195</x:v>
      </x:c>
      <x:c r="E19" s="22" t="s">
        <x:v>64</x:v>
      </x:c>
      <x:c r="F19" s="22" t="s">
        <x:v>1543</x:v>
      </x:c>
      <x:c r="G19" s="22">
        <x:v>1</x:v>
      </x:c>
      <x:c r="H19" s="23">
        <x:v>76182080</x:v>
      </x:c>
      <x:c r="I19" s="23">
        <x:v>0</x:v>
      </x:c>
      <x:c r="J19" s="23">
        <x:f>H19-I19</x:f>
      </x:c>
      <x:c r="K19" s="27"/>
      <x:c r="L19" s="22">
        <x:f>IF(K19="","تکمیل نشده","OK")</x:f>
      </x:c>
      <x:c r="M19" s="28"/>
    </x:row>
    <x:row r="20" spans="1:13">
      <x:c r="A20" s="21">
        <x:v>1834</x:v>
      </x:c>
      <x:c r="B20" s="22" t="s">
        <x:v>1544</x:v>
      </x:c>
      <x:c r="C20" s="22" t="s">
        <x:v>1529</x:v>
      </x:c>
      <x:c r="D20" s="22" t="s">
        <x:v>195</x:v>
      </x:c>
      <x:c r="E20" s="22" t="s">
        <x:v>571</x:v>
      </x:c>
      <x:c r="F20" s="22" t="s">
        <x:v>1545</x:v>
      </x:c>
      <x:c r="G20" s="22">
        <x:v>1</x:v>
      </x:c>
      <x:c r="H20" s="23">
        <x:v>0</x:v>
      </x:c>
      <x:c r="I20" s="23">
        <x:v>5750000</x:v>
      </x:c>
      <x:c r="J20" s="23">
        <x:f>H20-I20</x:f>
      </x:c>
      <x:c r="K20" s="27"/>
      <x:c r="L20" s="22">
        <x:f>IF(K20="","تکمیل نشده","OK")</x:f>
      </x:c>
      <x:c r="M20" s="28"/>
    </x:row>
    <x:row r="21" spans="1:13">
      <x:c r="A21" s="21">
        <x:v>2346</x:v>
      </x:c>
      <x:c r="B21" s="22" t="s">
        <x:v>1546</x:v>
      </x:c>
      <x:c r="C21" s="22" t="s">
        <x:v>1529</x:v>
      </x:c>
      <x:c r="D21" s="22" t="s">
        <x:v>201</x:v>
      </x:c>
      <x:c r="E21" s="22" t="s">
        <x:v>571</x:v>
      </x:c>
      <x:c r="F21" s="22" t="s">
        <x:v>1547</x:v>
      </x:c>
      <x:c r="G21" s="22">
        <x:v>1</x:v>
      </x:c>
      <x:c r="H21" s="23">
        <x:v>0</x:v>
      </x:c>
      <x:c r="I21" s="23">
        <x:v>2000</x:v>
      </x:c>
      <x:c r="J21" s="23">
        <x:f>H21-I21</x:f>
      </x:c>
      <x:c r="K21" s="27"/>
      <x:c r="L21" s="22">
        <x:f>IF(K21="","تکمیل نشده","OK")</x:f>
      </x:c>
      <x:c r="M21" s="28"/>
    </x:row>
    <x:row r="22" spans="1:13">
      <x:c r="A22" s="21">
        <x:v>1862</x:v>
      </x:c>
      <x:c r="B22" s="22" t="s">
        <x:v>1548</x:v>
      </x:c>
      <x:c r="C22" s="22" t="s">
        <x:v>1529</x:v>
      </x:c>
      <x:c r="D22" s="22" t="s">
        <x:v>195</x:v>
      </x:c>
      <x:c r="E22" s="22" t="s">
        <x:v>571</x:v>
      </x:c>
      <x:c r="F22" s="22" t="s">
        <x:v>288</x:v>
      </x:c>
      <x:c r="G22" s="22">
        <x:v>4</x:v>
      </x:c>
      <x:c r="H22" s="23">
        <x:v>10000000030</x:v>
      </x:c>
      <x:c r="I22" s="23">
        <x:v>0</x:v>
      </x:c>
      <x:c r="J22" s="23">
        <x:f>H22-I22</x:f>
      </x:c>
      <x:c r="K22" s="27"/>
      <x:c r="L22" s="22">
        <x:f>IF(K22="","تکمیل نشده","OK")</x:f>
      </x:c>
      <x:c r="M22" s="28"/>
    </x:row>
    <x:row r="23" spans="1:13">
      <x:c r="A23" s="21">
        <x:v>2087</x:v>
      </x:c>
      <x:c r="B23" s="22" t="s">
        <x:v>1549</x:v>
      </x:c>
      <x:c r="C23" s="22" t="s">
        <x:v>1529</x:v>
      </x:c>
      <x:c r="D23" s="22" t="s">
        <x:v>195</x:v>
      </x:c>
      <x:c r="E23" s="22" t="s">
        <x:v>571</x:v>
      </x:c>
      <x:c r="F23" s="22" t="s">
        <x:v>288</x:v>
      </x:c>
      <x:c r="G23" s="22">
        <x:v>6</x:v>
      </x:c>
      <x:c r="H23" s="23">
        <x:v>2000070</x:v>
      </x:c>
      <x:c r="I23" s="23">
        <x:v>10000</x:v>
      </x:c>
      <x:c r="J23" s="23">
        <x:f>H23-I23</x:f>
      </x:c>
      <x:c r="K23" s="27"/>
      <x:c r="L23" s="22">
        <x:f>IF(K23="","تکمیل نشده","OK")</x:f>
      </x:c>
      <x:c r="M23" s="28"/>
    </x:row>
    <x:row r="24" spans="1:13">
      <x:c r="A24" s="21">
        <x:v>1836</x:v>
      </x:c>
      <x:c r="B24" s="22" t="s">
        <x:v>1550</x:v>
      </x:c>
      <x:c r="C24" s="22" t="s">
        <x:v>1529</x:v>
      </x:c>
      <x:c r="D24" s="22" t="s">
        <x:v>195</x:v>
      </x:c>
      <x:c r="E24" s="22" t="s">
        <x:v>571</x:v>
      </x:c>
      <x:c r="F24" s="22" t="s">
        <x:v>1541</x:v>
      </x:c>
      <x:c r="G24" s="22">
        <x:v>1</x:v>
      </x:c>
      <x:c r="H24" s="23">
        <x:v>10000</x:v>
      </x:c>
      <x:c r="I24" s="23">
        <x:v>0</x:v>
      </x:c>
      <x:c r="J24" s="23">
        <x:f>H24-I24</x:f>
      </x:c>
      <x:c r="K24" s="27"/>
      <x:c r="L24" s="22">
        <x:f>IF(K24="","تکمیل نشده","OK")</x:f>
      </x:c>
      <x:c r="M24" s="28"/>
    </x:row>
    <x:row r="25" spans="1:13">
      <x:c r="A25" s="21">
        <x:v>2246</x:v>
      </x:c>
      <x:c r="B25" s="22" t="s">
        <x:v>1551</x:v>
      </x:c>
      <x:c r="C25" s="22" t="s">
        <x:v>1529</x:v>
      </x:c>
      <x:c r="D25" s="22" t="s">
        <x:v>195</x:v>
      </x:c>
      <x:c r="E25" s="22" t="s">
        <x:v>571</x:v>
      </x:c>
      <x:c r="F25" s="22" t="s">
        <x:v>1552</x:v>
      </x:c>
      <x:c r="G25" s="22">
        <x:v>16</x:v>
      </x:c>
      <x:c r="H25" s="23">
        <x:v>75556665</x:v>
      </x:c>
      <x:c r="I25" s="23">
        <x:v>40607770</x:v>
      </x:c>
      <x:c r="J25" s="23">
        <x:f>H25-I25</x:f>
      </x:c>
      <x:c r="K25" s="27"/>
      <x:c r="L25" s="22">
        <x:f>IF(K25="","تکمیل نشده","OK")</x:f>
      </x:c>
      <x:c r="M25" s="28"/>
    </x:row>
    <x:row r="26" spans="1:13">
      <x:c r="A26" s="21">
        <x:v>1922</x:v>
      </x:c>
      <x:c r="B26" s="22" t="s">
        <x:v>1553</x:v>
      </x:c>
      <x:c r="C26" s="22" t="s">
        <x:v>1529</x:v>
      </x:c>
      <x:c r="D26" s="22" t="s">
        <x:v>195</x:v>
      </x:c>
      <x:c r="E26" s="22" t="s">
        <x:v>571</x:v>
      </x:c>
      <x:c r="F26" s="22" t="s">
        <x:v>288</x:v>
      </x:c>
      <x:c r="G26" s="22">
        <x:v>3</x:v>
      </x:c>
      <x:c r="H26" s="23">
        <x:v>30</x:v>
      </x:c>
      <x:c r="I26" s="23">
        <x:v>20</x:v>
      </x:c>
      <x:c r="J26" s="23">
        <x:f>H26-I26</x:f>
      </x:c>
      <x:c r="K26" s="27"/>
      <x:c r="L26" s="22">
        <x:f>IF(K26="","تکمیل نشده","OK")</x:f>
      </x:c>
      <x:c r="M26" s="28"/>
    </x:row>
    <x:row r="27" spans="1:13">
      <x:c r="A27" s="21">
        <x:v>1833</x:v>
      </x:c>
      <x:c r="B27" s="22" t="s">
        <x:v>1554</x:v>
      </x:c>
      <x:c r="C27" s="22" t="s">
        <x:v>1529</x:v>
      </x:c>
      <x:c r="D27" s="22" t="s">
        <x:v>195</x:v>
      </x:c>
      <x:c r="E27" s="22" t="s">
        <x:v>571</x:v>
      </x:c>
      <x:c r="F27" s="22" t="s">
        <x:v>1545</x:v>
      </x:c>
      <x:c r="G27" s="22">
        <x:v>1</x:v>
      </x:c>
      <x:c r="H27" s="23">
        <x:v>0</x:v>
      </x:c>
      <x:c r="I27" s="23">
        <x:v>200000000</x:v>
      </x:c>
      <x:c r="J27" s="23">
        <x:f>H27-I27</x:f>
      </x:c>
      <x:c r="K27" s="27"/>
      <x:c r="L27" s="22">
        <x:f>IF(K27="","تکمیل نشده","OK")</x:f>
      </x:c>
      <x:c r="M27" s="28"/>
    </x:row>
    <x:row r="28" spans="1:13">
      <x:c r="A28" s="21">
        <x:v>2186</x:v>
      </x:c>
      <x:c r="B28" s="22" t="s">
        <x:v>1555</x:v>
      </x:c>
      <x:c r="C28" s="22" t="s">
        <x:v>1556</x:v>
      </x:c>
      <x:c r="D28" s="22" t="s">
        <x:v>195</x:v>
      </x:c>
      <x:c r="E28" s="22" t="s">
        <x:v>571</x:v>
      </x:c>
      <x:c r="F28" s="22" t="s">
        <x:v>1557</x:v>
      </x:c>
      <x:c r="G28" s="22">
        <x:v>2</x:v>
      </x:c>
      <x:c r="H28" s="23">
        <x:v>20000000</x:v>
      </x:c>
      <x:c r="I28" s="23">
        <x:v>40000000</x:v>
      </x:c>
      <x:c r="J28" s="23">
        <x:f>H28-I28</x:f>
      </x:c>
      <x:c r="K28" s="27"/>
      <x:c r="L28" s="22">
        <x:f>IF(K28="","تکمیل نشده","OK")</x:f>
      </x:c>
      <x:c r="M28" s="28"/>
    </x:row>
    <x:row r="29" spans="1:13">
      <x:c r="A29" s="21">
        <x:v>2187</x:v>
      </x:c>
      <x:c r="B29" s="22" t="s">
        <x:v>1558</x:v>
      </x:c>
      <x:c r="C29" s="22" t="s">
        <x:v>1556</x:v>
      </x:c>
      <x:c r="D29" s="22" t="s">
        <x:v>195</x:v>
      </x:c>
      <x:c r="E29" s="22" t="s">
        <x:v>571</x:v>
      </x:c>
      <x:c r="F29" s="22" t="s">
        <x:v>1557</x:v>
      </x:c>
      <x:c r="G29" s="22">
        <x:v>21</x:v>
      </x:c>
      <x:c r="H29" s="23">
        <x:v>107630480</x:v>
      </x:c>
      <x:c r="I29" s="23">
        <x:v>80646360</x:v>
      </x:c>
      <x:c r="J29" s="23">
        <x:f>H29-I29</x:f>
      </x:c>
      <x:c r="K29" s="27"/>
      <x:c r="L29" s="22">
        <x:f>IF(K29="","تکمیل نشده","OK")</x:f>
      </x:c>
      <x:c r="M29" s="28"/>
    </x:row>
    <x:row r="30" spans="1:13">
      <x:c r="A30" s="21">
        <x:v>326</x:v>
      </x:c>
      <x:c r="B30" s="22" t="s">
        <x:v>1559</x:v>
      </x:c>
      <x:c r="C30" s="22" t="s">
        <x:v>1560</x:v>
      </x:c>
      <x:c r="D30" s="22" t="s">
        <x:v>195</x:v>
      </x:c>
      <x:c r="E30" s="22" t="s">
        <x:v>571</x:v>
      </x:c>
      <x:c r="F30" s="22" t="s">
        <x:v>1561</x:v>
      </x:c>
      <x:c r="G30" s="22">
        <x:v>24</x:v>
      </x:c>
      <x:c r="H30" s="23">
        <x:v>47389450</x:v>
      </x:c>
      <x:c r="I30" s="23">
        <x:v>50000000</x:v>
      </x:c>
      <x:c r="J30" s="23">
        <x:f>H30-I30</x:f>
      </x:c>
      <x:c r="K30" s="27"/>
      <x:c r="L30" s="22">
        <x:f>IF(K30="","تکمیل نشده","OK")</x:f>
      </x:c>
      <x:c r="M30" s="28"/>
    </x:row>
    <x:row r="31" spans="1:13">
      <x:c r="A31" s="21">
        <x:v>1344</x:v>
      </x:c>
      <x:c r="B31" s="22" t="s">
        <x:v>1562</x:v>
      </x:c>
      <x:c r="C31" s="22" t="s">
        <x:v>1563</x:v>
      </x:c>
      <x:c r="D31" s="22" t="s">
        <x:v>195</x:v>
      </x:c>
      <x:c r="E31" s="22" t="s">
        <x:v>571</x:v>
      </x:c>
      <x:c r="F31" s="22" t="s">
        <x:v>1564</x:v>
      </x:c>
      <x:c r="G31" s="22">
        <x:v>2</x:v>
      </x:c>
      <x:c r="H31" s="23">
        <x:v>1052000</x:v>
      </x:c>
      <x:c r="I31" s="23">
        <x:v>0</x:v>
      </x:c>
      <x:c r="J31" s="23">
        <x:f>H31-I31</x:f>
      </x:c>
      <x:c r="K31" s="27"/>
      <x:c r="L31" s="22">
        <x:f>IF(K31="","تکمیل نشده","OK")</x:f>
      </x:c>
      <x:c r="M31" s="28"/>
    </x:row>
    <x:row r="32" spans="1:13">
      <x:c r="A32" s="21">
        <x:v>2206</x:v>
      </x:c>
      <x:c r="B32" s="22" t="s">
        <x:v>1565</x:v>
      </x:c>
      <x:c r="C32" s="22" t="s">
        <x:v>1566</x:v>
      </x:c>
      <x:c r="D32" s="22" t="s">
        <x:v>195</x:v>
      </x:c>
      <x:c r="E32" s="22" t="s">
        <x:v>571</x:v>
      </x:c>
      <x:c r="F32" s="22" t="s">
        <x:v>1567</x:v>
      </x:c>
      <x:c r="G32" s="22">
        <x:v>1</x:v>
      </x:c>
      <x:c r="H32" s="23">
        <x:v>495462</x:v>
      </x:c>
      <x:c r="I32" s="23">
        <x:v>0</x:v>
      </x:c>
      <x:c r="J32" s="23">
        <x:f>H32-I32</x:f>
      </x:c>
      <x:c r="K32" s="27"/>
      <x:c r="L32" s="22">
        <x:f>IF(K32="","تکمیل نشده","OK")</x:f>
      </x:c>
      <x:c r="M32" s="28"/>
    </x:row>
    <x:row r="33" spans="1:13">
      <x:c r="A33" s="21">
        <x:v>2387</x:v>
      </x:c>
      <x:c r="B33" s="22" t="s">
        <x:v>1568</x:v>
      </x:c>
      <x:c r="C33" s="22" t="s">
        <x:v>1569</x:v>
      </x:c>
      <x:c r="D33" s="22" t="s">
        <x:v>201</x:v>
      </x:c>
      <x:c r="E33" s="22" t="s">
        <x:v>571</x:v>
      </x:c>
      <x:c r="F33" s="22" t="s">
        <x:v>1570</x:v>
      </x:c>
      <x:c r="G33" s="22">
        <x:v>1</x:v>
      </x:c>
      <x:c r="H33" s="23">
        <x:v>0</x:v>
      </x:c>
      <x:c r="I33" s="23">
        <x:v>10</x:v>
      </x:c>
      <x:c r="J33" s="23">
        <x:f>H33-I33</x:f>
      </x:c>
      <x:c r="K33" s="27"/>
      <x:c r="L33" s="22">
        <x:f>IF(K33="","تکمیل نشده","OK")</x:f>
      </x:c>
      <x:c r="M33" s="28"/>
    </x:row>
    <x:row r="34" spans="1:13">
      <x:c r="A34" s="29">
        <x:v>2386</x:v>
      </x:c>
      <x:c r="B34" s="30" t="s">
        <x:v>1571</x:v>
      </x:c>
      <x:c r="C34" s="30" t="s">
        <x:v>1569</x:v>
      </x:c>
      <x:c r="D34" s="30" t="s">
        <x:v>201</x:v>
      </x:c>
      <x:c r="E34" s="30" t="s">
        <x:v>571</x:v>
      </x:c>
      <x:c r="F34" s="30" t="s">
        <x:v>1570</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1572</x:v>
      </x:c>
      <x:c r="B1" s="11" t="s">
        <x:v>1573</x:v>
      </x:c>
      <x:c r="C1" s="11" t="s">
        <x:v>1496</x:v>
      </x:c>
      <x:c r="D1" s="11" t="s">
        <x:v>1574</x:v>
      </x:c>
      <x:c r="E1" s="11" t="s">
        <x:v>1575</x:v>
      </x:c>
      <x:c r="F1" s="12" t="s">
        <x:v>1576</x:v>
      </x:c>
      <x:c r="G1" s="11" t="s">
        <x:v>11</x:v>
      </x:c>
      <x:c r="H1" s="12" t="s">
        <x:v>13</x:v>
      </x:c>
    </x:row>
    <x:row r="2" spans="1:8">
      <x:c r="A2" s="13" t="s">
        <x:v>201</x:v>
      </x:c>
      <x:c r="B2" s="14">
        <x:v>7</x:v>
      </x:c>
      <x:c r="C2" s="14">
        <x:v>8</x:v>
      </x:c>
      <x:c r="D2" s="14" t="s">
        <x:v>1577</x:v>
      </x:c>
      <x:c r="E2" s="16" t="s">
        <x:v>1578</x:v>
      </x:c>
      <x:c r="F2" s="19"/>
      <x:c r="G2" s="14">
        <x:f>IF(F2="","تکمیل نشده","OK")</x:f>
      </x:c>
      <x:c r="H2" s="20"/>
    </x:row>
    <x:row r="3" spans="1:8">
      <x:c r="A3" s="21" t="s">
        <x:v>195</x:v>
      </x:c>
      <x:c r="B3" s="22">
        <x:v>764</x:v>
      </x:c>
      <x:c r="C3" s="22">
        <x:v>6121</x:v>
      </x:c>
      <x:c r="D3" s="22" t="s">
        <x:v>1579</x:v>
      </x:c>
      <x:c r="E3" s="24" t="s">
        <x:v>1580</x:v>
      </x:c>
      <x:c r="F3" s="27"/>
      <x:c r="G3" s="22">
        <x:f>IF(F3="","تکمیل نشده","OK")</x:f>
      </x:c>
      <x:c r="H3" s="28"/>
    </x:row>
    <x:row r="4" spans="1:8">
      <x:c r="A4" s="29" t="s">
        <x:v>383</x:v>
      </x:c>
      <x:c r="B4" s="30">
        <x:v>254</x:v>
      </x:c>
      <x:c r="C4" s="30">
        <x:v>1784</x:v>
      </x:c>
      <x:c r="D4" s="30" t="s">
        <x:v>1581</x:v>
      </x:c>
      <x:c r="E4" s="32" t="s">
        <x:v>1582</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4"/>
  <x:sheetViews>
    <x:sheetView rightToLeft="1" workbookViewId="0">
      <x:pane xSplit="0" ySplit="1" topLeftCell="A2" activePane="bottomLeft" state="frozenSplit"/>
    </x:sheetView>
  </x:sheetViews>
  <x:sheetFormatPr defaultRowHeight="15"/>
  <x:cols>
    <x:col min="6" max="16384" width="9.140625" style="1" customWidth="1"/>
    <x:col min="1" max="1" width="8.710625" style="1" customWidth="1"/>
    <x:col min="2" max="2" width="10.710625" style="1" customWidth="1"/>
    <x:col min="3" max="3" width="46.710625" style="1" customWidth="1"/>
    <x:col min="4" max="4" width="10.710625" style="1" customWidth="1"/>
    <x:col min="5" max="5" width="34.710625" style="1" customWidth="1"/>
  </x:cols>
  <x:sheetData>
    <x:row r="1" spans="1:5" ht="45" customHeight="1">
      <x:c r="A1" s="11" t="s">
        <x:v>1583</x:v>
      </x:c>
      <x:c r="B1" s="11" t="s">
        <x:v>1584</x:v>
      </x:c>
      <x:c r="C1" s="11" t="s">
        <x:v>1213</x:v>
      </x:c>
      <x:c r="D1" s="11" t="s">
        <x:v>1585</x:v>
      </x:c>
      <x:c r="E1" s="11" t="s">
        <x:v>1586</x:v>
      </x:c>
    </x:row>
    <x:row r="2" spans="1:5">
      <x:c r="A2" s="13" t="s">
        <x:v>1587</x:v>
      </x:c>
      <x:c r="B2" s="14" t="s">
        <x:v>1588</x:v>
      </x:c>
      <x:c r="C2" s="14" t="s">
        <x:v>52</x:v>
      </x:c>
      <x:c r="D2" s="14" t="s">
        <x:v>1589</x:v>
      </x:c>
      <x:c r="E2" s="37" t="s">
        <x:v>1590</x:v>
      </x:c>
    </x:row>
    <x:row r="3" spans="1:5">
      <x:c r="A3" s="21" t="s">
        <x:v>1591</x:v>
      </x:c>
      <x:c r="B3" s="22" t="s">
        <x:v>1592</x:v>
      </x:c>
      <x:c r="C3" s="22" t="s">
        <x:v>1593</x:v>
      </x:c>
      <x:c r="D3" s="22" t="s">
        <x:v>1594</x:v>
      </x:c>
      <x:c r="E3" s="38" t="s">
        <x:v>1590</x:v>
      </x:c>
    </x:row>
    <x:row r="4" spans="1:5">
      <x:c r="A4" s="21" t="s">
        <x:v>1591</x:v>
      </x:c>
      <x:c r="B4" s="22" t="s">
        <x:v>1595</x:v>
      </x:c>
      <x:c r="C4" s="22" t="s">
        <x:v>1596</x:v>
      </x:c>
      <x:c r="D4" s="22" t="s">
        <x:v>1597</x:v>
      </x:c>
      <x:c r="E4" s="38" t="s">
        <x:v>1590</x:v>
      </x:c>
    </x:row>
    <x:row r="5" spans="1:5">
      <x:c r="A5" s="21" t="s">
        <x:v>1598</x:v>
      </x:c>
      <x:c r="B5" s="22" t="s">
        <x:v>251</x:v>
      </x:c>
      <x:c r="C5" s="22" t="s">
        <x:v>1599</x:v>
      </x:c>
      <x:c r="D5" s="22" t="s">
        <x:v>571</x:v>
      </x:c>
      <x:c r="E5" s="38" t="s">
        <x:v>1590</x:v>
      </x:c>
    </x:row>
    <x:row r="6" spans="1:5">
      <x:c r="A6" s="21" t="s">
        <x:v>1598</x:v>
      </x:c>
      <x:c r="B6" s="22" t="s">
        <x:v>306</x:v>
      </x:c>
      <x:c r="C6" s="22" t="s">
        <x:v>1600</x:v>
      </x:c>
      <x:c r="D6" s="22" t="s">
        <x:v>571</x:v>
      </x:c>
      <x:c r="E6" s="38" t="s">
        <x:v>1590</x:v>
      </x:c>
    </x:row>
    <x:row r="7" spans="1:5">
      <x:c r="A7" s="21" t="s">
        <x:v>1598</x:v>
      </x:c>
      <x:c r="B7" s="22" t="s">
        <x:v>351</x:v>
      </x:c>
      <x:c r="C7" s="22" t="s">
        <x:v>1601</x:v>
      </x:c>
      <x:c r="D7" s="22" t="s">
        <x:v>571</x:v>
      </x:c>
      <x:c r="E7" s="38"/>
    </x:row>
    <x:row r="8" spans="1:5">
      <x:c r="A8" s="21" t="s">
        <x:v>1598</x:v>
      </x:c>
      <x:c r="B8" s="22" t="s">
        <x:v>204</x:v>
      </x:c>
      <x:c r="C8" s="22" t="s">
        <x:v>1602</x:v>
      </x:c>
      <x:c r="D8" s="22" t="s">
        <x:v>571</x:v>
      </x:c>
      <x:c r="E8" s="38" t="s">
        <x:v>1590</x:v>
      </x:c>
    </x:row>
    <x:row r="9" spans="1:5">
      <x:c r="A9" s="21" t="s">
        <x:v>1587</x:v>
      </x:c>
      <x:c r="B9" s="22" t="s">
        <x:v>1603</x:v>
      </x:c>
      <x:c r="C9" s="22" t="s">
        <x:v>1604</x:v>
      </x:c>
      <x:c r="D9" s="22" t="s">
        <x:v>204</x:v>
      </x:c>
      <x:c r="E9" s="38" t="s">
        <x:v>1590</x:v>
      </x:c>
    </x:row>
    <x:row r="10" spans="1:5">
      <x:c r="A10" s="21" t="s">
        <x:v>1587</x:v>
      </x:c>
      <x:c r="B10" s="22" t="s">
        <x:v>1605</x:v>
      </x:c>
      <x:c r="C10" s="22" t="s">
        <x:v>1606</x:v>
      </x:c>
      <x:c r="D10" s="22" t="s">
        <x:v>204</x:v>
      </x:c>
      <x:c r="E10" s="38" t="s">
        <x:v>1590</x:v>
      </x:c>
    </x:row>
    <x:row r="11" spans="1:5">
      <x:c r="A11" s="21" t="s">
        <x:v>1591</x:v>
      </x:c>
      <x:c r="B11" s="22" t="s">
        <x:v>1607</x:v>
      </x:c>
      <x:c r="C11" s="22" t="s">
        <x:v>52</x:v>
      </x:c>
      <x:c r="D11" s="22" t="s">
        <x:v>1605</x:v>
      </x:c>
      <x:c r="E11" s="38" t="s">
        <x:v>1590</x:v>
      </x:c>
    </x:row>
    <x:row r="12" spans="1:5">
      <x:c r="A12" s="21" t="s">
        <x:v>1587</x:v>
      </x:c>
      <x:c r="B12" s="22" t="s">
        <x:v>1608</x:v>
      </x:c>
      <x:c r="C12" s="22" t="s">
        <x:v>1609</x:v>
      </x:c>
      <x:c r="D12" s="22" t="s">
        <x:v>204</x:v>
      </x:c>
      <x:c r="E12" s="38" t="s">
        <x:v>1590</x:v>
      </x:c>
    </x:row>
    <x:row r="13" spans="1:5">
      <x:c r="A13" s="21" t="s">
        <x:v>1591</x:v>
      </x:c>
      <x:c r="B13" s="22" t="s">
        <x:v>1610</x:v>
      </x:c>
      <x:c r="C13" s="22" t="s">
        <x:v>1611</x:v>
      </x:c>
      <x:c r="D13" s="22" t="s">
        <x:v>1608</x:v>
      </x:c>
      <x:c r="E13" s="38" t="s">
        <x:v>1590</x:v>
      </x:c>
    </x:row>
    <x:row r="14" spans="1:5">
      <x:c r="A14" s="21" t="s">
        <x:v>1587</x:v>
      </x:c>
      <x:c r="B14" s="22" t="s">
        <x:v>1612</x:v>
      </x:c>
      <x:c r="C14" s="22" t="s">
        <x:v>52</x:v>
      </x:c>
      <x:c r="D14" s="22" t="s">
        <x:v>204</x:v>
      </x:c>
      <x:c r="E14" s="38" t="s">
        <x:v>1590</x:v>
      </x:c>
    </x:row>
    <x:row r="15" spans="1:5">
      <x:c r="A15" s="21" t="s">
        <x:v>1591</x:v>
      </x:c>
      <x:c r="B15" s="22" t="s">
        <x:v>1613</x:v>
      </x:c>
      <x:c r="C15" s="22" t="s">
        <x:v>1614</x:v>
      </x:c>
      <x:c r="D15" s="22" t="s">
        <x:v>1612</x:v>
      </x:c>
      <x:c r="E15" s="38" t="s">
        <x:v>1590</x:v>
      </x:c>
    </x:row>
    <x:row r="16" spans="1:5">
      <x:c r="A16" s="21" t="s">
        <x:v>1591</x:v>
      </x:c>
      <x:c r="B16" s="22" t="s">
        <x:v>1615</x:v>
      </x:c>
      <x:c r="C16" s="22" t="s">
        <x:v>1616</x:v>
      </x:c>
      <x:c r="D16" s="22" t="s">
        <x:v>1612</x:v>
      </x:c>
      <x:c r="E16" s="38" t="s">
        <x:v>1590</x:v>
      </x:c>
    </x:row>
    <x:row r="17" spans="1:5">
      <x:c r="A17" s="21" t="s">
        <x:v>1587</x:v>
      </x:c>
      <x:c r="B17" s="22" t="s">
        <x:v>1617</x:v>
      </x:c>
      <x:c r="C17" s="22" t="s">
        <x:v>1618</x:v>
      </x:c>
      <x:c r="D17" s="22" t="s">
        <x:v>204</x:v>
      </x:c>
      <x:c r="E17" s="38"/>
    </x:row>
    <x:row r="18" spans="1:5">
      <x:c r="A18" s="21" t="s">
        <x:v>1587</x:v>
      </x:c>
      <x:c r="B18" s="22" t="s">
        <x:v>1619</x:v>
      </x:c>
      <x:c r="C18" s="22" t="s">
        <x:v>1620</x:v>
      </x:c>
      <x:c r="D18" s="22" t="s">
        <x:v>204</x:v>
      </x:c>
      <x:c r="E18" s="38"/>
    </x:row>
    <x:row r="19" spans="1:5">
      <x:c r="A19" s="21" t="s">
        <x:v>1587</x:v>
      </x:c>
      <x:c r="B19" s="22" t="s">
        <x:v>1621</x:v>
      </x:c>
      <x:c r="C19" s="22" t="s">
        <x:v>1609</x:v>
      </x:c>
      <x:c r="D19" s="22" t="s">
        <x:v>204</x:v>
      </x:c>
      <x:c r="E19" s="38" t="s">
        <x:v>1590</x:v>
      </x:c>
    </x:row>
    <x:row r="20" spans="1:5">
      <x:c r="A20" s="21" t="s">
        <x:v>1587</x:v>
      </x:c>
      <x:c r="B20" s="22" t="s">
        <x:v>1622</x:v>
      </x:c>
      <x:c r="C20" s="22" t="s">
        <x:v>1609</x:v>
      </x:c>
      <x:c r="D20" s="22" t="s">
        <x:v>204</x:v>
      </x:c>
      <x:c r="E20" s="38" t="s">
        <x:v>1590</x:v>
      </x:c>
    </x:row>
    <x:row r="21" spans="1:5">
      <x:c r="A21" s="21" t="s">
        <x:v>1587</x:v>
      </x:c>
      <x:c r="B21" s="22" t="s">
        <x:v>1623</x:v>
      </x:c>
      <x:c r="C21" s="22" t="s">
        <x:v>1609</x:v>
      </x:c>
      <x:c r="D21" s="22" t="s">
        <x:v>204</x:v>
      </x:c>
      <x:c r="E21" s="38" t="s">
        <x:v>1590</x:v>
      </x:c>
    </x:row>
    <x:row r="22" spans="1:5">
      <x:c r="A22" s="21" t="s">
        <x:v>1587</x:v>
      </x:c>
      <x:c r="B22" s="22" t="s">
        <x:v>1624</x:v>
      </x:c>
      <x:c r="C22" s="22" t="s">
        <x:v>1625</x:v>
      </x:c>
      <x:c r="D22" s="22" t="s">
        <x:v>204</x:v>
      </x:c>
      <x:c r="E22" s="38"/>
    </x:row>
    <x:row r="23" spans="1:5">
      <x:c r="A23" s="21" t="s">
        <x:v>1598</x:v>
      </x:c>
      <x:c r="B23" s="22" t="s">
        <x:v>14</x:v>
      </x:c>
      <x:c r="C23" s="22" t="s">
        <x:v>1626</x:v>
      </x:c>
      <x:c r="D23" s="22" t="s">
        <x:v>571</x:v>
      </x:c>
      <x:c r="E23" s="38"/>
    </x:row>
    <x:row r="24" spans="1:5">
      <x:c r="A24" s="21" t="s">
        <x:v>1587</x:v>
      </x:c>
      <x:c r="B24" s="22" t="s">
        <x:v>1627</x:v>
      </x:c>
      <x:c r="C24" s="22" t="s">
        <x:v>1628</x:v>
      </x:c>
      <x:c r="D24" s="22" t="s">
        <x:v>14</x:v>
      </x:c>
      <x:c r="E24" s="38"/>
    </x:row>
    <x:row r="25" spans="1:5">
      <x:c r="A25" s="21" t="s">
        <x:v>1591</x:v>
      </x:c>
      <x:c r="B25" s="22" t="s">
        <x:v>1629</x:v>
      </x:c>
      <x:c r="C25" s="22" t="s">
        <x:v>1630</x:v>
      </x:c>
      <x:c r="D25" s="22" t="s">
        <x:v>1627</x:v>
      </x:c>
      <x:c r="E25" s="38"/>
    </x:row>
    <x:row r="26" spans="1:5">
      <x:c r="A26" s="21" t="s">
        <x:v>1598</x:v>
      </x:c>
      <x:c r="B26" s="22" t="s">
        <x:v>18</x:v>
      </x:c>
      <x:c r="C26" s="22" t="s">
        <x:v>1631</x:v>
      </x:c>
      <x:c r="D26" s="22" t="s">
        <x:v>571</x:v>
      </x:c>
      <x:c r="E26" s="38"/>
    </x:row>
    <x:row r="27" spans="1:5">
      <x:c r="A27" s="21" t="s">
        <x:v>1598</x:v>
      </x:c>
      <x:c r="B27" s="22" t="s">
        <x:v>199</x:v>
      </x:c>
      <x:c r="C27" s="22" t="s">
        <x:v>1632</x:v>
      </x:c>
      <x:c r="D27" s="22" t="s">
        <x:v>571</x:v>
      </x:c>
      <x:c r="E27" s="38"/>
    </x:row>
    <x:row r="28" spans="1:5">
      <x:c r="A28" s="21" t="s">
        <x:v>1587</x:v>
      </x:c>
      <x:c r="B28" s="22" t="s">
        <x:v>32</x:v>
      </x:c>
      <x:c r="C28" s="22" t="s">
        <x:v>33</x:v>
      </x:c>
      <x:c r="D28" s="22" t="s">
        <x:v>199</x:v>
      </x:c>
      <x:c r="E28" s="38"/>
    </x:row>
    <x:row r="29" spans="1:5">
      <x:c r="A29" s="21" t="s">
        <x:v>1591</x:v>
      </x:c>
      <x:c r="B29" s="22" t="s">
        <x:v>348</x:v>
      </x:c>
      <x:c r="C29" s="22" t="s">
        <x:v>33</x:v>
      </x:c>
      <x:c r="D29" s="22" t="s">
        <x:v>32</x:v>
      </x:c>
      <x:c r="E29" s="38"/>
    </x:row>
    <x:row r="30" spans="1:5">
      <x:c r="A30" s="21" t="s">
        <x:v>1587</x:v>
      </x:c>
      <x:c r="B30" s="22" t="s">
        <x:v>1633</x:v>
      </x:c>
      <x:c r="C30" s="22" t="s">
        <x:v>52</x:v>
      </x:c>
      <x:c r="D30" s="22" t="s">
        <x:v>199</x:v>
      </x:c>
      <x:c r="E30" s="38" t="s">
        <x:v>1590</x:v>
      </x:c>
    </x:row>
    <x:row r="31" spans="1:5">
      <x:c r="A31" s="21" t="s">
        <x:v>1587</x:v>
      </x:c>
      <x:c r="B31" s="22" t="s">
        <x:v>36</x:v>
      </x:c>
      <x:c r="C31" s="22" t="s">
        <x:v>37</x:v>
      </x:c>
      <x:c r="D31" s="22" t="s">
        <x:v>199</x:v>
      </x:c>
      <x:c r="E31" s="38"/>
    </x:row>
    <x:row r="32" spans="1:5">
      <x:c r="A32" s="21" t="s">
        <x:v>1591</x:v>
      </x:c>
      <x:c r="B32" s="22" t="s">
        <x:v>350</x:v>
      </x:c>
      <x:c r="C32" s="22" t="s">
        <x:v>37</x:v>
      </x:c>
      <x:c r="D32" s="22" t="s">
        <x:v>36</x:v>
      </x:c>
      <x:c r="E32" s="38"/>
    </x:row>
    <x:row r="33" spans="1:5">
      <x:c r="A33" s="21" t="s">
        <x:v>1587</x:v>
      </x:c>
      <x:c r="B33" s="22" t="s">
        <x:v>43</x:v>
      </x:c>
      <x:c r="C33" s="22" t="s">
        <x:v>44</x:v>
      </x:c>
      <x:c r="D33" s="22" t="s">
        <x:v>199</x:v>
      </x:c>
      <x:c r="E33" s="38"/>
    </x:row>
    <x:row r="34" spans="1:5">
      <x:c r="A34" s="21" t="s">
        <x:v>1591</x:v>
      </x:c>
      <x:c r="B34" s="22" t="s">
        <x:v>423</x:v>
      </x:c>
      <x:c r="C34" s="22" t="s">
        <x:v>422</x:v>
      </x:c>
      <x:c r="D34" s="22" t="s">
        <x:v>43</x:v>
      </x:c>
      <x:c r="E34" s="38"/>
    </x:row>
    <x:row r="35" spans="1:5">
      <x:c r="A35" s="21" t="s">
        <x:v>1591</x:v>
      </x:c>
      <x:c r="B35" s="22" t="s">
        <x:v>218</x:v>
      </x:c>
      <x:c r="C35" s="22" t="s">
        <x:v>219</x:v>
      </x:c>
      <x:c r="D35" s="22" t="s">
        <x:v>43</x:v>
      </x:c>
      <x:c r="E35" s="38"/>
    </x:row>
    <x:row r="36" spans="1:5">
      <x:c r="A36" s="21" t="s">
        <x:v>1591</x:v>
      </x:c>
      <x:c r="B36" s="22" t="s">
        <x:v>432</x:v>
      </x:c>
      <x:c r="C36" s="22" t="s">
        <x:v>431</x:v>
      </x:c>
      <x:c r="D36" s="22" t="s">
        <x:v>43</x:v>
      </x:c>
      <x:c r="E36" s="38"/>
    </x:row>
    <x:row r="37" spans="1:5">
      <x:c r="A37" s="21" t="s">
        <x:v>1598</x:v>
      </x:c>
      <x:c r="B37" s="22" t="s">
        <x:v>30</x:v>
      </x:c>
      <x:c r="C37" s="22" t="s">
        <x:v>1634</x:v>
      </x:c>
      <x:c r="D37" s="22" t="s">
        <x:v>571</x:v>
      </x:c>
      <x:c r="E37" s="38"/>
    </x:row>
    <x:row r="38" spans="1:5">
      <x:c r="A38" s="21" t="s">
        <x:v>1598</x:v>
      </x:c>
      <x:c r="B38" s="22" t="s">
        <x:v>34</x:v>
      </x:c>
      <x:c r="C38" s="22" t="s">
        <x:v>1635</x:v>
      </x:c>
      <x:c r="D38" s="22" t="s">
        <x:v>571</x:v>
      </x:c>
      <x:c r="E38" s="38" t="s">
        <x:v>1590</x:v>
      </x:c>
    </x:row>
    <x:row r="39" spans="1:5">
      <x:c r="A39" s="21" t="s">
        <x:v>1587</x:v>
      </x:c>
      <x:c r="B39" s="22" t="s">
        <x:v>1636</x:v>
      </x:c>
      <x:c r="C39" s="22" t="s">
        <x:v>1637</x:v>
      </x:c>
      <x:c r="D39" s="22" t="s">
        <x:v>34</x:v>
      </x:c>
      <x:c r="E39" s="38"/>
    </x:row>
    <x:row r="40" spans="1:5">
      <x:c r="A40" s="21" t="s">
        <x:v>1598</x:v>
      </x:c>
      <x:c r="B40" s="22" t="s">
        <x:v>38</x:v>
      </x:c>
      <x:c r="C40" s="22" t="s">
        <x:v>204</x:v>
      </x:c>
      <x:c r="D40" s="22" t="s">
        <x:v>571</x:v>
      </x:c>
      <x:c r="E40" s="38" t="s">
        <x:v>1590</x:v>
      </x:c>
    </x:row>
    <x:row r="41" spans="1:5">
      <x:c r="A41" s="21" t="s">
        <x:v>1598</x:v>
      </x:c>
      <x:c r="B41" s="22" t="s">
        <x:v>41</x:v>
      </x:c>
      <x:c r="C41" s="22" t="s">
        <x:v>1638</x:v>
      </x:c>
      <x:c r="D41" s="22" t="s">
        <x:v>571</x:v>
      </x:c>
      <x:c r="E41" s="38" t="s">
        <x:v>1590</x:v>
      </x:c>
    </x:row>
    <x:row r="42" spans="1:5">
      <x:c r="A42" s="21" t="s">
        <x:v>1587</x:v>
      </x:c>
      <x:c r="B42" s="22" t="s">
        <x:v>1639</x:v>
      </x:c>
      <x:c r="C42" s="22" t="s">
        <x:v>1640</x:v>
      </x:c>
      <x:c r="D42" s="22" t="s">
        <x:v>41</x:v>
      </x:c>
      <x:c r="E42" s="38"/>
    </x:row>
    <x:row r="43" spans="1:5">
      <x:c r="A43" s="21" t="s">
        <x:v>1591</x:v>
      </x:c>
      <x:c r="B43" s="22" t="s">
        <x:v>1641</x:v>
      </x:c>
      <x:c r="C43" s="22" t="s">
        <x:v>1642</x:v>
      </x:c>
      <x:c r="D43" s="22" t="s">
        <x:v>1639</x:v>
      </x:c>
      <x:c r="E43" s="38"/>
    </x:row>
    <x:row r="44" spans="1:5">
      <x:c r="A44" s="21" t="s">
        <x:v>1591</x:v>
      </x:c>
      <x:c r="B44" s="22" t="s">
        <x:v>1643</x:v>
      </x:c>
      <x:c r="C44" s="22" t="s">
        <x:v>1644</x:v>
      </x:c>
      <x:c r="D44" s="22" t="s">
        <x:v>1639</x:v>
      </x:c>
      <x:c r="E44" s="38" t="s">
        <x:v>1590</x:v>
      </x:c>
    </x:row>
    <x:row r="45" spans="1:5">
      <x:c r="A45" s="21" t="s">
        <x:v>1598</x:v>
      </x:c>
      <x:c r="B45" s="22" t="s">
        <x:v>207</x:v>
      </x:c>
      <x:c r="C45" s="22" t="s">
        <x:v>1626</x:v>
      </x:c>
      <x:c r="D45" s="22" t="s">
        <x:v>571</x:v>
      </x:c>
      <x:c r="E45" s="38"/>
    </x:row>
    <x:row r="46" spans="1:5">
      <x:c r="A46" s="21" t="s">
        <x:v>1587</x:v>
      </x:c>
      <x:c r="B46" s="22" t="s">
        <x:v>47</x:v>
      </x:c>
      <x:c r="C46" s="22" t="s">
        <x:v>48</x:v>
      </x:c>
      <x:c r="D46" s="22" t="s">
        <x:v>207</x:v>
      </x:c>
      <x:c r="E46" s="38"/>
    </x:row>
    <x:row r="47" spans="1:5">
      <x:c r="A47" s="21" t="s">
        <x:v>1591</x:v>
      </x:c>
      <x:c r="B47" s="22" t="s">
        <x:v>392</x:v>
      </x:c>
      <x:c r="C47" s="22" t="s">
        <x:v>393</x:v>
      </x:c>
      <x:c r="D47" s="22" t="s">
        <x:v>47</x:v>
      </x:c>
      <x:c r="E47" s="38"/>
    </x:row>
    <x:row r="48" spans="1:5">
      <x:c r="A48" s="21" t="s">
        <x:v>1591</x:v>
      </x:c>
      <x:c r="B48" s="22" t="s">
        <x:v>272</x:v>
      </x:c>
      <x:c r="C48" s="22" t="s">
        <x:v>273</x:v>
      </x:c>
      <x:c r="D48" s="22" t="s">
        <x:v>47</x:v>
      </x:c>
      <x:c r="E48" s="38"/>
    </x:row>
    <x:row r="49" spans="1:5">
      <x:c r="A49" s="21" t="s">
        <x:v>1591</x:v>
      </x:c>
      <x:c r="B49" s="22" t="s">
        <x:v>222</x:v>
      </x:c>
      <x:c r="C49" s="22" t="s">
        <x:v>223</x:v>
      </x:c>
      <x:c r="D49" s="22" t="s">
        <x:v>47</x:v>
      </x:c>
      <x:c r="E49" s="38"/>
    </x:row>
    <x:row r="50" spans="1:5">
      <x:c r="A50" s="21" t="s">
        <x:v>1587</x:v>
      </x:c>
      <x:c r="B50" s="22" t="s">
        <x:v>51</x:v>
      </x:c>
      <x:c r="C50" s="22" t="s">
        <x:v>52</x:v>
      </x:c>
      <x:c r="D50" s="22" t="s">
        <x:v>207</x:v>
      </x:c>
      <x:c r="E50" s="38" t="s">
        <x:v>1590</x:v>
      </x:c>
    </x:row>
    <x:row r="51" spans="1:5">
      <x:c r="A51" s="21" t="s">
        <x:v>1591</x:v>
      </x:c>
      <x:c r="B51" s="22" t="s">
        <x:v>229</x:v>
      </x:c>
      <x:c r="C51" s="22" t="s">
        <x:v>230</x:v>
      </x:c>
      <x:c r="D51" s="22" t="s">
        <x:v>51</x:v>
      </x:c>
      <x:c r="E51" s="38"/>
    </x:row>
    <x:row r="52" spans="1:5">
      <x:c r="A52" s="21" t="s">
        <x:v>1587</x:v>
      </x:c>
      <x:c r="B52" s="22" t="s">
        <x:v>55</x:v>
      </x:c>
      <x:c r="C52" s="22" t="s">
        <x:v>54</x:v>
      </x:c>
      <x:c r="D52" s="22" t="s">
        <x:v>207</x:v>
      </x:c>
      <x:c r="E52" s="38"/>
    </x:row>
    <x:row r="53" spans="1:5">
      <x:c r="A53" s="21" t="s">
        <x:v>1591</x:v>
      </x:c>
      <x:c r="B53" s="22" t="s">
        <x:v>1645</x:v>
      </x:c>
      <x:c r="C53" s="22" t="s">
        <x:v>1646</x:v>
      </x:c>
      <x:c r="D53" s="22" t="s">
        <x:v>55</x:v>
      </x:c>
      <x:c r="E53" s="38"/>
    </x:row>
    <x:row r="54" spans="1:5">
      <x:c r="A54" s="21" t="s">
        <x:v>1591</x:v>
      </x:c>
      <x:c r="B54" s="22" t="s">
        <x:v>1647</x:v>
      </x:c>
      <x:c r="C54" s="22" t="s">
        <x:v>1648</x:v>
      </x:c>
      <x:c r="D54" s="22" t="s">
        <x:v>55</x:v>
      </x:c>
      <x:c r="E54" s="38"/>
    </x:row>
    <x:row r="55" spans="1:5">
      <x:c r="A55" s="21" t="s">
        <x:v>1591</x:v>
      </x:c>
      <x:c r="B55" s="22" t="s">
        <x:v>253</x:v>
      </x:c>
      <x:c r="C55" s="22" t="s">
        <x:v>254</x:v>
      </x:c>
      <x:c r="D55" s="22" t="s">
        <x:v>55</x:v>
      </x:c>
      <x:c r="E55" s="38"/>
    </x:row>
    <x:row r="56" spans="1:5">
      <x:c r="A56" s="21" t="s">
        <x:v>1591</x:v>
      </x:c>
      <x:c r="B56" s="22" t="s">
        <x:v>1649</x:v>
      </x:c>
      <x:c r="C56" s="22" t="s">
        <x:v>1650</x:v>
      </x:c>
      <x:c r="D56" s="22" t="s">
        <x:v>55</x:v>
      </x:c>
      <x:c r="E56" s="38"/>
    </x:row>
    <x:row r="57" spans="1:5">
      <x:c r="A57" s="21" t="s">
        <x:v>1591</x:v>
      </x:c>
      <x:c r="B57" s="22" t="s">
        <x:v>379</x:v>
      </x:c>
      <x:c r="C57" s="22" t="s">
        <x:v>288</x:v>
      </x:c>
      <x:c r="D57" s="22" t="s">
        <x:v>55</x:v>
      </x:c>
      <x:c r="E57" s="38" t="s">
        <x:v>1590</x:v>
      </x:c>
    </x:row>
    <x:row r="58" spans="1:5">
      <x:c r="A58" s="21" t="s">
        <x:v>1591</x:v>
      </x:c>
      <x:c r="B58" s="22" t="s">
        <x:v>448</x:v>
      </x:c>
      <x:c r="C58" s="22" t="s">
        <x:v>447</x:v>
      </x:c>
      <x:c r="D58" s="22" t="s">
        <x:v>55</x:v>
      </x:c>
      <x:c r="E58" s="38"/>
    </x:row>
    <x:row r="59" spans="1:5">
      <x:c r="A59" s="21" t="s">
        <x:v>1591</x:v>
      </x:c>
      <x:c r="B59" s="22" t="s">
        <x:v>395</x:v>
      </x:c>
      <x:c r="C59" s="22" t="s">
        <x:v>396</x:v>
      </x:c>
      <x:c r="D59" s="22" t="s">
        <x:v>55</x:v>
      </x:c>
      <x:c r="E59" s="38"/>
    </x:row>
    <x:row r="60" spans="1:5">
      <x:c r="A60" s="21" t="s">
        <x:v>1587</x:v>
      </x:c>
      <x:c r="B60" s="22" t="s">
        <x:v>58</x:v>
      </x:c>
      <x:c r="C60" s="22" t="s">
        <x:v>59</x:v>
      </x:c>
      <x:c r="D60" s="22" t="s">
        <x:v>207</x:v>
      </x:c>
      <x:c r="E60" s="38"/>
    </x:row>
    <x:row r="61" spans="1:5">
      <x:c r="A61" s="21" t="s">
        <x:v>1591</x:v>
      </x:c>
      <x:c r="B61" s="22" t="s">
        <x:v>470</x:v>
      </x:c>
      <x:c r="C61" s="22" t="s">
        <x:v>57</x:v>
      </x:c>
      <x:c r="D61" s="22" t="s">
        <x:v>58</x:v>
      </x:c>
      <x:c r="E61" s="38"/>
    </x:row>
    <x:row r="62" spans="1:5">
      <x:c r="A62" s="21" t="s">
        <x:v>1591</x:v>
      </x:c>
      <x:c r="B62" s="22" t="s">
        <x:v>320</x:v>
      </x:c>
      <x:c r="C62" s="22" t="s">
        <x:v>321</x:v>
      </x:c>
      <x:c r="D62" s="22" t="s">
        <x:v>58</x:v>
      </x:c>
      <x:c r="E62" s="38"/>
    </x:row>
    <x:row r="63" spans="1:5">
      <x:c r="A63" s="21" t="s">
        <x:v>1587</x:v>
      </x:c>
      <x:c r="B63" s="22" t="s">
        <x:v>62</x:v>
      </x:c>
      <x:c r="C63" s="22" t="s">
        <x:v>63</x:v>
      </x:c>
      <x:c r="D63" s="22" t="s">
        <x:v>207</x:v>
      </x:c>
      <x:c r="E63" s="38"/>
    </x:row>
    <x:row r="64" spans="1:5">
      <x:c r="A64" s="21" t="s">
        <x:v>1587</x:v>
      </x:c>
      <x:c r="B64" s="22" t="s">
        <x:v>66</x:v>
      </x:c>
      <x:c r="C64" s="22" t="s">
        <x:v>65</x:v>
      </x:c>
      <x:c r="D64" s="22" t="s">
        <x:v>207</x:v>
      </x:c>
      <x:c r="E64" s="38"/>
    </x:row>
    <x:row r="65" spans="1:5">
      <x:c r="A65" s="21" t="s">
        <x:v>1591</x:v>
      </x:c>
      <x:c r="B65" s="22" t="s">
        <x:v>243</x:v>
      </x:c>
      <x:c r="C65" s="22" t="s">
        <x:v>244</x:v>
      </x:c>
      <x:c r="D65" s="22" t="s">
        <x:v>66</x:v>
      </x:c>
      <x:c r="E65" s="38"/>
    </x:row>
    <x:row r="66" spans="1:5">
      <x:c r="A66" s="21" t="s">
        <x:v>1591</x:v>
      </x:c>
      <x:c r="B66" s="22" t="s">
        <x:v>249</x:v>
      </x:c>
      <x:c r="C66" s="22" t="s">
        <x:v>250</x:v>
      </x:c>
      <x:c r="D66" s="22" t="s">
        <x:v>66</x:v>
      </x:c>
      <x:c r="E66" s="38"/>
    </x:row>
    <x:row r="67" spans="1:5">
      <x:c r="A67" s="21" t="s">
        <x:v>1591</x:v>
      </x:c>
      <x:c r="B67" s="22" t="s">
        <x:v>246</x:v>
      </x:c>
      <x:c r="C67" s="22" t="s">
        <x:v>247</x:v>
      </x:c>
      <x:c r="D67" s="22" t="s">
        <x:v>66</x:v>
      </x:c>
      <x:c r="E67" s="38"/>
    </x:row>
    <x:row r="68" spans="1:5">
      <x:c r="A68" s="21" t="s">
        <x:v>1587</x:v>
      </x:c>
      <x:c r="B68" s="22" t="s">
        <x:v>69</x:v>
      </x:c>
      <x:c r="C68" s="22" t="s">
        <x:v>70</x:v>
      </x:c>
      <x:c r="D68" s="22" t="s">
        <x:v>207</x:v>
      </x:c>
      <x:c r="E68" s="38"/>
    </x:row>
    <x:row r="69" spans="1:5">
      <x:c r="A69" s="21" t="s">
        <x:v>1587</x:v>
      </x:c>
      <x:c r="B69" s="22" t="s">
        <x:v>1651</x:v>
      </x:c>
      <x:c r="C69" s="22" t="s">
        <x:v>1652</x:v>
      </x:c>
      <x:c r="D69" s="22" t="s">
        <x:v>207</x:v>
      </x:c>
      <x:c r="E69" s="38"/>
    </x:row>
    <x:row r="70" spans="1:5">
      <x:c r="A70" s="21" t="s">
        <x:v>1598</x:v>
      </x:c>
      <x:c r="B70" s="22" t="s">
        <x:v>202</x:v>
      </x:c>
      <x:c r="C70" s="22" t="s">
        <x:v>1634</x:v>
      </x:c>
      <x:c r="D70" s="22" t="s">
        <x:v>571</x:v>
      </x:c>
      <x:c r="E70" s="38"/>
    </x:row>
    <x:row r="71" spans="1:5">
      <x:c r="A71" s="21" t="s">
        <x:v>1587</x:v>
      </x:c>
      <x:c r="B71" s="22" t="s">
        <x:v>73</x:v>
      </x:c>
      <x:c r="C71" s="22" t="s">
        <x:v>72</x:v>
      </x:c>
      <x:c r="D71" s="22" t="s">
        <x:v>202</x:v>
      </x:c>
      <x:c r="E71" s="38"/>
    </x:row>
    <x:row r="72" spans="1:5">
      <x:c r="A72" s="21" t="s">
        <x:v>1587</x:v>
      </x:c>
      <x:c r="B72" s="22" t="s">
        <x:v>76</x:v>
      </x:c>
      <x:c r="C72" s="22" t="s">
        <x:v>77</x:v>
      </x:c>
      <x:c r="D72" s="22" t="s">
        <x:v>202</x:v>
      </x:c>
      <x:c r="E72" s="38"/>
    </x:row>
    <x:row r="73" spans="1:5">
      <x:c r="A73" s="21" t="s">
        <x:v>1591</x:v>
      </x:c>
      <x:c r="B73" s="22" t="s">
        <x:v>1653</x:v>
      </x:c>
      <x:c r="C73" s="22" t="s">
        <x:v>1654</x:v>
      </x:c>
      <x:c r="D73" s="22" t="s">
        <x:v>76</x:v>
      </x:c>
      <x:c r="E73" s="38"/>
    </x:row>
    <x:row r="74" spans="1:5">
      <x:c r="A74" s="21" t="s">
        <x:v>1587</x:v>
      </x:c>
      <x:c r="B74" s="22" t="s">
        <x:v>80</x:v>
      </x:c>
      <x:c r="C74" s="22" t="s">
        <x:v>81</x:v>
      </x:c>
      <x:c r="D74" s="22" t="s">
        <x:v>202</x:v>
      </x:c>
      <x:c r="E74" s="38"/>
    </x:row>
    <x:row r="75" spans="1:5">
      <x:c r="A75" s="21" t="s">
        <x:v>1587</x:v>
      </x:c>
      <x:c r="B75" s="22" t="s">
        <x:v>1655</x:v>
      </x:c>
      <x:c r="C75" s="22" t="s">
        <x:v>1656</x:v>
      </x:c>
      <x:c r="D75" s="22" t="s">
        <x:v>202</x:v>
      </x:c>
      <x:c r="E75" s="38"/>
    </x:row>
    <x:row r="76" spans="1:5">
      <x:c r="A76" s="21" t="s">
        <x:v>1598</x:v>
      </x:c>
      <x:c r="B76" s="22" t="s">
        <x:v>380</x:v>
      </x:c>
      <x:c r="C76" s="22" t="s">
        <x:v>288</x:v>
      </x:c>
      <x:c r="D76" s="22" t="s">
        <x:v>571</x:v>
      </x:c>
      <x:c r="E76" s="38" t="s">
        <x:v>1590</x:v>
      </x:c>
    </x:row>
    <x:row r="77" spans="1:5">
      <x:c r="A77" s="21" t="s">
        <x:v>1598</x:v>
      </x:c>
      <x:c r="B77" s="22" t="s">
        <x:v>209</x:v>
      </x:c>
      <x:c r="C77" s="22" t="s">
        <x:v>1657</x:v>
      </x:c>
      <x:c r="D77" s="22" t="s">
        <x:v>571</x:v>
      </x:c>
      <x:c r="E77" s="38"/>
    </x:row>
    <x:row r="78" spans="1:5">
      <x:c r="A78" s="21" t="s">
        <x:v>1587</x:v>
      </x:c>
      <x:c r="B78" s="22" t="s">
        <x:v>84</x:v>
      </x:c>
      <x:c r="C78" s="22" t="s">
        <x:v>85</x:v>
      </x:c>
      <x:c r="D78" s="22" t="s">
        <x:v>209</x:v>
      </x:c>
      <x:c r="E78" s="38"/>
    </x:row>
    <x:row r="79" spans="1:5">
      <x:c r="A79" s="21" t="s">
        <x:v>1598</x:v>
      </x:c>
      <x:c r="B79" s="22" t="s">
        <x:v>82</x:v>
      </x:c>
      <x:c r="C79" s="22" t="s">
        <x:v>1658</x:v>
      </x:c>
      <x:c r="D79" s="22" t="s">
        <x:v>571</x:v>
      </x:c>
      <x:c r="E79" s="38"/>
    </x:row>
    <x:row r="80" spans="1:5">
      <x:c r="A80" s="21" t="s">
        <x:v>1587</x:v>
      </x:c>
      <x:c r="B80" s="22" t="s">
        <x:v>1659</x:v>
      </x:c>
      <x:c r="C80" s="22" t="s">
        <x:v>1660</x:v>
      </x:c>
      <x:c r="D80" s="22" t="s">
        <x:v>82</x:v>
      </x:c>
      <x:c r="E80" s="38"/>
    </x:row>
    <x:row r="81" spans="1:5">
      <x:c r="A81" s="21" t="s">
        <x:v>1591</x:v>
      </x:c>
      <x:c r="B81" s="22" t="s">
        <x:v>278</x:v>
      </x:c>
      <x:c r="C81" s="22" t="s">
        <x:v>279</x:v>
      </x:c>
      <x:c r="D81" s="22" t="s">
        <x:v>1659</x:v>
      </x:c>
      <x:c r="E81" s="38"/>
    </x:row>
    <x:row r="82" spans="1:5">
      <x:c r="A82" s="21" t="s">
        <x:v>1598</x:v>
      </x:c>
      <x:c r="B82" s="22" t="s">
        <x:v>498</x:v>
      </x:c>
      <x:c r="C82" s="22" t="s">
        <x:v>288</x:v>
      </x:c>
      <x:c r="D82" s="22" t="s">
        <x:v>571</x:v>
      </x:c>
      <x:c r="E82" s="38" t="s">
        <x:v>1590</x:v>
      </x:c>
    </x:row>
    <x:row r="83" spans="1:5">
      <x:c r="A83" s="21" t="s">
        <x:v>1598</x:v>
      </x:c>
      <x:c r="B83" s="22" t="s">
        <x:v>529</x:v>
      </x:c>
      <x:c r="C83" s="22" t="s">
        <x:v>1661</x:v>
      </x:c>
      <x:c r="D83" s="22" t="s">
        <x:v>571</x:v>
      </x:c>
      <x:c r="E83" s="38" t="s">
        <x:v>1590</x:v>
      </x:c>
    </x:row>
    <x:row r="84" spans="1:5">
      <x:c r="A84" s="21" t="s">
        <x:v>1598</x:v>
      </x:c>
      <x:c r="B84" s="22" t="s">
        <x:v>211</x:v>
      </x:c>
      <x:c r="C84" s="22" t="s">
        <x:v>1662</x:v>
      </x:c>
      <x:c r="D84" s="22" t="s">
        <x:v>571</x:v>
      </x:c>
      <x:c r="E84" s="38"/>
    </x:row>
    <x:row r="85" spans="1:5">
      <x:c r="A85" s="21" t="s">
        <x:v>1587</x:v>
      </x:c>
      <x:c r="B85" s="22" t="s">
        <x:v>88</x:v>
      </x:c>
      <x:c r="C85" s="22" t="s">
        <x:v>89</x:v>
      </x:c>
      <x:c r="D85" s="22" t="s">
        <x:v>211</x:v>
      </x:c>
      <x:c r="E85" s="38"/>
    </x:row>
    <x:row r="86" spans="1:5">
      <x:c r="A86" s="21" t="s">
        <x:v>1591</x:v>
      </x:c>
      <x:c r="B86" s="22" t="s">
        <x:v>559</x:v>
      </x:c>
      <x:c r="C86" s="22" t="s">
        <x:v>560</x:v>
      </x:c>
      <x:c r="D86" s="22" t="s">
        <x:v>88</x:v>
      </x:c>
      <x:c r="E86" s="38"/>
    </x:row>
    <x:row r="87" spans="1:5">
      <x:c r="A87" s="21" t="s">
        <x:v>1591</x:v>
      </x:c>
      <x:c r="B87" s="22" t="s">
        <x:v>281</x:v>
      </x:c>
      <x:c r="C87" s="22" t="s">
        <x:v>282</x:v>
      </x:c>
      <x:c r="D87" s="22" t="s">
        <x:v>88</x:v>
      </x:c>
      <x:c r="E87" s="38"/>
    </x:row>
    <x:row r="88" spans="1:5">
      <x:c r="A88" s="21" t="s">
        <x:v>1591</x:v>
      </x:c>
      <x:c r="B88" s="22" t="s">
        <x:v>367</x:v>
      </x:c>
      <x:c r="C88" s="22" t="s">
        <x:v>368</x:v>
      </x:c>
      <x:c r="D88" s="22" t="s">
        <x:v>88</x:v>
      </x:c>
      <x:c r="E88" s="38"/>
    </x:row>
    <x:row r="89" spans="1:5">
      <x:c r="A89" s="21" t="s">
        <x:v>1587</x:v>
      </x:c>
      <x:c r="B89" s="22" t="s">
        <x:v>92</x:v>
      </x:c>
      <x:c r="C89" s="22" t="s">
        <x:v>93</x:v>
      </x:c>
      <x:c r="D89" s="22" t="s">
        <x:v>211</x:v>
      </x:c>
      <x:c r="E89" s="38"/>
    </x:row>
    <x:row r="90" spans="1:5">
      <x:c r="A90" s="21" t="s">
        <x:v>1591</x:v>
      </x:c>
      <x:c r="B90" s="22" t="s">
        <x:v>495</x:v>
      </x:c>
      <x:c r="C90" s="22" t="s">
        <x:v>496</x:v>
      </x:c>
      <x:c r="D90" s="22" t="s">
        <x:v>92</x:v>
      </x:c>
      <x:c r="E90" s="38"/>
    </x:row>
    <x:row r="91" spans="1:5">
      <x:c r="A91" s="21" t="s">
        <x:v>1587</x:v>
      </x:c>
      <x:c r="B91" s="22" t="s">
        <x:v>96</x:v>
      </x:c>
      <x:c r="C91" s="22" t="s">
        <x:v>97</x:v>
      </x:c>
      <x:c r="D91" s="22" t="s">
        <x:v>211</x:v>
      </x:c>
      <x:c r="E91" s="38"/>
    </x:row>
    <x:row r="92" spans="1:5">
      <x:c r="A92" s="21" t="s">
        <x:v>1591</x:v>
      </x:c>
      <x:c r="B92" s="22" t="s">
        <x:v>1663</x:v>
      </x:c>
      <x:c r="C92" s="22" t="s">
        <x:v>1664</x:v>
      </x:c>
      <x:c r="D92" s="22" t="s">
        <x:v>96</x:v>
      </x:c>
      <x:c r="E92" s="38"/>
    </x:row>
    <x:row r="93" spans="1:5">
      <x:c r="A93" s="21" t="s">
        <x:v>1591</x:v>
      </x:c>
      <x:c r="B93" s="22" t="s">
        <x:v>1665</x:v>
      </x:c>
      <x:c r="C93" s="22" t="s">
        <x:v>1666</x:v>
      </x:c>
      <x:c r="D93" s="22" t="s">
        <x:v>96</x:v>
      </x:c>
      <x:c r="E93" s="38"/>
    </x:row>
    <x:row r="94" spans="1:5">
      <x:c r="A94" s="21" t="s">
        <x:v>1591</x:v>
      </x:c>
      <x:c r="B94" s="22" t="s">
        <x:v>1667</x:v>
      </x:c>
      <x:c r="C94" s="22" t="s">
        <x:v>1668</x:v>
      </x:c>
      <x:c r="D94" s="22" t="s">
        <x:v>96</x:v>
      </x:c>
      <x:c r="E94" s="38"/>
    </x:row>
    <x:row r="95" spans="1:5">
      <x:c r="A95" s="21" t="s">
        <x:v>1591</x:v>
      </x:c>
      <x:c r="B95" s="22" t="s">
        <x:v>267</x:v>
      </x:c>
      <x:c r="C95" s="22" t="s">
        <x:v>268</x:v>
      </x:c>
      <x:c r="D95" s="22" t="s">
        <x:v>96</x:v>
      </x:c>
      <x:c r="E95" s="38"/>
    </x:row>
    <x:row r="96" spans="1:5">
      <x:c r="A96" s="21" t="s">
        <x:v>1591</x:v>
      </x:c>
      <x:c r="B96" s="22" t="s">
        <x:v>1669</x:v>
      </x:c>
      <x:c r="C96" s="22" t="s">
        <x:v>1670</x:v>
      </x:c>
      <x:c r="D96" s="22" t="s">
        <x:v>96</x:v>
      </x:c>
      <x:c r="E96" s="38"/>
    </x:row>
    <x:row r="97" spans="1:5">
      <x:c r="A97" s="21" t="s">
        <x:v>1591</x:v>
      </x:c>
      <x:c r="B97" s="22" t="s">
        <x:v>511</x:v>
      </x:c>
      <x:c r="C97" s="22" t="s">
        <x:v>512</x:v>
      </x:c>
      <x:c r="D97" s="22" t="s">
        <x:v>96</x:v>
      </x:c>
      <x:c r="E97" s="38"/>
    </x:row>
    <x:row r="98" spans="1:5">
      <x:c r="A98" s="21" t="s">
        <x:v>1591</x:v>
      </x:c>
      <x:c r="B98" s="22" t="s">
        <x:v>1671</x:v>
      </x:c>
      <x:c r="C98" s="22" t="s">
        <x:v>1672</x:v>
      </x:c>
      <x:c r="D98" s="22" t="s">
        <x:v>96</x:v>
      </x:c>
      <x:c r="E98" s="38"/>
    </x:row>
    <x:row r="99" spans="1:5">
      <x:c r="A99" s="21" t="s">
        <x:v>1591</x:v>
      </x:c>
      <x:c r="B99" s="22" t="s">
        <x:v>514</x:v>
      </x:c>
      <x:c r="C99" s="22" t="s">
        <x:v>515</x:v>
      </x:c>
      <x:c r="D99" s="22" t="s">
        <x:v>96</x:v>
      </x:c>
      <x:c r="E99" s="38"/>
    </x:row>
    <x:row r="100" spans="1:5">
      <x:c r="A100" s="21" t="s">
        <x:v>1587</x:v>
      </x:c>
      <x:c r="B100" s="22" t="s">
        <x:v>100</x:v>
      </x:c>
      <x:c r="C100" s="22" t="s">
        <x:v>101</x:v>
      </x:c>
      <x:c r="D100" s="22" t="s">
        <x:v>211</x:v>
      </x:c>
      <x:c r="E100" s="38"/>
    </x:row>
    <x:row r="101" spans="1:5">
      <x:c r="A101" s="21" t="s">
        <x:v>1591</x:v>
      </x:c>
      <x:c r="B101" s="22" t="s">
        <x:v>290</x:v>
      </x:c>
      <x:c r="C101" s="22" t="s">
        <x:v>291</x:v>
      </x:c>
      <x:c r="D101" s="22" t="s">
        <x:v>100</x:v>
      </x:c>
      <x:c r="E101" s="38"/>
    </x:row>
    <x:row r="102" spans="1:5">
      <x:c r="A102" s="21" t="s">
        <x:v>1587</x:v>
      </x:c>
      <x:c r="B102" s="22" t="s">
        <x:v>104</x:v>
      </x:c>
      <x:c r="C102" s="22" t="s">
        <x:v>103</x:v>
      </x:c>
      <x:c r="D102" s="22" t="s">
        <x:v>211</x:v>
      </x:c>
      <x:c r="E102" s="38"/>
    </x:row>
    <x:row r="103" spans="1:5">
      <x:c r="A103" s="21" t="s">
        <x:v>1591</x:v>
      </x:c>
      <x:c r="B103" s="22" t="s">
        <x:v>526</x:v>
      </x:c>
      <x:c r="C103" s="22" t="s">
        <x:v>527</x:v>
      </x:c>
      <x:c r="D103" s="22" t="s">
        <x:v>104</x:v>
      </x:c>
      <x:c r="E103" s="38"/>
    </x:row>
    <x:row r="104" spans="1:5">
      <x:c r="A104" s="21" t="s">
        <x:v>1591</x:v>
      </x:c>
      <x:c r="B104" s="22" t="s">
        <x:v>522</x:v>
      </x:c>
      <x:c r="C104" s="22" t="s">
        <x:v>523</x:v>
      </x:c>
      <x:c r="D104" s="22" t="s">
        <x:v>104</x:v>
      </x:c>
      <x:c r="E104" s="38"/>
    </x:row>
    <x:row r="105" spans="1:5">
      <x:c r="A105" s="21" t="s">
        <x:v>1591</x:v>
      </x:c>
      <x:c r="B105" s="22" t="s">
        <x:v>582</x:v>
      </x:c>
      <x:c r="C105" s="22" t="s">
        <x:v>583</x:v>
      </x:c>
      <x:c r="D105" s="22" t="s">
        <x:v>104</x:v>
      </x:c>
      <x:c r="E105" s="38"/>
    </x:row>
    <x:row r="106" spans="1:5">
      <x:c r="A106" s="21" t="s">
        <x:v>1591</x:v>
      </x:c>
      <x:c r="B106" s="22" t="s">
        <x:v>300</x:v>
      </x:c>
      <x:c r="C106" s="22" t="s">
        <x:v>301</x:v>
      </x:c>
      <x:c r="D106" s="22" t="s">
        <x:v>104</x:v>
      </x:c>
      <x:c r="E106" s="38"/>
    </x:row>
    <x:row r="107" spans="1:5">
      <x:c r="A107" s="21" t="s">
        <x:v>1591</x:v>
      </x:c>
      <x:c r="B107" s="22" t="s">
        <x:v>1673</x:v>
      </x:c>
      <x:c r="C107" s="22" t="s">
        <x:v>1674</x:v>
      </x:c>
      <x:c r="D107" s="22" t="s">
        <x:v>104</x:v>
      </x:c>
      <x:c r="E107" s="38"/>
    </x:row>
    <x:row r="108" spans="1:5">
      <x:c r="A108" s="21" t="s">
        <x:v>1591</x:v>
      </x:c>
      <x:c r="B108" s="22" t="s">
        <x:v>519</x:v>
      </x:c>
      <x:c r="C108" s="22" t="s">
        <x:v>520</x:v>
      </x:c>
      <x:c r="D108" s="22" t="s">
        <x:v>104</x:v>
      </x:c>
      <x:c r="E108" s="38"/>
    </x:row>
    <x:row r="109" spans="1:5">
      <x:c r="A109" s="21" t="s">
        <x:v>1591</x:v>
      </x:c>
      <x:c r="B109" s="22" t="s">
        <x:v>294</x:v>
      </x:c>
      <x:c r="C109" s="22" t="s">
        <x:v>295</x:v>
      </x:c>
      <x:c r="D109" s="22" t="s">
        <x:v>104</x:v>
      </x:c>
      <x:c r="E109" s="38"/>
    </x:row>
    <x:row r="110" spans="1:5">
      <x:c r="A110" s="21" t="s">
        <x:v>1591</x:v>
      </x:c>
      <x:c r="B110" s="22" t="s">
        <x:v>297</x:v>
      </x:c>
      <x:c r="C110" s="22" t="s">
        <x:v>298</x:v>
      </x:c>
      <x:c r="D110" s="22" t="s">
        <x:v>104</x:v>
      </x:c>
      <x:c r="E110" s="38"/>
    </x:row>
    <x:row r="111" spans="1:5">
      <x:c r="A111" s="21" t="s">
        <x:v>1587</x:v>
      </x:c>
      <x:c r="B111" s="22" t="s">
        <x:v>110</x:v>
      </x:c>
      <x:c r="C111" s="22" t="s">
        <x:v>111</x:v>
      </x:c>
      <x:c r="D111" s="22" t="s">
        <x:v>211</x:v>
      </x:c>
      <x:c r="E111" s="38"/>
    </x:row>
    <x:row r="112" spans="1:5">
      <x:c r="A112" s="21" t="s">
        <x:v>1591</x:v>
      </x:c>
      <x:c r="B112" s="22" t="s">
        <x:v>262</x:v>
      </x:c>
      <x:c r="C112" s="22" t="s">
        <x:v>263</x:v>
      </x:c>
      <x:c r="D112" s="22" t="s">
        <x:v>110</x:v>
      </x:c>
      <x:c r="E112" s="38"/>
    </x:row>
    <x:row r="113" spans="1:5">
      <x:c r="A113" s="21" t="s">
        <x:v>1591</x:v>
      </x:c>
      <x:c r="B113" s="22" t="s">
        <x:v>332</x:v>
      </x:c>
      <x:c r="C113" s="22" t="s">
        <x:v>333</x:v>
      </x:c>
      <x:c r="D113" s="22" t="s">
        <x:v>110</x:v>
      </x:c>
      <x:c r="E113" s="38"/>
    </x:row>
    <x:row r="114" spans="1:5">
      <x:c r="A114" s="21" t="s">
        <x:v>1598</x:v>
      </x:c>
      <x:c r="B114" s="22" t="s">
        <x:v>102</x:v>
      </x:c>
      <x:c r="C114" s="22" t="s">
        <x:v>1675</x:v>
      </x:c>
      <x:c r="D114" s="22" t="s">
        <x:v>571</x:v>
      </x:c>
      <x:c r="E114" s="38" t="s">
        <x:v>1590</x:v>
      </x:c>
    </x:row>
    <x:row r="115" spans="1:5">
      <x:c r="A115" s="21" t="s">
        <x:v>1598</x:v>
      </x:c>
      <x:c r="B115" s="22" t="s">
        <x:v>105</x:v>
      </x:c>
      <x:c r="C115" s="22" t="s">
        <x:v>1676</x:v>
      </x:c>
      <x:c r="D115" s="22" t="s">
        <x:v>571</x:v>
      </x:c>
      <x:c r="E115" s="38" t="s">
        <x:v>1590</x:v>
      </x:c>
    </x:row>
    <x:row r="116" spans="1:5">
      <x:c r="A116" s="21" t="s">
        <x:v>1598</x:v>
      </x:c>
      <x:c r="B116" s="22" t="s">
        <x:v>417</x:v>
      </x:c>
      <x:c r="C116" s="22" t="s">
        <x:v>1677</x:v>
      </x:c>
      <x:c r="D116" s="22" t="s">
        <x:v>571</x:v>
      </x:c>
      <x:c r="E116" s="38"/>
    </x:row>
    <x:row r="117" spans="1:5">
      <x:c r="A117" s="21" t="s">
        <x:v>1587</x:v>
      </x:c>
      <x:c r="B117" s="22" t="s">
        <x:v>114</x:v>
      </x:c>
      <x:c r="C117" s="22" t="s">
        <x:v>115</x:v>
      </x:c>
      <x:c r="D117" s="22" t="s">
        <x:v>417</x:v>
      </x:c>
      <x:c r="E117" s="38"/>
    </x:row>
    <x:row r="118" spans="1:5">
      <x:c r="A118" s="21" t="s">
        <x:v>1591</x:v>
      </x:c>
      <x:c r="B118" s="22" t="s">
        <x:v>537</x:v>
      </x:c>
      <x:c r="C118" s="22" t="s">
        <x:v>115</x:v>
      </x:c>
      <x:c r="D118" s="22" t="s">
        <x:v>114</x:v>
      </x:c>
      <x:c r="E118" s="38"/>
    </x:row>
    <x:row r="119" spans="1:5">
      <x:c r="A119" s="21" t="s">
        <x:v>1587</x:v>
      </x:c>
      <x:c r="B119" s="22" t="s">
        <x:v>118</x:v>
      </x:c>
      <x:c r="C119" s="22" t="s">
        <x:v>119</x:v>
      </x:c>
      <x:c r="D119" s="22" t="s">
        <x:v>417</x:v>
      </x:c>
      <x:c r="E119" s="38"/>
    </x:row>
    <x:row r="120" spans="1:5">
      <x:c r="A120" s="21" t="s">
        <x:v>1591</x:v>
      </x:c>
      <x:c r="B120" s="22" t="s">
        <x:v>257</x:v>
      </x:c>
      <x:c r="C120" s="22" t="s">
        <x:v>258</x:v>
      </x:c>
      <x:c r="D120" s="22" t="s">
        <x:v>118</x:v>
      </x:c>
      <x:c r="E120" s="38"/>
    </x:row>
    <x:row r="121" spans="1:5">
      <x:c r="A121" s="21" t="s">
        <x:v>1591</x:v>
      </x:c>
      <x:c r="B121" s="22" t="s">
        <x:v>303</x:v>
      </x:c>
      <x:c r="C121" s="22" t="s">
        <x:v>304</x:v>
      </x:c>
      <x:c r="D121" s="22" t="s">
        <x:v>118</x:v>
      </x:c>
      <x:c r="E121" s="38"/>
    </x:row>
    <x:row r="122" spans="1:5">
      <x:c r="A122" s="21" t="s">
        <x:v>1591</x:v>
      </x:c>
      <x:c r="B122" s="22" t="s">
        <x:v>328</x:v>
      </x:c>
      <x:c r="C122" s="22" t="s">
        <x:v>329</x:v>
      </x:c>
      <x:c r="D122" s="22" t="s">
        <x:v>118</x:v>
      </x:c>
      <x:c r="E122" s="38"/>
    </x:row>
    <x:row r="123" spans="1:5">
      <x:c r="A123" s="21" t="s">
        <x:v>1587</x:v>
      </x:c>
      <x:c r="B123" s="22" t="s">
        <x:v>122</x:v>
      </x:c>
      <x:c r="C123" s="22" t="s">
        <x:v>123</x:v>
      </x:c>
      <x:c r="D123" s="22" t="s">
        <x:v>417</x:v>
      </x:c>
      <x:c r="E123" s="38"/>
    </x:row>
    <x:row r="124" spans="1:5">
      <x:c r="A124" s="21" t="s">
        <x:v>1587</x:v>
      </x:c>
      <x:c r="B124" s="22" t="s">
        <x:v>1678</x:v>
      </x:c>
      <x:c r="C124" s="22" t="s">
        <x:v>1679</x:v>
      </x:c>
      <x:c r="D124" s="22" t="s">
        <x:v>417</x:v>
      </x:c>
      <x:c r="E124" s="38"/>
    </x:row>
    <x:row r="125" spans="1:5">
      <x:c r="A125" s="21" t="s">
        <x:v>1587</x:v>
      </x:c>
      <x:c r="B125" s="22" t="s">
        <x:v>1680</x:v>
      </x:c>
      <x:c r="C125" s="22" t="s">
        <x:v>1681</x:v>
      </x:c>
      <x:c r="D125" s="22" t="s">
        <x:v>417</x:v>
      </x:c>
      <x:c r="E125" s="38"/>
    </x:row>
    <x:row r="126" spans="1:5">
      <x:c r="A126" s="21" t="s">
        <x:v>1587</x:v>
      </x:c>
      <x:c r="B126" s="22" t="s">
        <x:v>126</x:v>
      </x:c>
      <x:c r="C126" s="22" t="s">
        <x:v>127</x:v>
      </x:c>
      <x:c r="D126" s="22" t="s">
        <x:v>417</x:v>
      </x:c>
      <x:c r="E126" s="38"/>
    </x:row>
    <x:row r="127" spans="1:5">
      <x:c r="A127" s="21" t="s">
        <x:v>1587</x:v>
      </x:c>
      <x:c r="B127" s="22" t="s">
        <x:v>1682</x:v>
      </x:c>
      <x:c r="C127" s="22" t="s">
        <x:v>1683</x:v>
      </x:c>
      <x:c r="D127" s="22" t="s">
        <x:v>417</x:v>
      </x:c>
      <x:c r="E127" s="38"/>
    </x:row>
    <x:row r="128" spans="1:5">
      <x:c r="A128" s="21" t="s">
        <x:v>1587</x:v>
      </x:c>
      <x:c r="B128" s="22" t="s">
        <x:v>130</x:v>
      </x:c>
      <x:c r="C128" s="22" t="s">
        <x:v>131</x:v>
      </x:c>
      <x:c r="D128" s="22" t="s">
        <x:v>417</x:v>
      </x:c>
      <x:c r="E128" s="38"/>
    </x:row>
    <x:row r="129" spans="1:5">
      <x:c r="A129" s="21" t="s">
        <x:v>1587</x:v>
      </x:c>
      <x:c r="B129" s="22" t="s">
        <x:v>134</x:v>
      </x:c>
      <x:c r="C129" s="22" t="s">
        <x:v>135</x:v>
      </x:c>
      <x:c r="D129" s="22" t="s">
        <x:v>417</x:v>
      </x:c>
      <x:c r="E129" s="38"/>
    </x:row>
    <x:row r="130" spans="1:5">
      <x:c r="A130" s="21" t="s">
        <x:v>1598</x:v>
      </x:c>
      <x:c r="B130" s="22" t="s">
        <x:v>112</x:v>
      </x:c>
      <x:c r="C130" s="22" t="s">
        <x:v>1684</x:v>
      </x:c>
      <x:c r="D130" s="22" t="s">
        <x:v>571</x:v>
      </x:c>
      <x:c r="E130" s="38" t="s">
        <x:v>1590</x:v>
      </x:c>
    </x:row>
    <x:row r="131" spans="1:5">
      <x:c r="A131" s="21" t="s">
        <x:v>1587</x:v>
      </x:c>
      <x:c r="B131" s="22" t="s">
        <x:v>1685</x:v>
      </x:c>
      <x:c r="C131" s="22" t="s">
        <x:v>1686</x:v>
      </x:c>
      <x:c r="D131" s="22" t="s">
        <x:v>112</x:v>
      </x:c>
      <x:c r="E131" s="38" t="s">
        <x:v>1590</x:v>
      </x:c>
    </x:row>
    <x:row r="132" spans="1:5">
      <x:c r="A132" s="21" t="s">
        <x:v>1591</x:v>
      </x:c>
      <x:c r="B132" s="22" t="s">
        <x:v>1687</x:v>
      </x:c>
      <x:c r="C132" s="22" t="s">
        <x:v>1688</x:v>
      </x:c>
      <x:c r="D132" s="22" t="s">
        <x:v>1685</x:v>
      </x:c>
      <x:c r="E132" s="38" t="s">
        <x:v>1590</x:v>
      </x:c>
    </x:row>
    <x:row r="133" spans="1:5">
      <x:c r="A133" s="21" t="s">
        <x:v>1598</x:v>
      </x:c>
      <x:c r="B133" s="22" t="s">
        <x:v>213</x:v>
      </x:c>
      <x:c r="C133" s="22" t="s">
        <x:v>1676</x:v>
      </x:c>
      <x:c r="D133" s="22" t="s">
        <x:v>571</x:v>
      </x:c>
      <x:c r="E133" s="38" t="s">
        <x:v>1590</x:v>
      </x:c>
    </x:row>
    <x:row r="134" spans="1:5">
      <x:c r="A134" s="21" t="s">
        <x:v>1587</x:v>
      </x:c>
      <x:c r="B134" s="22" t="s">
        <x:v>138</x:v>
      </x:c>
      <x:c r="C134" s="22" t="s">
        <x:v>137</x:v>
      </x:c>
      <x:c r="D134" s="22" t="s">
        <x:v>213</x:v>
      </x:c>
      <x:c r="E134" s="38"/>
    </x:row>
    <x:row r="135" spans="1:5">
      <x:c r="A135" s="21" t="s">
        <x:v>1587</x:v>
      </x:c>
      <x:c r="B135" s="22" t="s">
        <x:v>141</x:v>
      </x:c>
      <x:c r="C135" s="22" t="s">
        <x:v>142</x:v>
      </x:c>
      <x:c r="D135" s="22" t="s">
        <x:v>213</x:v>
      </x:c>
      <x:c r="E135" s="38"/>
    </x:row>
    <x:row r="136" spans="1:5">
      <x:c r="A136" s="21" t="s">
        <x:v>1587</x:v>
      </x:c>
      <x:c r="B136" s="22" t="s">
        <x:v>145</x:v>
      </x:c>
      <x:c r="C136" s="22" t="s">
        <x:v>146</x:v>
      </x:c>
      <x:c r="D136" s="22" t="s">
        <x:v>213</x:v>
      </x:c>
      <x:c r="E136" s="38"/>
    </x:row>
    <x:row r="137" spans="1:5">
      <x:c r="A137" s="21" t="s">
        <x:v>1587</x:v>
      </x:c>
      <x:c r="B137" s="22" t="s">
        <x:v>1689</x:v>
      </x:c>
      <x:c r="C137" s="22" t="s">
        <x:v>1690</x:v>
      </x:c>
      <x:c r="D137" s="22" t="s">
        <x:v>213</x:v>
      </x:c>
      <x:c r="E137" s="38"/>
    </x:row>
    <x:row r="138" spans="1:5">
      <x:c r="A138" s="21" t="s">
        <x:v>1598</x:v>
      </x:c>
      <x:c r="B138" s="22" t="s">
        <x:v>139</x:v>
      </x:c>
      <x:c r="C138" s="22" t="s">
        <x:v>1691</x:v>
      </x:c>
      <x:c r="D138" s="22" t="s">
        <x:v>571</x:v>
      </x:c>
      <x:c r="E138" s="38" t="s">
        <x:v>1590</x:v>
      </x:c>
    </x:row>
    <x:row r="139" spans="1:5">
      <x:c r="A139" s="21" t="s">
        <x:v>1598</x:v>
      </x:c>
      <x:c r="B139" s="22" t="s">
        <x:v>1692</x:v>
      </x:c>
      <x:c r="C139" s="22" t="s">
        <x:v>1693</x:v>
      </x:c>
      <x:c r="D139" s="22" t="s">
        <x:v>571</x:v>
      </x:c>
      <x:c r="E139" s="38"/>
    </x:row>
    <x:row r="140" spans="1:5">
      <x:c r="A140" s="21" t="s">
        <x:v>1598</x:v>
      </x:c>
      <x:c r="B140" s="22" t="s">
        <x:v>215</x:v>
      </x:c>
      <x:c r="C140" s="22" t="s">
        <x:v>1694</x:v>
      </x:c>
      <x:c r="D140" s="22" t="s">
        <x:v>571</x:v>
      </x:c>
      <x:c r="E140" s="38"/>
    </x:row>
    <x:row r="141" spans="1:5">
      <x:c r="A141" s="21" t="s">
        <x:v>1587</x:v>
      </x:c>
      <x:c r="B141" s="22" t="s">
        <x:v>152</x:v>
      </x:c>
      <x:c r="C141" s="22" t="s">
        <x:v>151</x:v>
      </x:c>
      <x:c r="D141" s="22" t="s">
        <x:v>215</x:v>
      </x:c>
      <x:c r="E141" s="38"/>
    </x:row>
    <x:row r="142" spans="1:5">
      <x:c r="A142" s="21" t="s">
        <x:v>1587</x:v>
      </x:c>
      <x:c r="B142" s="22" t="s">
        <x:v>155</x:v>
      </x:c>
      <x:c r="C142" s="22" t="s">
        <x:v>154</x:v>
      </x:c>
      <x:c r="D142" s="22" t="s">
        <x:v>215</x:v>
      </x:c>
      <x:c r="E142" s="38"/>
    </x:row>
    <x:row r="143" spans="1:5">
      <x:c r="A143" s="21" t="s">
        <x:v>1587</x:v>
      </x:c>
      <x:c r="B143" s="22" t="s">
        <x:v>158</x:v>
      </x:c>
      <x:c r="C143" s="22" t="s">
        <x:v>157</x:v>
      </x:c>
      <x:c r="D143" s="22" t="s">
        <x:v>215</x:v>
      </x:c>
      <x:c r="E143" s="38"/>
    </x:row>
    <x:row r="144" spans="1:5">
      <x:c r="A144" s="21" t="s">
        <x:v>1587</x:v>
      </x:c>
      <x:c r="B144" s="22" t="s">
        <x:v>1695</x:v>
      </x:c>
      <x:c r="C144" s="22" t="s">
        <x:v>1696</x:v>
      </x:c>
      <x:c r="D144" s="22" t="s">
        <x:v>215</x:v>
      </x:c>
      <x:c r="E144" s="38"/>
    </x:row>
    <x:row r="145" spans="1:5">
      <x:c r="A145" s="21" t="s">
        <x:v>1587</x:v>
      </x:c>
      <x:c r="B145" s="22" t="s">
        <x:v>161</x:v>
      </x:c>
      <x:c r="C145" s="22" t="s">
        <x:v>162</x:v>
      </x:c>
      <x:c r="D145" s="22" t="s">
        <x:v>215</x:v>
      </x:c>
      <x:c r="E145" s="38"/>
    </x:row>
    <x:row r="146" spans="1:5">
      <x:c r="A146" s="21" t="s">
        <x:v>1587</x:v>
      </x:c>
      <x:c r="B146" s="22" t="s">
        <x:v>165</x:v>
      </x:c>
      <x:c r="C146" s="22" t="s">
        <x:v>166</x:v>
      </x:c>
      <x:c r="D146" s="22" t="s">
        <x:v>215</x:v>
      </x:c>
      <x:c r="E146" s="38"/>
    </x:row>
    <x:row r="147" spans="1:5">
      <x:c r="A147" s="21" t="s">
        <x:v>1587</x:v>
      </x:c>
      <x:c r="B147" s="22" t="s">
        <x:v>169</x:v>
      </x:c>
      <x:c r="C147" s="22" t="s">
        <x:v>170</x:v>
      </x:c>
      <x:c r="D147" s="22" t="s">
        <x:v>215</x:v>
      </x:c>
      <x:c r="E147" s="38"/>
    </x:row>
    <x:row r="148" spans="1:5">
      <x:c r="A148" s="21" t="s">
        <x:v>1587</x:v>
      </x:c>
      <x:c r="B148" s="22" t="s">
        <x:v>173</x:v>
      </x:c>
      <x:c r="C148" s="22" t="s">
        <x:v>174</x:v>
      </x:c>
      <x:c r="D148" s="22" t="s">
        <x:v>215</x:v>
      </x:c>
      <x:c r="E148" s="38"/>
    </x:row>
    <x:row r="149" spans="1:5">
      <x:c r="A149" s="21" t="s">
        <x:v>1587</x:v>
      </x:c>
      <x:c r="B149" s="22" t="s">
        <x:v>177</x:v>
      </x:c>
      <x:c r="C149" s="22" t="s">
        <x:v>178</x:v>
      </x:c>
      <x:c r="D149" s="22" t="s">
        <x:v>215</x:v>
      </x:c>
      <x:c r="E149" s="38"/>
    </x:row>
    <x:row r="150" spans="1:5">
      <x:c r="A150" s="21" t="s">
        <x:v>1598</x:v>
      </x:c>
      <x:c r="B150" s="22" t="s">
        <x:v>153</x:v>
      </x:c>
      <x:c r="C150" s="22" t="s">
        <x:v>1697</x:v>
      </x:c>
      <x:c r="D150" s="22" t="s">
        <x:v>571</x:v>
      </x:c>
      <x:c r="E150" s="38"/>
    </x:row>
    <x:row r="151" spans="1:5">
      <x:c r="A151" s="21" t="s">
        <x:v>1587</x:v>
      </x:c>
      <x:c r="B151" s="22" t="s">
        <x:v>1698</x:v>
      </x:c>
      <x:c r="C151" s="22" t="s">
        <x:v>1699</x:v>
      </x:c>
      <x:c r="D151" s="22" t="s">
        <x:v>153</x:v>
      </x:c>
      <x:c r="E151" s="38"/>
    </x:row>
    <x:row r="152" spans="1:5">
      <x:c r="A152" s="21" t="s">
        <x:v>1591</x:v>
      </x:c>
      <x:c r="B152" s="22" t="s">
        <x:v>385</x:v>
      </x:c>
      <x:c r="C152" s="22" t="s">
        <x:v>386</x:v>
      </x:c>
      <x:c r="D152" s="22" t="s">
        <x:v>1698</x:v>
      </x:c>
      <x:c r="E152" s="38"/>
    </x:row>
    <x:row r="153" spans="1:5">
      <x:c r="A153" s="21" t="s">
        <x:v>1598</x:v>
      </x:c>
      <x:c r="B153" s="22" t="s">
        <x:v>163</x:v>
      </x:c>
      <x:c r="C153" s="22" t="s">
        <x:v>1700</x:v>
      </x:c>
      <x:c r="D153" s="22" t="s">
        <x:v>571</x:v>
      </x:c>
      <x:c r="E153" s="38" t="s">
        <x:v>1590</x:v>
      </x:c>
    </x:row>
    <x:row r="154" spans="1:5">
      <x:c r="A154" s="29" t="s">
        <x:v>1587</x:v>
      </x:c>
      <x:c r="B154" s="30" t="s">
        <x:v>1701</x:v>
      </x:c>
      <x:c r="C154" s="30" t="s">
        <x:v>52</x:v>
      </x:c>
      <x:c r="D154" s="30" t="s">
        <x:v>175</x:v>
      </x:c>
      <x:c r="E154" s="39" t="s">
        <x:v>1590</x:v>
      </x:c>
    </x:row>
  </x:sheetData>
  <x:autoFilter ref="A1:E1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جزء و ریز</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جزء و ریز!Print_Area</vt:lpstr>
      <vt:lpstr>جزء و ریز!Print_Titles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